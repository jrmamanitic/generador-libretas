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oskUser0\OneDrive\Escritorio\generador-libretas-main\generador-libretas-main\assets\"/>
    </mc:Choice>
  </mc:AlternateContent>
  <xr:revisionPtr revIDLastSave="0" documentId="8_{046AF800-7B67-4D89-8514-CE91F901C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reta" sheetId="12" r:id="rId1"/>
    <sheet name="CONSOLIDADO" sheetId="1" r:id="rId2"/>
  </sheets>
  <externalReferences>
    <externalReference r:id="rId3"/>
  </externalReferences>
  <definedNames>
    <definedName name="_xlnm.Print_Area" localSheetId="0">Libreta!$A$1:$F$83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32" i="1" l="1"/>
  <c r="EE32" i="1"/>
  <c r="ED32" i="1"/>
  <c r="EC32" i="1"/>
  <c r="EB32" i="1"/>
  <c r="EA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EK32" i="1" s="1"/>
  <c r="EF31" i="1"/>
  <c r="EE31" i="1"/>
  <c r="ED31" i="1"/>
  <c r="EC31" i="1"/>
  <c r="EB31" i="1"/>
  <c r="EA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EK31" i="1" s="1"/>
  <c r="EF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EI30" i="1" s="1"/>
  <c r="B30" i="1"/>
  <c r="EK30" i="1" s="1"/>
  <c r="EJ29" i="1"/>
  <c r="EF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EI29" i="1" s="1"/>
  <c r="EF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EI28" i="1" s="1"/>
  <c r="B28" i="1"/>
  <c r="EK28" i="1" s="1"/>
  <c r="EJ27" i="1"/>
  <c r="EF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EI27" i="1" s="1"/>
  <c r="B27" i="1"/>
  <c r="EK27" i="1" s="1"/>
  <c r="EF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EK26" i="1" s="1"/>
  <c r="D26" i="1"/>
  <c r="C26" i="1"/>
  <c r="EI26" i="1" s="1"/>
  <c r="B26" i="1"/>
  <c r="EJ26" i="1" s="1"/>
  <c r="EJ25" i="1"/>
  <c r="EF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EI25" i="1" s="1"/>
  <c r="B25" i="1"/>
  <c r="EK25" i="1" s="1"/>
  <c r="EF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EK24" i="1" s="1"/>
  <c r="D24" i="1"/>
  <c r="C24" i="1"/>
  <c r="B24" i="1"/>
  <c r="EJ24" i="1" s="1"/>
  <c r="EF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EJ23" i="1" s="1"/>
  <c r="C23" i="1"/>
  <c r="B23" i="1"/>
  <c r="EI23" i="1" s="1"/>
  <c r="EF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EK22" i="1" s="1"/>
  <c r="B22" i="1"/>
  <c r="EJ22" i="1" s="1"/>
  <c r="EF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EJ21" i="1" s="1"/>
  <c r="C21" i="1"/>
  <c r="B21" i="1"/>
  <c r="EI21" i="1" s="1"/>
  <c r="EF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EK20" i="1" s="1"/>
  <c r="EJ19" i="1"/>
  <c r="EF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EI19" i="1" s="1"/>
  <c r="EF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EK18" i="1" s="1"/>
  <c r="EJ17" i="1"/>
  <c r="EF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EI17" i="1" s="1"/>
  <c r="EF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EK16" i="1" s="1"/>
  <c r="EJ15" i="1"/>
  <c r="EF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I15" i="1" s="1"/>
  <c r="EF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EK14" i="1" s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EJ13" i="1" s="1"/>
  <c r="C13" i="1"/>
  <c r="B13" i="1"/>
  <c r="EI13" i="1" s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EK12" i="1" s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EJ11" i="1" s="1"/>
  <c r="C11" i="1"/>
  <c r="EI11" i="1" s="1"/>
  <c r="B11" i="1"/>
  <c r="EK11" i="1" s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EK10" i="1" s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EJ9" i="1" s="1"/>
  <c r="C9" i="1"/>
  <c r="EI9" i="1" s="1"/>
  <c r="B9" i="1"/>
  <c r="EK9" i="1" s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EK8" i="1" s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EJ7" i="1" s="1"/>
  <c r="C7" i="1"/>
  <c r="B7" i="1"/>
  <c r="EI7" i="1" s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EK6" i="1" s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EJ5" i="1" s="1"/>
  <c r="C5" i="1"/>
  <c r="B5" i="1"/>
  <c r="EI5" i="1" s="1"/>
  <c r="EG11" i="1" l="1"/>
  <c r="EG7" i="1"/>
  <c r="EG9" i="1"/>
  <c r="EG13" i="1"/>
  <c r="EK5" i="1"/>
  <c r="EG5" i="1" s="1"/>
  <c r="EK7" i="1"/>
  <c r="EK13" i="1"/>
  <c r="EK15" i="1"/>
  <c r="EK17" i="1"/>
  <c r="EK19" i="1"/>
  <c r="EK21" i="1"/>
  <c r="EK23" i="1"/>
  <c r="EK29" i="1"/>
  <c r="EI6" i="1"/>
  <c r="EI8" i="1"/>
  <c r="EI10" i="1"/>
  <c r="EG10" i="1" s="1"/>
  <c r="EI12" i="1"/>
  <c r="EG12" i="1" s="1"/>
  <c r="EI14" i="1"/>
  <c r="EI16" i="1"/>
  <c r="EI18" i="1"/>
  <c r="EI20" i="1"/>
  <c r="EI22" i="1"/>
  <c r="EI24" i="1"/>
  <c r="EJ6" i="1"/>
  <c r="EJ8" i="1"/>
  <c r="EJ10" i="1"/>
  <c r="EJ12" i="1"/>
  <c r="EJ14" i="1"/>
  <c r="EJ16" i="1"/>
  <c r="EJ18" i="1"/>
  <c r="EJ20" i="1"/>
  <c r="EJ28" i="1"/>
  <c r="EJ30" i="1"/>
  <c r="EI31" i="1"/>
  <c r="EJ31" i="1"/>
  <c r="EI32" i="1"/>
  <c r="EJ32" i="1"/>
  <c r="C7" i="12"/>
  <c r="F59" i="12"/>
  <c r="F60" i="12"/>
  <c r="E50" i="12"/>
  <c r="D70" i="12"/>
  <c r="F69" i="12"/>
  <c r="D69" i="12"/>
  <c r="E69" i="12"/>
  <c r="F68" i="12"/>
  <c r="E68" i="12"/>
  <c r="D68" i="12"/>
  <c r="F67" i="12"/>
  <c r="E67" i="12"/>
  <c r="D67" i="12"/>
  <c r="F66" i="12"/>
  <c r="E66" i="12"/>
  <c r="D66" i="12"/>
  <c r="F61" i="12"/>
  <c r="F58" i="12"/>
  <c r="F56" i="12"/>
  <c r="D52" i="12"/>
  <c r="F51" i="12"/>
  <c r="E51" i="12"/>
  <c r="D51" i="12"/>
  <c r="F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E43" i="12"/>
  <c r="F43" i="12"/>
  <c r="D43" i="12"/>
  <c r="E40" i="12"/>
  <c r="EG8" i="1" l="1"/>
  <c r="EH8" i="1" s="1"/>
  <c r="EG6" i="1"/>
  <c r="EH11" i="1"/>
  <c r="F57" i="12"/>
  <c r="EH10" i="1" l="1"/>
  <c r="EH7" i="1"/>
  <c r="EH12" i="1"/>
  <c r="EH9" i="1"/>
  <c r="EH13" i="1"/>
  <c r="EH6" i="1"/>
  <c r="EH5" i="1"/>
  <c r="E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 l="1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E70" i="12" l="1"/>
  <c r="C73" i="12" l="1"/>
</calcChain>
</file>

<file path=xl/sharedStrings.xml><?xml version="1.0" encoding="utf-8"?>
<sst xmlns="http://schemas.openxmlformats.org/spreadsheetml/2006/main" count="244" uniqueCount="150">
  <si>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</si>
  <si>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</si>
  <si>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</si>
  <si>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</si>
  <si>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</si>
  <si>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</si>
  <si>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</si>
  <si>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</si>
  <si>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</si>
  <si>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</si>
  <si>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N°</t>
  </si>
  <si>
    <t>Apellidos-Nombres</t>
  </si>
  <si>
    <t>1</t>
  </si>
  <si>
    <t>LIBRETA INFORMATIVA DE NOTAS</t>
  </si>
  <si>
    <t>AÑO/GRADO:</t>
  </si>
  <si>
    <t>N° LISTA:</t>
  </si>
  <si>
    <t>ESTUDIANTE:</t>
  </si>
  <si>
    <t>AREAS</t>
  </si>
  <si>
    <t>COMPETENCIAS</t>
  </si>
  <si>
    <t>NOTAS FINALES</t>
  </si>
  <si>
    <t>U1</t>
  </si>
  <si>
    <t>U2</t>
  </si>
  <si>
    <t>BIM</t>
  </si>
  <si>
    <t>2</t>
  </si>
  <si>
    <t>3</t>
  </si>
  <si>
    <t>4</t>
  </si>
  <si>
    <t>5</t>
  </si>
  <si>
    <t>6</t>
  </si>
  <si>
    <t>7</t>
  </si>
  <si>
    <t>8</t>
  </si>
  <si>
    <t>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</si>
  <si>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</si>
  <si>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</si>
  <si>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</si>
  <si>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</si>
  <si>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</si>
  <si>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</si>
  <si>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</si>
  <si>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</si>
  <si>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</si>
  <si>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EDUCACION FISICA</t>
  </si>
  <si>
    <t>COMUNICACIÓN</t>
  </si>
  <si>
    <t>ARTE Y CULTURA</t>
  </si>
  <si>
    <t>CIENCIA Y TECNOLOGIA</t>
  </si>
  <si>
    <t>EDUCACIÓN RELIGIOSA</t>
  </si>
  <si>
    <t>COMPUTACIÓN</t>
  </si>
  <si>
    <t>ROBÓTICA</t>
  </si>
  <si>
    <t>TRANSVERSALIDAD</t>
  </si>
  <si>
    <t>ACTITUDES DEL ESTUDIANTE</t>
  </si>
  <si>
    <t>A</t>
  </si>
  <si>
    <t>Lee diversos tipos de textos escritos.</t>
  </si>
  <si>
    <t>Asume una vida saludable.</t>
  </si>
  <si>
    <t>Se comunica oralmente en lengua materna.</t>
  </si>
  <si>
    <t>Escribe diversos tipos de texto.</t>
  </si>
  <si>
    <t>Comunicación</t>
  </si>
  <si>
    <t>Aprecia de manera crítica manifestaciones artístico-culturales.</t>
  </si>
  <si>
    <t>Crea proyectos desde los lenguajes artísticos.</t>
  </si>
  <si>
    <t>Arte y Cultura</t>
  </si>
  <si>
    <t>Resuelve problemas de cantidad.</t>
  </si>
  <si>
    <t>Resuelve problemas de movimiento, forma y localización.</t>
  </si>
  <si>
    <t>Resuelve problemas de regularidad, equivalencia y cambio.</t>
  </si>
  <si>
    <t>Matemática</t>
  </si>
  <si>
    <t>Indaga mediante métodos científicos para construir conocimientos.</t>
  </si>
  <si>
    <t>Ciencia y Tecnología</t>
  </si>
  <si>
    <t>Educación Religiosa</t>
  </si>
  <si>
    <t>Gestiona proyectos de emprendimiento económico social.</t>
  </si>
  <si>
    <t>Crea, ejecuta y aplica las diferentes herramientas tecnológicas en programas informáticos.</t>
  </si>
  <si>
    <t>Utiliza la lógica para crear programas utilizando código abierto y desarrolla habilidades en el uso de prototipos robóticos.</t>
  </si>
  <si>
    <t>Taller Programación y Robótica</t>
  </si>
  <si>
    <t>Gestiona su aprendizaje de manera autónoma.</t>
  </si>
  <si>
    <t>Se desenvuelve en entornos virtuales generados por las TICs.</t>
  </si>
  <si>
    <t>Tranversalidad</t>
  </si>
  <si>
    <t>SI</t>
  </si>
  <si>
    <t>A VECES</t>
  </si>
  <si>
    <t>NO</t>
  </si>
  <si>
    <t>NOTA DE ACTITUDES:</t>
  </si>
  <si>
    <t>S</t>
  </si>
  <si>
    <t>N</t>
  </si>
  <si>
    <t>Evaluación y Monitoreo al PPFF con respecto a las actitudes del Estudiante</t>
  </si>
  <si>
    <t>Calificación al PPFF o Apoderado:</t>
  </si>
  <si>
    <t>Asiste a clase con cuidando su presentación personal en todo momento.</t>
  </si>
  <si>
    <t>Asiste puntualmente a clases.</t>
  </si>
  <si>
    <t>Cumple con responsabilidad las actividades y tareas que se le asignen.</t>
  </si>
  <si>
    <t>Respeta las normas de convivencia y estándares contribuyendo con un adecuado clima escolar.</t>
  </si>
  <si>
    <t>Realiza monitoreo constante a su hijo(a) respectoa su avance académico, práctica en valores y conductual (revisión de cuadernos, agenda y evaluaciones).</t>
  </si>
  <si>
    <t>Participa constantemente en las actividades programadas por el colegio (reuniones de padres de familia, escuela de padres, otros).</t>
  </si>
  <si>
    <t>Envia a su menor hijo(a) correctamente uniformado(a), y una adecuada presentación personal, respetando el Reglamento Interno (cabello corto en varones, cabello sujetado en las damas con pulcritud y limpieza).</t>
  </si>
  <si>
    <t>Realiza consultas a los docentes y/o asiste cuando es llamado para dialogar sobre su situación acádemica o conductual.</t>
  </si>
  <si>
    <t>Apuntes y/o Observaciones del Tutor:</t>
  </si>
  <si>
    <t>Total asistido en el BIM:</t>
  </si>
  <si>
    <t>% Asistencias del Estudiante:</t>
  </si>
  <si>
    <t>Tardanzas en el BIM:</t>
  </si>
  <si>
    <t>Faltas Justificadas BIM:</t>
  </si>
  <si>
    <t>Faltas BIM:</t>
  </si>
  <si>
    <t>MATEMÁTICA</t>
  </si>
  <si>
    <t>Tutor(a)                                                                                                              Vb°</t>
  </si>
  <si>
    <t xml:space="preserve">    ___________________________                                                            ______________________</t>
  </si>
  <si>
    <t>Construye interpretaciones históricas</t>
  </si>
  <si>
    <t>Ciencias Sociales</t>
  </si>
  <si>
    <t>CIENCIAS SOCIALES</t>
  </si>
  <si>
    <t>DESAR. PERS, CUIDA Y CIVICA</t>
  </si>
  <si>
    <t>Construye su identidad</t>
  </si>
  <si>
    <t>Convive y participa democráticamente en la búsqueda del bien común</t>
  </si>
  <si>
    <t>INGLÉS COMO LENGUA EXTRANJERA</t>
  </si>
  <si>
    <t>Educación por el Trabajo</t>
  </si>
  <si>
    <t>EDUC. TRABAJO</t>
  </si>
  <si>
    <t>Nota Aprec. Personal</t>
  </si>
  <si>
    <t>Participación PP.FF</t>
  </si>
  <si>
    <t>Asistencia</t>
  </si>
  <si>
    <t>Comp 1</t>
  </si>
  <si>
    <t>Comp 2</t>
  </si>
  <si>
    <t>Comp 3</t>
  </si>
  <si>
    <t>Comp 4</t>
  </si>
  <si>
    <t>NF</t>
  </si>
  <si>
    <t>AT</t>
  </si>
  <si>
    <t>A%</t>
  </si>
  <si>
    <t>T</t>
  </si>
  <si>
    <t>FJ</t>
  </si>
  <si>
    <t>F</t>
  </si>
  <si>
    <t>DOCENTE:</t>
  </si>
  <si>
    <t>Apuntes del Tutor</t>
  </si>
  <si>
    <t>OTROS</t>
  </si>
  <si>
    <t>Puntaje AD-A</t>
  </si>
  <si>
    <t>Orden Merito</t>
  </si>
  <si>
    <t>Educación Física</t>
  </si>
  <si>
    <t>Inglés como lengua Extranjera</t>
  </si>
  <si>
    <t>Taller de Cómputo</t>
  </si>
  <si>
    <t>Gestiona responsablemente el espacio y el ambiente</t>
  </si>
  <si>
    <t>Gestiona responsablemente los recursos económicos</t>
  </si>
  <si>
    <t>Se desenvuelve de manera autónoma a través de su identidad.</t>
  </si>
  <si>
    <t>Interactúa a través de sus habilidades sociomotrices.</t>
  </si>
  <si>
    <t>Se expresa con un vocabulario de respeto y cortesía (saluda, se despide, dice por favor, da gracias, etc.).</t>
  </si>
  <si>
    <t>Escucha y pone en práctica las indicaciones.</t>
  </si>
  <si>
    <t>Respeta su turno para intervenir y mantiene una actitud correcta en clase.</t>
  </si>
  <si>
    <t>Realiza diferentes actividades con autonomía.</t>
  </si>
  <si>
    <t>DATOS BÁSICOS - Total asist. BIM:</t>
  </si>
  <si>
    <t>Construye su identidad como persona humana amada por Dios, digna, libre y transparente, comprendiendo la doctrina de su propia religión y abierto al dialogo con las personas cercanas.</t>
  </si>
  <si>
    <t>Practica el buen comportamiento razonando, reflexionando y revirtiendo las conductas inadecuadas.</t>
  </si>
  <si>
    <t>Asume la experiencia el encuentro personal comunitario con Dios en su proyecto de vida en coherencia con su creencia religiosa.</t>
  </si>
  <si>
    <t>Escribe diversos tipos de texto en inglés como lengua extranjera.</t>
  </si>
  <si>
    <t>Lee diversos tipos de texto en inglés como lengua extranjera.</t>
  </si>
  <si>
    <t>Se comunica oralmente en inglés como lengua extranjera.</t>
  </si>
  <si>
    <t>Diseña y construye soluciones tecnológicas para resolver problemas de entorno.</t>
  </si>
  <si>
    <t>Explica el mundo natural y artificial en base a conocimiento sobre los seres vivos, materia, energia, biodiversidad, tierra y universo.</t>
  </si>
  <si>
    <t>Resuelve problemas de gestión de datos e incertidumbre.</t>
  </si>
  <si>
    <t>Desarrollo Personal, Ciudadania y Cívica</t>
  </si>
  <si>
    <t>NIVEL SECUNDARIA 2026</t>
  </si>
  <si>
    <t>5° AÑO</t>
  </si>
  <si>
    <t>JOSE LUIS CHOQUEGONZA MAMANI</t>
  </si>
  <si>
    <t>II BIMESTRE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</si>
</sst>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9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F2F2F2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/>
  </cellStyleXfs>
  <cellXfs count="1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6" fillId="0" borderId="5" xfId="0" applyFont="1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Protection="1">
      <protection locked="0"/>
    </xf>
    <xf numFmtId="0" fontId="6" fillId="0" borderId="2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6" fillId="0" borderId="2" xfId="0" applyFont="1" applyBorder="1" applyAlignment="1" applyProtection="1">
      <alignment wrapText="1"/>
      <protection locked="0"/>
    </xf>
    <xf numFmtId="0" fontId="6" fillId="0" borderId="17" xfId="0" applyFont="1" applyBorder="1" applyAlignment="1" applyProtection="1">
      <alignment wrapText="1"/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9" fontId="0" fillId="0" borderId="13" xfId="1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wrapText="1"/>
      <protection locked="0"/>
    </xf>
    <xf numFmtId="0" fontId="6" fillId="0" borderId="21" xfId="0" applyFont="1" applyBorder="1" applyAlignment="1" applyProtection="1">
      <alignment wrapText="1"/>
      <protection locked="0"/>
    </xf>
    <xf numFmtId="0" fontId="11" fillId="0" borderId="0" xfId="0" applyFont="1" applyAlignment="1">
      <alignment horizontal="center" vertical="center"/>
    </xf>
    <xf numFmtId="49" fontId="11" fillId="0" borderId="34" xfId="0" applyNumberFormat="1" applyFont="1" applyBorder="1"/>
    <xf numFmtId="49" fontId="12" fillId="0" borderId="34" xfId="0" applyNumberFormat="1" applyFont="1" applyBorder="1" applyAlignment="1">
      <alignment vertical="center"/>
    </xf>
    <xf numFmtId="164" fontId="11" fillId="0" borderId="39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9" fontId="11" fillId="0" borderId="38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4" xfId="0" applyFont="1" applyBorder="1"/>
    <xf numFmtId="0" fontId="11" fillId="0" borderId="34" xfId="0" applyFont="1" applyBorder="1" applyAlignment="1">
      <alignment vertical="center"/>
    </xf>
    <xf numFmtId="0" fontId="11" fillId="0" borderId="0" xfId="0" applyFont="1"/>
    <xf numFmtId="0" fontId="12" fillId="0" borderId="34" xfId="0" applyFont="1" applyBorder="1" applyAlignment="1">
      <alignment vertical="center"/>
    </xf>
    <xf numFmtId="0" fontId="11" fillId="0" borderId="29" xfId="0" applyFont="1" applyBorder="1" applyAlignment="1">
      <alignment horizontal="center" vertical="center"/>
    </xf>
    <xf numFmtId="0" fontId="11" fillId="0" borderId="29" xfId="0" applyFont="1" applyBorder="1"/>
    <xf numFmtId="0" fontId="7" fillId="0" borderId="15" xfId="0" applyFont="1" applyBorder="1" applyAlignment="1" applyProtection="1">
      <alignment horizontal="center" vertical="center" wrapText="1"/>
      <protection locked="0"/>
    </xf>
    <xf numFmtId="0" fontId="14" fillId="3" borderId="29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34" xfId="0" applyFont="1" applyFill="1" applyBorder="1"/>
    <xf numFmtId="0" fontId="14" fillId="3" borderId="29" xfId="0" applyFont="1" applyFill="1" applyBorder="1"/>
    <xf numFmtId="0" fontId="14" fillId="3" borderId="34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vertical="center"/>
    </xf>
    <xf numFmtId="0" fontId="7" fillId="0" borderId="40" xfId="0" applyFont="1" applyBorder="1" applyAlignment="1" applyProtection="1">
      <alignment horizontal="center" vertical="center" wrapText="1"/>
      <protection locked="0"/>
    </xf>
    <xf numFmtId="0" fontId="6" fillId="0" borderId="41" xfId="0" applyFont="1" applyBorder="1" applyAlignment="1" applyProtection="1">
      <alignment vertical="center"/>
      <protection locked="0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right" vertical="center"/>
      <protection locked="0"/>
    </xf>
    <xf numFmtId="0" fontId="0" fillId="2" borderId="8" xfId="0" applyFill="1" applyBorder="1" applyAlignment="1" applyProtection="1">
      <alignment horizontal="right" vertical="center"/>
      <protection locked="0"/>
    </xf>
    <xf numFmtId="0" fontId="5" fillId="2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4" fillId="3" borderId="29" xfId="0" applyFont="1" applyFill="1" applyBorder="1" applyAlignment="1">
      <alignment horizontal="center" vertical="center"/>
    </xf>
    <xf numFmtId="0" fontId="10" fillId="0" borderId="24" xfId="0" applyFont="1" applyBorder="1"/>
    <xf numFmtId="0" fontId="10" fillId="0" borderId="30" xfId="0" applyFont="1" applyBorder="1"/>
    <xf numFmtId="0" fontId="14" fillId="0" borderId="29" xfId="0" applyFont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0" fillId="0" borderId="32" xfId="0" applyFont="1" applyBorder="1"/>
    <xf numFmtId="0" fontId="10" fillId="0" borderId="35" xfId="0" applyFont="1" applyBorder="1"/>
    <xf numFmtId="0" fontId="10" fillId="0" borderId="36" xfId="0" applyFont="1" applyBorder="1"/>
    <xf numFmtId="0" fontId="14" fillId="3" borderId="33" xfId="0" applyFont="1" applyFill="1" applyBorder="1" applyAlignment="1">
      <alignment horizontal="center" vertical="center" wrapText="1"/>
    </xf>
    <xf numFmtId="0" fontId="10" fillId="0" borderId="38" xfId="0" applyFont="1" applyBorder="1"/>
    <xf numFmtId="0" fontId="14" fillId="3" borderId="29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textRotation="90" wrapText="1"/>
    </xf>
    <xf numFmtId="0" fontId="14" fillId="3" borderId="3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3DB61DAC-9ED2-49B4-8A11-F4533D1950AA}"/>
    <cellStyle name="Porcentaje" xfId="1" builtinId="5"/>
  </cellStyles>
  <dxfs count="1">
    <dxf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GRÁFICA DE ASISTENCIA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Libreta!$E$58:$E$61</c:f>
              <c:strCache>
                <c:ptCount val="4"/>
                <c:pt idx="0">
                  <c:v>Total asistido en el BIM:</c:v>
                </c:pt>
                <c:pt idx="1">
                  <c:v>Tardanzas en el BIM:</c:v>
                </c:pt>
                <c:pt idx="2">
                  <c:v>Faltas Justificadas BIM:</c:v>
                </c:pt>
                <c:pt idx="3">
                  <c:v>Faltas BIM:</c:v>
                </c:pt>
              </c:strCache>
            </c:strRef>
          </c:cat>
          <c:val>
            <c:numRef>
              <c:f>Libreta!$F$58:$F$61</c:f>
              <c:numCache>
                <c:formatCode>General</c:formatCode>
                <c:ptCount val="4"/>
                <c:pt idx="0">
                  <c:v>44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C-47B4-AA4D-EB21220CD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735248"/>
        <c:axId val="1677241232"/>
      </c:barChart>
      <c:catAx>
        <c:axId val="1963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7241232"/>
        <c:crosses val="autoZero"/>
        <c:auto val="1"/>
        <c:lblAlgn val="ctr"/>
        <c:lblOffset val="100"/>
        <c:noMultiLvlLbl val="0"/>
      </c:catAx>
      <c:valAx>
        <c:axId val="16772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6373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526AA7-04E7-4A28-96F0-725E45DD44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66675</xdr:rowOff>
    </xdr:to>
    <xdr:sp macro="" textlink="">
      <xdr:nvSpPr>
        <xdr:cNvPr id="1030" name="AutoShape 6" descr="ministerio de educacion peru Logo PNG Vector (CDR) Free Download">
          <a:extLst>
            <a:ext uri="{FF2B5EF4-FFF2-40B4-BE49-F238E27FC236}">
              <a16:creationId xmlns:a16="http://schemas.microsoft.com/office/drawing/2014/main" id="{B00D19BE-D366-46D6-BF24-8794FBB45155}"/>
            </a:ext>
          </a:extLst>
        </xdr:cNvPr>
        <xdr:cNvSpPr>
          <a:spLocks noChangeAspect="1" noChangeArrowheads="1"/>
        </xdr:cNvSpPr>
      </xdr:nvSpPr>
      <xdr:spPr bwMode="auto">
        <a:xfrm>
          <a:off x="7839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85725</xdr:colOff>
      <xdr:row>0</xdr:row>
      <xdr:rowOff>28575</xdr:rowOff>
    </xdr:from>
    <xdr:to>
      <xdr:col>5</xdr:col>
      <xdr:colOff>342900</xdr:colOff>
      <xdr:row>3</xdr:row>
      <xdr:rowOff>128406</xdr:rowOff>
    </xdr:to>
    <xdr:pic>
      <xdr:nvPicPr>
        <xdr:cNvPr id="4" name="Imagen 3" descr="ministerio de educacion peru Logo PNG Vector (CDR) Free Download">
          <a:extLst>
            <a:ext uri="{FF2B5EF4-FFF2-40B4-BE49-F238E27FC236}">
              <a16:creationId xmlns:a16="http://schemas.microsoft.com/office/drawing/2014/main" id="{ECDAE836-FC0A-48A2-AE82-8A1B73BF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28575"/>
          <a:ext cx="981075" cy="71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267891</xdr:colOff>
      <xdr:row>52</xdr:row>
      <xdr:rowOff>123825</xdr:rowOff>
    </xdr:from>
    <xdr:to>
      <xdr:col>2</xdr:col>
      <xdr:colOff>2992041</xdr:colOff>
      <xdr:row>63</xdr:row>
      <xdr:rowOff>4762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910BBD-D6F4-4043-AF61-3EFC2D268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ir/Downloads/REG_SECUNDARIA%20-%205TO%20A&#209;O%20I%20BIMESTRE.xlsx" TargetMode="External"/><Relationship Id="rId2" Type="http://schemas.openxmlformats.org/officeDocument/2006/relationships/externalLinkPath" Target="file:///C:\Users\Jair\Downloads\REG_SECUNDARIA%20-%205TO%20A&#209;O%20I%20BIMESTRE.xlsx" TargetMode="External"/><Relationship Id="rId1" Type="http://schemas.openxmlformats.org/officeDocument/2006/relationships/externalLinkPath" Target="/Users/Jair/Downloads/REG_SECUNDARIA%20-%205TO%20A&#209;O%20I%20B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T"/>
      <sheetName val="CSOC"/>
      <sheetName val="EFIS"/>
      <sheetName val="DPCC"/>
      <sheetName val="ARTE"/>
      <sheetName val="COMU"/>
      <sheetName val="CTEC"/>
      <sheetName val="ING"/>
      <sheetName val="REL"/>
      <sheetName val="ROBOTI"/>
      <sheetName val="COMPU"/>
      <sheetName val="EMPR"/>
      <sheetName val="APREPER"/>
      <sheetName val="APREPPFF"/>
      <sheetName val="ASISTEN"/>
      <sheetName val="CONSOLIDADO"/>
    </sheetNames>
    <sheetDataSet>
      <sheetData sheetId="0">
        <row r="13">
          <cell r="C13" t="str">
            <v>AGUILAR DIAZ IAN EMANUEL</v>
          </cell>
          <cell r="N13" t="str">
            <v>A</v>
          </cell>
          <cell r="R13" t="str">
            <v>C</v>
          </cell>
          <cell r="V13" t="str">
            <v>B</v>
          </cell>
          <cell r="Z13" t="str">
            <v>C</v>
          </cell>
          <cell r="AH13" t="str">
            <v>A</v>
          </cell>
          <cell r="AL13" t="str">
            <v>A</v>
          </cell>
          <cell r="AP13" t="str">
            <v>B</v>
          </cell>
          <cell r="AT13" t="str">
            <v>C</v>
          </cell>
          <cell r="AZ13" t="str">
            <v>A</v>
          </cell>
          <cell r="BA13" t="str">
            <v>B</v>
          </cell>
          <cell r="BB13" t="str">
            <v>B</v>
          </cell>
          <cell r="BC13" t="str">
            <v>C</v>
          </cell>
        </row>
        <row r="14">
          <cell r="C14" t="str">
            <v>ARPAZA TORRES RODRIGO GONZALO</v>
          </cell>
          <cell r="N14" t="str">
            <v>A</v>
          </cell>
          <cell r="R14" t="str">
            <v>B</v>
          </cell>
          <cell r="V14" t="str">
            <v>A</v>
          </cell>
          <cell r="Z14" t="str">
            <v>A</v>
          </cell>
          <cell r="AH14" t="str">
            <v>A</v>
          </cell>
          <cell r="AL14" t="str">
            <v>B</v>
          </cell>
          <cell r="AP14" t="str">
            <v>A</v>
          </cell>
          <cell r="AT14" t="str">
            <v>A</v>
          </cell>
          <cell r="AZ14" t="str">
            <v>A</v>
          </cell>
          <cell r="BA14" t="str">
            <v>B</v>
          </cell>
          <cell r="BB14" t="str">
            <v>A</v>
          </cell>
          <cell r="BC14" t="str">
            <v>A</v>
          </cell>
        </row>
        <row r="15">
          <cell r="C15" t="str">
            <v>CHACON MEDINA MIGUEL ANGEL</v>
          </cell>
          <cell r="N15" t="str">
            <v>A</v>
          </cell>
          <cell r="R15" t="str">
            <v>A</v>
          </cell>
          <cell r="V15" t="str">
            <v>A</v>
          </cell>
          <cell r="Z15" t="str">
            <v>B</v>
          </cell>
          <cell r="AH15" t="str">
            <v>A</v>
          </cell>
          <cell r="AL15" t="str">
            <v>B</v>
          </cell>
          <cell r="AP15" t="str">
            <v>B</v>
          </cell>
          <cell r="AT15" t="str">
            <v>A</v>
          </cell>
          <cell r="AZ15" t="str">
            <v>A</v>
          </cell>
          <cell r="BA15" t="str">
            <v>A</v>
          </cell>
          <cell r="BB15" t="str">
            <v>A</v>
          </cell>
          <cell r="BC15" t="str">
            <v>A</v>
          </cell>
        </row>
        <row r="16">
          <cell r="C16" t="str">
            <v>CONDORI GOMEZ JOHANNA NIKOL</v>
          </cell>
          <cell r="N16" t="str">
            <v>B</v>
          </cell>
          <cell r="R16" t="str">
            <v>B</v>
          </cell>
          <cell r="V16" t="str">
            <v>B</v>
          </cell>
          <cell r="Z16" t="str">
            <v>B</v>
          </cell>
          <cell r="AH16" t="str">
            <v>A</v>
          </cell>
          <cell r="AL16" t="str">
            <v>A</v>
          </cell>
          <cell r="AP16" t="str">
            <v>B</v>
          </cell>
          <cell r="AT16" t="str">
            <v>B</v>
          </cell>
          <cell r="AZ16" t="str">
            <v>A</v>
          </cell>
          <cell r="BA16" t="str">
            <v>A</v>
          </cell>
          <cell r="BB16" t="str">
            <v>B</v>
          </cell>
          <cell r="BC16" t="str">
            <v>B</v>
          </cell>
        </row>
        <row r="17">
          <cell r="C17" t="str">
            <v>FLORES MAQUERA DHANA LUCIANA</v>
          </cell>
          <cell r="N17" t="str">
            <v>B</v>
          </cell>
          <cell r="R17" t="str">
            <v>B</v>
          </cell>
          <cell r="V17" t="str">
            <v>A</v>
          </cell>
          <cell r="Z17" t="str">
            <v>A</v>
          </cell>
          <cell r="AH17" t="str">
            <v>A</v>
          </cell>
          <cell r="AL17" t="str">
            <v>B</v>
          </cell>
          <cell r="AP17" t="str">
            <v>B</v>
          </cell>
          <cell r="AT17" t="str">
            <v>B</v>
          </cell>
          <cell r="AZ17" t="str">
            <v>A</v>
          </cell>
          <cell r="BA17" t="str">
            <v>B</v>
          </cell>
          <cell r="BB17" t="str">
            <v>A</v>
          </cell>
          <cell r="BC17" t="str">
            <v>A</v>
          </cell>
        </row>
        <row r="18">
          <cell r="C18" t="str">
            <v>MARÍN AQUINO BETZABETH EDALID</v>
          </cell>
          <cell r="N18" t="str">
            <v>B</v>
          </cell>
          <cell r="R18" t="str">
            <v>B</v>
          </cell>
          <cell r="V18" t="str">
            <v>B</v>
          </cell>
          <cell r="Z18" t="str">
            <v>A</v>
          </cell>
          <cell r="AH18" t="str">
            <v>A</v>
          </cell>
          <cell r="AL18" t="str">
            <v>B</v>
          </cell>
          <cell r="AP18" t="str">
            <v>A</v>
          </cell>
          <cell r="AT18" t="str">
            <v>B</v>
          </cell>
          <cell r="AZ18" t="str">
            <v>A</v>
          </cell>
          <cell r="BA18" t="str">
            <v>B</v>
          </cell>
          <cell r="BB18" t="str">
            <v>A</v>
          </cell>
          <cell r="BC18" t="str">
            <v>A</v>
          </cell>
        </row>
        <row r="19">
          <cell r="C19" t="str">
            <v>PACO JIMENEZ YAMILE VALENTINA</v>
          </cell>
          <cell r="N19" t="str">
            <v>A</v>
          </cell>
          <cell r="R19" t="str">
            <v>A</v>
          </cell>
          <cell r="V19" t="str">
            <v>A</v>
          </cell>
          <cell r="Z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T19" t="str">
            <v>B</v>
          </cell>
          <cell r="AZ19" t="str">
            <v>A</v>
          </cell>
          <cell r="BA19" t="str">
            <v>A</v>
          </cell>
          <cell r="BB19" t="str">
            <v>A</v>
          </cell>
          <cell r="BC19" t="str">
            <v>A</v>
          </cell>
        </row>
        <row r="20">
          <cell r="C20" t="str">
            <v>ROMERO TELLEZ VALESKA LARISSA</v>
          </cell>
          <cell r="N20" t="str">
            <v>B</v>
          </cell>
          <cell r="R20" t="str">
            <v>B</v>
          </cell>
          <cell r="V20" t="str">
            <v>B</v>
          </cell>
          <cell r="Z20" t="str">
            <v>A</v>
          </cell>
          <cell r="AH20" t="str">
            <v>A</v>
          </cell>
          <cell r="AL20" t="str">
            <v>A</v>
          </cell>
          <cell r="AP20" t="str">
            <v>B</v>
          </cell>
          <cell r="AT20" t="str">
            <v>A</v>
          </cell>
          <cell r="AZ20" t="str">
            <v>A</v>
          </cell>
          <cell r="BA20" t="str">
            <v>A</v>
          </cell>
          <cell r="BB20" t="str">
            <v>B</v>
          </cell>
          <cell r="BC20" t="str">
            <v>A</v>
          </cell>
        </row>
        <row r="21">
          <cell r="C21" t="str">
            <v>SULLCA CHIPANA JULIO CESAR MATIAS</v>
          </cell>
          <cell r="N21" t="str">
            <v>B</v>
          </cell>
          <cell r="R21" t="str">
            <v>B</v>
          </cell>
          <cell r="V21" t="str">
            <v>B</v>
          </cell>
          <cell r="Z21" t="str">
            <v>A</v>
          </cell>
          <cell r="AH21" t="str">
            <v>A</v>
          </cell>
          <cell r="AL21" t="str">
            <v>B</v>
          </cell>
          <cell r="AP21" t="str">
            <v>B</v>
          </cell>
          <cell r="AT21" t="str">
            <v>A</v>
          </cell>
          <cell r="AZ21" t="str">
            <v>A</v>
          </cell>
          <cell r="BA21" t="str">
            <v>B</v>
          </cell>
          <cell r="BB21" t="str">
            <v>B</v>
          </cell>
          <cell r="BC21" t="str">
            <v>A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Z22" t="str">
            <v/>
          </cell>
          <cell r="AH22" t="str">
            <v/>
          </cell>
          <cell r="AL22" t="str">
            <v/>
          </cell>
          <cell r="AP22" t="str">
            <v/>
          </cell>
          <cell r="AT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Z23" t="str">
            <v/>
          </cell>
          <cell r="AH23" t="str">
            <v/>
          </cell>
          <cell r="AL23" t="str">
            <v/>
          </cell>
          <cell r="AP23" t="str">
            <v/>
          </cell>
          <cell r="AT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Z24" t="str">
            <v/>
          </cell>
          <cell r="AH24" t="str">
            <v/>
          </cell>
          <cell r="AL24" t="str">
            <v/>
          </cell>
          <cell r="AP24" t="str">
            <v/>
          </cell>
          <cell r="AT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Z25" t="str">
            <v/>
          </cell>
          <cell r="AH25" t="str">
            <v/>
          </cell>
          <cell r="AL25" t="str">
            <v/>
          </cell>
          <cell r="AP25" t="str">
            <v/>
          </cell>
          <cell r="AT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Z26" t="str">
            <v/>
          </cell>
          <cell r="AH26" t="str">
            <v/>
          </cell>
          <cell r="AL26" t="str">
            <v/>
          </cell>
          <cell r="AP26" t="str">
            <v/>
          </cell>
          <cell r="AT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Z27" t="str">
            <v/>
          </cell>
          <cell r="AH27" t="str">
            <v/>
          </cell>
          <cell r="AL27" t="str">
            <v/>
          </cell>
          <cell r="AP27" t="str">
            <v/>
          </cell>
          <cell r="AT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Z28" t="str">
            <v/>
          </cell>
          <cell r="AH28" t="str">
            <v/>
          </cell>
          <cell r="AL28" t="str">
            <v/>
          </cell>
          <cell r="AP28" t="str">
            <v/>
          </cell>
          <cell r="AT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Z29" t="str">
            <v/>
          </cell>
          <cell r="AH29" t="str">
            <v/>
          </cell>
          <cell r="AL29" t="str">
            <v/>
          </cell>
          <cell r="AP29" t="str">
            <v/>
          </cell>
          <cell r="AT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Z30" t="str">
            <v/>
          </cell>
          <cell r="AH30" t="str">
            <v/>
          </cell>
          <cell r="AL30" t="str">
            <v/>
          </cell>
          <cell r="AP30" t="str">
            <v/>
          </cell>
          <cell r="AT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Z31" t="str">
            <v/>
          </cell>
          <cell r="AH31" t="str">
            <v/>
          </cell>
          <cell r="AL31" t="str">
            <v/>
          </cell>
          <cell r="AP31" t="str">
            <v/>
          </cell>
          <cell r="AT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Z32" t="str">
            <v/>
          </cell>
          <cell r="AH32" t="str">
            <v/>
          </cell>
          <cell r="AL32" t="str">
            <v/>
          </cell>
          <cell r="AP32" t="str">
            <v/>
          </cell>
          <cell r="AT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Z33" t="str">
            <v/>
          </cell>
          <cell r="AH33" t="str">
            <v/>
          </cell>
          <cell r="AL33" t="str">
            <v/>
          </cell>
          <cell r="AP33" t="str">
            <v/>
          </cell>
          <cell r="AT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Z34" t="str">
            <v/>
          </cell>
          <cell r="AH34" t="str">
            <v/>
          </cell>
          <cell r="AL34" t="str">
            <v/>
          </cell>
          <cell r="AP34" t="str">
            <v/>
          </cell>
          <cell r="AT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Z35" t="str">
            <v/>
          </cell>
          <cell r="AH35" t="str">
            <v/>
          </cell>
          <cell r="AL35" t="str">
            <v/>
          </cell>
          <cell r="AP35" t="str">
            <v/>
          </cell>
          <cell r="AT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Z36" t="str">
            <v/>
          </cell>
          <cell r="AH36" t="str">
            <v/>
          </cell>
          <cell r="AL36" t="str">
            <v/>
          </cell>
          <cell r="AP36" t="str">
            <v/>
          </cell>
          <cell r="AT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Z37" t="str">
            <v/>
          </cell>
          <cell r="AH37" t="str">
            <v/>
          </cell>
          <cell r="AL37" t="str">
            <v/>
          </cell>
          <cell r="AP37" t="str">
            <v/>
          </cell>
          <cell r="AT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Z38" t="str">
            <v/>
          </cell>
          <cell r="AH38" t="str">
            <v/>
          </cell>
          <cell r="AL38" t="str">
            <v/>
          </cell>
          <cell r="AP38" t="str">
            <v/>
          </cell>
          <cell r="AT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Z39" t="str">
            <v/>
          </cell>
          <cell r="AH39" t="str">
            <v/>
          </cell>
          <cell r="AL39" t="str">
            <v/>
          </cell>
          <cell r="AP39" t="str">
            <v/>
          </cell>
          <cell r="AT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Z40" t="str">
            <v/>
          </cell>
          <cell r="AH40" t="str">
            <v/>
          </cell>
          <cell r="AL40" t="str">
            <v/>
          </cell>
          <cell r="AP40" t="str">
            <v/>
          </cell>
          <cell r="AT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</row>
      </sheetData>
      <sheetData sheetId="1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B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A</v>
          </cell>
          <cell r="AL14" t="str">
            <v>A</v>
          </cell>
          <cell r="AP14" t="str">
            <v>B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A</v>
          </cell>
          <cell r="R15" t="str">
            <v>A</v>
          </cell>
          <cell r="V15" t="str">
            <v>A</v>
          </cell>
          <cell r="AH15" t="str">
            <v>A</v>
          </cell>
          <cell r="AL15" t="str">
            <v>A</v>
          </cell>
          <cell r="AP15" t="str">
            <v>B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B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A</v>
          </cell>
          <cell r="V17" t="str">
            <v>A</v>
          </cell>
          <cell r="AH17" t="str">
            <v>A</v>
          </cell>
          <cell r="AL17" t="str">
            <v>A</v>
          </cell>
          <cell r="AP17" t="str">
            <v>B</v>
          </cell>
          <cell r="AZ17" t="str">
            <v>A</v>
          </cell>
          <cell r="BA17" t="str">
            <v>A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A</v>
          </cell>
          <cell r="AL18" t="str">
            <v>A</v>
          </cell>
          <cell r="AP18" t="str">
            <v>B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B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B</v>
          </cell>
          <cell r="AH20" t="str">
            <v>A</v>
          </cell>
          <cell r="AL20" t="str">
            <v>B</v>
          </cell>
          <cell r="AP20" t="str">
            <v>B</v>
          </cell>
          <cell r="AZ20" t="str">
            <v>A</v>
          </cell>
          <cell r="BA20" t="str">
            <v>A</v>
          </cell>
          <cell r="BB20" t="str">
            <v>B</v>
          </cell>
        </row>
        <row r="21">
          <cell r="N21" t="str">
            <v>A</v>
          </cell>
          <cell r="R21" t="str">
            <v>A</v>
          </cell>
          <cell r="V21" t="str">
            <v>A</v>
          </cell>
          <cell r="AH21" t="str">
            <v>A</v>
          </cell>
          <cell r="AL21" t="str">
            <v>A</v>
          </cell>
          <cell r="AP21" t="str">
            <v>B</v>
          </cell>
          <cell r="AZ21" t="str">
            <v>A</v>
          </cell>
          <cell r="BA21" t="str">
            <v>A</v>
          </cell>
          <cell r="BB21" t="str">
            <v>A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AH22" t="str">
            <v/>
          </cell>
          <cell r="AL22" t="str">
            <v/>
          </cell>
          <cell r="AP22" t="str">
            <v/>
          </cell>
          <cell r="AZ22" t="str">
            <v/>
          </cell>
          <cell r="BA22" t="str">
            <v/>
          </cell>
          <cell r="BB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AH23" t="str">
            <v/>
          </cell>
          <cell r="AL23" t="str">
            <v/>
          </cell>
          <cell r="AP23" t="str">
            <v/>
          </cell>
          <cell r="AZ23" t="str">
            <v/>
          </cell>
          <cell r="BA23" t="str">
            <v/>
          </cell>
          <cell r="BB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AH24" t="str">
            <v/>
          </cell>
          <cell r="AL24" t="str">
            <v/>
          </cell>
          <cell r="AP24" t="str">
            <v/>
          </cell>
          <cell r="AZ24" t="str">
            <v/>
          </cell>
          <cell r="BA24" t="str">
            <v/>
          </cell>
          <cell r="BB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AH25" t="str">
            <v/>
          </cell>
          <cell r="AL25" t="str">
            <v/>
          </cell>
          <cell r="AP25" t="str">
            <v/>
          </cell>
          <cell r="AZ25" t="str">
            <v/>
          </cell>
          <cell r="BA25" t="str">
            <v/>
          </cell>
          <cell r="BB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AH26" t="str">
            <v/>
          </cell>
          <cell r="AL26" t="str">
            <v/>
          </cell>
          <cell r="AP26" t="str">
            <v/>
          </cell>
          <cell r="AZ26" t="str">
            <v/>
          </cell>
          <cell r="BA26" t="str">
            <v/>
          </cell>
          <cell r="BB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AH27" t="str">
            <v/>
          </cell>
          <cell r="AL27" t="str">
            <v/>
          </cell>
          <cell r="AP27" t="str">
            <v/>
          </cell>
          <cell r="AZ27" t="str">
            <v/>
          </cell>
          <cell r="BA27" t="str">
            <v/>
          </cell>
          <cell r="BB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AH28" t="str">
            <v/>
          </cell>
          <cell r="AL28" t="str">
            <v/>
          </cell>
          <cell r="AP28" t="str">
            <v/>
          </cell>
          <cell r="AZ28" t="str">
            <v/>
          </cell>
          <cell r="BA28" t="str">
            <v/>
          </cell>
          <cell r="BB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AH29" t="str">
            <v/>
          </cell>
          <cell r="AL29" t="str">
            <v/>
          </cell>
          <cell r="AP29" t="str">
            <v/>
          </cell>
          <cell r="AZ29" t="str">
            <v/>
          </cell>
          <cell r="BA29" t="str">
            <v/>
          </cell>
          <cell r="BB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AH30" t="str">
            <v/>
          </cell>
          <cell r="AL30" t="str">
            <v/>
          </cell>
          <cell r="AP30" t="str">
            <v/>
          </cell>
          <cell r="AZ30" t="str">
            <v/>
          </cell>
          <cell r="BA30" t="str">
            <v/>
          </cell>
          <cell r="BB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AH31" t="str">
            <v/>
          </cell>
          <cell r="AL31" t="str">
            <v/>
          </cell>
          <cell r="AP31" t="str">
            <v/>
          </cell>
          <cell r="AZ31" t="str">
            <v/>
          </cell>
          <cell r="BA31" t="str">
            <v/>
          </cell>
          <cell r="BB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AH32" t="str">
            <v/>
          </cell>
          <cell r="AL32" t="str">
            <v/>
          </cell>
          <cell r="AP32" t="str">
            <v/>
          </cell>
          <cell r="AZ32" t="str">
            <v/>
          </cell>
          <cell r="BA32" t="str">
            <v/>
          </cell>
          <cell r="BB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AH33" t="str">
            <v/>
          </cell>
          <cell r="AL33" t="str">
            <v/>
          </cell>
          <cell r="AP33" t="str">
            <v/>
          </cell>
          <cell r="AZ33" t="str">
            <v/>
          </cell>
          <cell r="BA33" t="str">
            <v/>
          </cell>
          <cell r="BB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AH34" t="str">
            <v/>
          </cell>
          <cell r="AL34" t="str">
            <v/>
          </cell>
          <cell r="AP34" t="str">
            <v/>
          </cell>
          <cell r="AZ34" t="str">
            <v/>
          </cell>
          <cell r="BA34" t="str">
            <v/>
          </cell>
          <cell r="BB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AH35" t="str">
            <v/>
          </cell>
          <cell r="AL35" t="str">
            <v/>
          </cell>
          <cell r="AP35" t="str">
            <v/>
          </cell>
          <cell r="AZ35" t="str">
            <v/>
          </cell>
          <cell r="BA35" t="str">
            <v/>
          </cell>
          <cell r="BB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AH36" t="str">
            <v/>
          </cell>
          <cell r="AL36" t="str">
            <v/>
          </cell>
          <cell r="AP36" t="str">
            <v/>
          </cell>
          <cell r="AZ36" t="str">
            <v/>
          </cell>
          <cell r="BA36" t="str">
            <v/>
          </cell>
          <cell r="BB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AH37" t="str">
            <v/>
          </cell>
          <cell r="AL37" t="str">
            <v/>
          </cell>
          <cell r="AP37" t="str">
            <v/>
          </cell>
          <cell r="AZ37" t="str">
            <v/>
          </cell>
          <cell r="BA37" t="str">
            <v/>
          </cell>
          <cell r="BB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2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A</v>
          </cell>
          <cell r="R14" t="str">
            <v>A</v>
          </cell>
          <cell r="V14" t="str">
            <v>A</v>
          </cell>
          <cell r="AH14" t="str">
            <v>A</v>
          </cell>
          <cell r="AL14" t="str">
            <v>A</v>
          </cell>
          <cell r="AP14" t="str">
            <v>A</v>
          </cell>
          <cell r="AZ14" t="str">
            <v>A</v>
          </cell>
          <cell r="BA14" t="str">
            <v>A</v>
          </cell>
          <cell r="BB14" t="str">
            <v>A</v>
          </cell>
        </row>
        <row r="15">
          <cell r="N15" t="str">
            <v>A</v>
          </cell>
          <cell r="R15" t="str">
            <v>A</v>
          </cell>
          <cell r="V15" t="str">
            <v>A</v>
          </cell>
          <cell r="AH15" t="str">
            <v>A</v>
          </cell>
          <cell r="AL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A</v>
          </cell>
          <cell r="V17" t="str">
            <v>A</v>
          </cell>
          <cell r="AH17" t="str">
            <v>A</v>
          </cell>
          <cell r="AL17" t="str">
            <v>A</v>
          </cell>
          <cell r="AP17" t="str">
            <v>A</v>
          </cell>
          <cell r="AZ17" t="str">
            <v>A</v>
          </cell>
          <cell r="BA17" t="str">
            <v>A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A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A</v>
          </cell>
          <cell r="AH20" t="str">
            <v>A</v>
          </cell>
          <cell r="AL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A</v>
          </cell>
          <cell r="R21" t="str">
            <v>A</v>
          </cell>
          <cell r="V21" t="str">
            <v>A</v>
          </cell>
          <cell r="AH21" t="str">
            <v>A</v>
          </cell>
          <cell r="AL21" t="str">
            <v>A</v>
          </cell>
          <cell r="AP21" t="str">
            <v>A</v>
          </cell>
          <cell r="AZ21" t="str">
            <v>A</v>
          </cell>
          <cell r="BA21" t="str">
            <v>A</v>
          </cell>
          <cell r="BB21" t="str">
            <v>A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AH22" t="str">
            <v/>
          </cell>
          <cell r="AL22" t="str">
            <v/>
          </cell>
          <cell r="AP22" t="str">
            <v/>
          </cell>
          <cell r="AZ22" t="str">
            <v/>
          </cell>
          <cell r="BA22" t="str">
            <v/>
          </cell>
          <cell r="BB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AH23" t="str">
            <v/>
          </cell>
          <cell r="AL23" t="str">
            <v/>
          </cell>
          <cell r="AP23" t="str">
            <v/>
          </cell>
          <cell r="AZ23" t="str">
            <v/>
          </cell>
          <cell r="BA23" t="str">
            <v/>
          </cell>
          <cell r="BB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AH24" t="str">
            <v/>
          </cell>
          <cell r="AL24" t="str">
            <v/>
          </cell>
          <cell r="AP24" t="str">
            <v/>
          </cell>
          <cell r="AZ24" t="str">
            <v/>
          </cell>
          <cell r="BA24" t="str">
            <v/>
          </cell>
          <cell r="BB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AH25" t="str">
            <v/>
          </cell>
          <cell r="AL25" t="str">
            <v/>
          </cell>
          <cell r="AP25" t="str">
            <v/>
          </cell>
          <cell r="AZ25" t="str">
            <v/>
          </cell>
          <cell r="BA25" t="str">
            <v/>
          </cell>
          <cell r="BB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AH26" t="str">
            <v/>
          </cell>
          <cell r="AL26" t="str">
            <v/>
          </cell>
          <cell r="AP26" t="str">
            <v/>
          </cell>
          <cell r="AZ26" t="str">
            <v/>
          </cell>
          <cell r="BA26" t="str">
            <v/>
          </cell>
          <cell r="BB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AH27" t="str">
            <v/>
          </cell>
          <cell r="AL27" t="str">
            <v/>
          </cell>
          <cell r="AP27" t="str">
            <v/>
          </cell>
          <cell r="AZ27" t="str">
            <v/>
          </cell>
          <cell r="BA27" t="str">
            <v/>
          </cell>
          <cell r="BB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AH28" t="str">
            <v/>
          </cell>
          <cell r="AL28" t="str">
            <v/>
          </cell>
          <cell r="AP28" t="str">
            <v/>
          </cell>
          <cell r="AZ28" t="str">
            <v/>
          </cell>
          <cell r="BA28" t="str">
            <v/>
          </cell>
          <cell r="BB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AH29" t="str">
            <v/>
          </cell>
          <cell r="AL29" t="str">
            <v/>
          </cell>
          <cell r="AP29" t="str">
            <v/>
          </cell>
          <cell r="AZ29" t="str">
            <v/>
          </cell>
          <cell r="BA29" t="str">
            <v/>
          </cell>
          <cell r="BB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AH30" t="str">
            <v/>
          </cell>
          <cell r="AL30" t="str">
            <v/>
          </cell>
          <cell r="AP30" t="str">
            <v/>
          </cell>
          <cell r="AZ30" t="str">
            <v/>
          </cell>
          <cell r="BA30" t="str">
            <v/>
          </cell>
          <cell r="BB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AH31" t="str">
            <v/>
          </cell>
          <cell r="AL31" t="str">
            <v/>
          </cell>
          <cell r="AP31" t="str">
            <v/>
          </cell>
          <cell r="AZ31" t="str">
            <v/>
          </cell>
          <cell r="BA31" t="str">
            <v/>
          </cell>
          <cell r="BB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AH32" t="str">
            <v/>
          </cell>
          <cell r="AL32" t="str">
            <v/>
          </cell>
          <cell r="AP32" t="str">
            <v/>
          </cell>
          <cell r="AZ32" t="str">
            <v/>
          </cell>
          <cell r="BA32" t="str">
            <v/>
          </cell>
          <cell r="BB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AH33" t="str">
            <v/>
          </cell>
          <cell r="AL33" t="str">
            <v/>
          </cell>
          <cell r="AP33" t="str">
            <v/>
          </cell>
          <cell r="AZ33" t="str">
            <v/>
          </cell>
          <cell r="BA33" t="str">
            <v/>
          </cell>
          <cell r="BB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AH34" t="str">
            <v/>
          </cell>
          <cell r="AL34" t="str">
            <v/>
          </cell>
          <cell r="AP34" t="str">
            <v/>
          </cell>
          <cell r="AZ34" t="str">
            <v/>
          </cell>
          <cell r="BA34" t="str">
            <v/>
          </cell>
          <cell r="BB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AH35" t="str">
            <v/>
          </cell>
          <cell r="AL35" t="str">
            <v/>
          </cell>
          <cell r="AP35" t="str">
            <v/>
          </cell>
          <cell r="AZ35" t="str">
            <v/>
          </cell>
          <cell r="BA35" t="str">
            <v/>
          </cell>
          <cell r="BB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AH36" t="str">
            <v/>
          </cell>
          <cell r="AL36" t="str">
            <v/>
          </cell>
          <cell r="AP36" t="str">
            <v/>
          </cell>
          <cell r="AZ36" t="str">
            <v/>
          </cell>
          <cell r="BA36" t="str">
            <v/>
          </cell>
          <cell r="BB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AH37" t="str">
            <v/>
          </cell>
          <cell r="AL37" t="str">
            <v/>
          </cell>
          <cell r="AP37" t="str">
            <v/>
          </cell>
          <cell r="AZ37" t="str">
            <v/>
          </cell>
          <cell r="BA37" t="str">
            <v/>
          </cell>
          <cell r="BB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3">
        <row r="13">
          <cell r="N13" t="str">
            <v>A</v>
          </cell>
          <cell r="R13" t="str">
            <v>A</v>
          </cell>
          <cell r="AH13" t="str">
            <v>A</v>
          </cell>
          <cell r="AL13" t="str">
            <v>B</v>
          </cell>
          <cell r="AZ13" t="str">
            <v>A</v>
          </cell>
          <cell r="BA13" t="str">
            <v>A</v>
          </cell>
        </row>
        <row r="14">
          <cell r="N14" t="str">
            <v>A</v>
          </cell>
          <cell r="R14" t="str">
            <v>A</v>
          </cell>
          <cell r="AH14" t="str">
            <v>A</v>
          </cell>
          <cell r="AL14" t="str">
            <v>B</v>
          </cell>
          <cell r="AZ14" t="str">
            <v>A</v>
          </cell>
          <cell r="BA14" t="str">
            <v>A</v>
          </cell>
        </row>
        <row r="15">
          <cell r="N15" t="str">
            <v>A</v>
          </cell>
          <cell r="R15" t="str">
            <v>A</v>
          </cell>
          <cell r="AH15" t="str">
            <v>A</v>
          </cell>
          <cell r="AL15" t="str">
            <v>B</v>
          </cell>
          <cell r="AZ15" t="str">
            <v>A</v>
          </cell>
          <cell r="BA15" t="str">
            <v>A</v>
          </cell>
        </row>
        <row r="16">
          <cell r="N16" t="str">
            <v>A</v>
          </cell>
          <cell r="R16" t="str">
            <v>A</v>
          </cell>
          <cell r="AH16" t="str">
            <v>A</v>
          </cell>
          <cell r="AL16" t="str">
            <v>A</v>
          </cell>
          <cell r="AZ16" t="str">
            <v>A</v>
          </cell>
          <cell r="BA16" t="str">
            <v>A</v>
          </cell>
        </row>
        <row r="17">
          <cell r="N17" t="str">
            <v>A</v>
          </cell>
          <cell r="R17" t="str">
            <v>A</v>
          </cell>
          <cell r="AH17" t="str">
            <v>A</v>
          </cell>
          <cell r="AL17" t="str">
            <v>A</v>
          </cell>
          <cell r="AZ17" t="str">
            <v>A</v>
          </cell>
          <cell r="BA17" t="str">
            <v>A</v>
          </cell>
        </row>
        <row r="18">
          <cell r="N18" t="str">
            <v>A</v>
          </cell>
          <cell r="R18" t="str">
            <v>A</v>
          </cell>
          <cell r="AH18" t="str">
            <v>A</v>
          </cell>
          <cell r="AL18" t="str">
            <v>A</v>
          </cell>
          <cell r="AZ18" t="str">
            <v>A</v>
          </cell>
          <cell r="BA18" t="str">
            <v>A</v>
          </cell>
        </row>
        <row r="19">
          <cell r="N19" t="str">
            <v>A</v>
          </cell>
          <cell r="R19" t="str">
            <v>A</v>
          </cell>
          <cell r="AH19" t="str">
            <v>A</v>
          </cell>
          <cell r="AL19" t="str">
            <v>A</v>
          </cell>
          <cell r="AZ19" t="str">
            <v>A</v>
          </cell>
          <cell r="BA19" t="str">
            <v>A</v>
          </cell>
        </row>
        <row r="20">
          <cell r="N20" t="str">
            <v>A</v>
          </cell>
          <cell r="R20" t="str">
            <v>A</v>
          </cell>
          <cell r="AH20" t="str">
            <v>A</v>
          </cell>
          <cell r="AL20" t="str">
            <v>B</v>
          </cell>
          <cell r="AZ20" t="str">
            <v>A</v>
          </cell>
          <cell r="BA20" t="str">
            <v>A</v>
          </cell>
        </row>
        <row r="21">
          <cell r="N21" t="str">
            <v>A</v>
          </cell>
          <cell r="R21" t="str">
            <v>A</v>
          </cell>
          <cell r="AH21" t="str">
            <v>A</v>
          </cell>
          <cell r="AL21" t="str">
            <v>B</v>
          </cell>
          <cell r="AZ21" t="str">
            <v>A</v>
          </cell>
          <cell r="BA21" t="str">
            <v>A</v>
          </cell>
        </row>
        <row r="22">
          <cell r="N22" t="str">
            <v/>
          </cell>
          <cell r="R22" t="str">
            <v/>
          </cell>
          <cell r="AH22" t="str">
            <v/>
          </cell>
          <cell r="AL22" t="str">
            <v/>
          </cell>
          <cell r="AZ22" t="str">
            <v/>
          </cell>
          <cell r="BA22" t="str">
            <v/>
          </cell>
        </row>
        <row r="23">
          <cell r="N23" t="str">
            <v/>
          </cell>
          <cell r="R23" t="str">
            <v/>
          </cell>
          <cell r="AH23" t="str">
            <v/>
          </cell>
          <cell r="AL23" t="str">
            <v/>
          </cell>
          <cell r="AZ23" t="str">
            <v/>
          </cell>
          <cell r="BA23" t="str">
            <v/>
          </cell>
        </row>
        <row r="24">
          <cell r="N24" t="str">
            <v/>
          </cell>
          <cell r="R24" t="str">
            <v/>
          </cell>
          <cell r="AH24" t="str">
            <v/>
          </cell>
          <cell r="AL24" t="str">
            <v/>
          </cell>
          <cell r="AZ24" t="str">
            <v/>
          </cell>
          <cell r="BA24" t="str">
            <v/>
          </cell>
        </row>
        <row r="25">
          <cell r="N25" t="str">
            <v/>
          </cell>
          <cell r="R25" t="str">
            <v/>
          </cell>
          <cell r="AH25" t="str">
            <v/>
          </cell>
          <cell r="AL25" t="str">
            <v/>
          </cell>
          <cell r="AZ25" t="str">
            <v/>
          </cell>
          <cell r="BA25" t="str">
            <v/>
          </cell>
        </row>
        <row r="26">
          <cell r="N26" t="str">
            <v/>
          </cell>
          <cell r="R26" t="str">
            <v/>
          </cell>
          <cell r="AH26" t="str">
            <v/>
          </cell>
          <cell r="AL26" t="str">
            <v/>
          </cell>
          <cell r="AZ26" t="str">
            <v/>
          </cell>
          <cell r="BA26" t="str">
            <v/>
          </cell>
        </row>
        <row r="27">
          <cell r="N27" t="str">
            <v/>
          </cell>
          <cell r="R27" t="str">
            <v/>
          </cell>
          <cell r="AH27" t="str">
            <v/>
          </cell>
          <cell r="AL27" t="str">
            <v/>
          </cell>
          <cell r="AZ27" t="str">
            <v/>
          </cell>
          <cell r="BA27" t="str">
            <v/>
          </cell>
        </row>
        <row r="28">
          <cell r="N28" t="str">
            <v/>
          </cell>
          <cell r="R28" t="str">
            <v/>
          </cell>
          <cell r="AH28" t="str">
            <v/>
          </cell>
          <cell r="AL28" t="str">
            <v/>
          </cell>
          <cell r="AZ28" t="str">
            <v/>
          </cell>
          <cell r="BA28" t="str">
            <v/>
          </cell>
        </row>
        <row r="29">
          <cell r="N29" t="str">
            <v/>
          </cell>
          <cell r="R29" t="str">
            <v/>
          </cell>
          <cell r="AH29" t="str">
            <v/>
          </cell>
          <cell r="AL29" t="str">
            <v/>
          </cell>
          <cell r="AZ29" t="str">
            <v/>
          </cell>
          <cell r="BA29" t="str">
            <v/>
          </cell>
        </row>
        <row r="30">
          <cell r="N30" t="str">
            <v/>
          </cell>
          <cell r="R30" t="str">
            <v/>
          </cell>
          <cell r="AH30" t="str">
            <v/>
          </cell>
          <cell r="AL30" t="str">
            <v/>
          </cell>
          <cell r="AZ30" t="str">
            <v/>
          </cell>
          <cell r="BA30" t="str">
            <v/>
          </cell>
        </row>
        <row r="31">
          <cell r="N31" t="str">
            <v/>
          </cell>
          <cell r="R31" t="str">
            <v/>
          </cell>
          <cell r="AH31" t="str">
            <v/>
          </cell>
          <cell r="AL31" t="str">
            <v/>
          </cell>
          <cell r="AZ31" t="str">
            <v/>
          </cell>
          <cell r="BA31" t="str">
            <v/>
          </cell>
        </row>
        <row r="32">
          <cell r="N32" t="str">
            <v/>
          </cell>
          <cell r="R32" t="str">
            <v/>
          </cell>
          <cell r="AH32" t="str">
            <v/>
          </cell>
          <cell r="AL32" t="str">
            <v/>
          </cell>
          <cell r="AZ32" t="str">
            <v/>
          </cell>
          <cell r="BA32" t="str">
            <v/>
          </cell>
        </row>
        <row r="33">
          <cell r="N33" t="str">
            <v/>
          </cell>
          <cell r="R33" t="str">
            <v/>
          </cell>
          <cell r="AH33" t="str">
            <v/>
          </cell>
          <cell r="AL33" t="str">
            <v/>
          </cell>
          <cell r="AZ33" t="str">
            <v/>
          </cell>
          <cell r="BA33" t="str">
            <v/>
          </cell>
        </row>
        <row r="34">
          <cell r="N34" t="str">
            <v/>
          </cell>
          <cell r="R34" t="str">
            <v/>
          </cell>
          <cell r="AH34" t="str">
            <v/>
          </cell>
          <cell r="AL34" t="str">
            <v/>
          </cell>
          <cell r="AZ34" t="str">
            <v/>
          </cell>
          <cell r="BA34" t="str">
            <v/>
          </cell>
        </row>
        <row r="35">
          <cell r="N35" t="str">
            <v/>
          </cell>
          <cell r="R35" t="str">
            <v/>
          </cell>
          <cell r="AH35" t="str">
            <v/>
          </cell>
          <cell r="AL35" t="str">
            <v/>
          </cell>
          <cell r="AZ35" t="str">
            <v/>
          </cell>
          <cell r="BA35" t="str">
            <v/>
          </cell>
        </row>
        <row r="36">
          <cell r="N36" t="str">
            <v/>
          </cell>
          <cell r="R36" t="str">
            <v/>
          </cell>
          <cell r="AH36" t="str">
            <v/>
          </cell>
          <cell r="AL36" t="str">
            <v/>
          </cell>
          <cell r="AZ36" t="str">
            <v/>
          </cell>
          <cell r="BA36" t="str">
            <v/>
          </cell>
        </row>
        <row r="37">
          <cell r="N37" t="str">
            <v/>
          </cell>
          <cell r="R37" t="str">
            <v/>
          </cell>
          <cell r="AH37" t="str">
            <v/>
          </cell>
          <cell r="AL37" t="str">
            <v/>
          </cell>
          <cell r="AZ37" t="str">
            <v/>
          </cell>
          <cell r="BA37" t="str">
            <v/>
          </cell>
        </row>
        <row r="38">
          <cell r="N38" t="str">
            <v/>
          </cell>
          <cell r="R38" t="str">
            <v/>
          </cell>
          <cell r="AH38" t="str">
            <v/>
          </cell>
          <cell r="AL38" t="str">
            <v/>
          </cell>
          <cell r="AZ38" t="str">
            <v/>
          </cell>
          <cell r="BA38" t="str">
            <v/>
          </cell>
        </row>
        <row r="39">
          <cell r="N39" t="str">
            <v/>
          </cell>
          <cell r="R39" t="str">
            <v/>
          </cell>
          <cell r="AH39" t="str">
            <v/>
          </cell>
          <cell r="AL39" t="str">
            <v/>
          </cell>
          <cell r="AZ39" t="str">
            <v/>
          </cell>
          <cell r="BA39" t="str">
            <v/>
          </cell>
        </row>
        <row r="40">
          <cell r="N40" t="str">
            <v/>
          </cell>
          <cell r="R40" t="str">
            <v/>
          </cell>
          <cell r="AH40" t="str">
            <v/>
          </cell>
          <cell r="AL40" t="str">
            <v/>
          </cell>
          <cell r="AZ40" t="str">
            <v/>
          </cell>
          <cell r="BA40" t="str">
            <v/>
          </cell>
        </row>
      </sheetData>
      <sheetData sheetId="4">
        <row r="13">
          <cell r="N13" t="str">
            <v>A</v>
          </cell>
          <cell r="R13" t="str">
            <v>A</v>
          </cell>
          <cell r="AH13" t="str">
            <v>A</v>
          </cell>
          <cell r="AL13" t="str">
            <v>A</v>
          </cell>
          <cell r="AZ13" t="str">
            <v>A</v>
          </cell>
          <cell r="BA13" t="str">
            <v>A</v>
          </cell>
        </row>
        <row r="14">
          <cell r="N14" t="str">
            <v>A</v>
          </cell>
          <cell r="R14" t="str">
            <v>A</v>
          </cell>
          <cell r="AH14" t="str">
            <v>A</v>
          </cell>
          <cell r="AL14" t="str">
            <v>A</v>
          </cell>
          <cell r="AZ14" t="str">
            <v>A</v>
          </cell>
          <cell r="BA14" t="str">
            <v>A</v>
          </cell>
        </row>
        <row r="15">
          <cell r="N15" t="str">
            <v>A</v>
          </cell>
          <cell r="R15" t="str">
            <v>A</v>
          </cell>
          <cell r="AH15" t="str">
            <v>A</v>
          </cell>
          <cell r="AL15" t="str">
            <v>A</v>
          </cell>
          <cell r="AZ15" t="str">
            <v>A</v>
          </cell>
          <cell r="BA15" t="str">
            <v>A</v>
          </cell>
        </row>
        <row r="16">
          <cell r="N16" t="str">
            <v>A</v>
          </cell>
          <cell r="R16" t="str">
            <v>A</v>
          </cell>
          <cell r="AH16" t="str">
            <v>A</v>
          </cell>
          <cell r="AL16" t="str">
            <v>A</v>
          </cell>
          <cell r="AZ16" t="str">
            <v>A</v>
          </cell>
          <cell r="BA16" t="str">
            <v>A</v>
          </cell>
        </row>
        <row r="17">
          <cell r="N17" t="str">
            <v>A</v>
          </cell>
          <cell r="R17" t="str">
            <v>A</v>
          </cell>
          <cell r="AH17" t="str">
            <v>A</v>
          </cell>
          <cell r="AL17" t="str">
            <v>A</v>
          </cell>
          <cell r="AZ17" t="str">
            <v>A</v>
          </cell>
          <cell r="BA17" t="str">
            <v>A</v>
          </cell>
        </row>
        <row r="18">
          <cell r="N18" t="str">
            <v>A</v>
          </cell>
          <cell r="R18" t="str">
            <v>A</v>
          </cell>
          <cell r="AH18" t="str">
            <v>A</v>
          </cell>
          <cell r="AL18" t="str">
            <v>A</v>
          </cell>
          <cell r="AZ18" t="str">
            <v>A</v>
          </cell>
          <cell r="BA18" t="str">
            <v>A</v>
          </cell>
        </row>
        <row r="19">
          <cell r="N19" t="str">
            <v>A</v>
          </cell>
          <cell r="R19" t="str">
            <v>A</v>
          </cell>
          <cell r="AH19" t="str">
            <v>A</v>
          </cell>
          <cell r="AL19" t="str">
            <v>A</v>
          </cell>
          <cell r="AZ19" t="str">
            <v>A</v>
          </cell>
          <cell r="BA19" t="str">
            <v>A</v>
          </cell>
        </row>
        <row r="20">
          <cell r="N20" t="str">
            <v>A</v>
          </cell>
          <cell r="R20" t="str">
            <v>A</v>
          </cell>
          <cell r="AH20" t="str">
            <v>A</v>
          </cell>
          <cell r="AL20" t="str">
            <v>A</v>
          </cell>
          <cell r="AZ20" t="str">
            <v>A</v>
          </cell>
          <cell r="BA20" t="str">
            <v>A</v>
          </cell>
        </row>
        <row r="21">
          <cell r="N21" t="str">
            <v>A</v>
          </cell>
          <cell r="R21" t="str">
            <v>A</v>
          </cell>
          <cell r="AH21" t="str">
            <v>A</v>
          </cell>
          <cell r="AL21" t="str">
            <v>A</v>
          </cell>
          <cell r="AZ21" t="str">
            <v>A</v>
          </cell>
          <cell r="BA21" t="str">
            <v>A</v>
          </cell>
        </row>
        <row r="22">
          <cell r="N22" t="str">
            <v/>
          </cell>
          <cell r="R22" t="str">
            <v/>
          </cell>
          <cell r="AH22" t="str">
            <v/>
          </cell>
          <cell r="AL22" t="str">
            <v/>
          </cell>
          <cell r="AZ22" t="str">
            <v/>
          </cell>
          <cell r="BA22" t="str">
            <v/>
          </cell>
        </row>
        <row r="23">
          <cell r="N23" t="str">
            <v/>
          </cell>
          <cell r="R23" t="str">
            <v/>
          </cell>
          <cell r="AH23" t="str">
            <v/>
          </cell>
          <cell r="AL23" t="str">
            <v/>
          </cell>
          <cell r="AZ23" t="str">
            <v/>
          </cell>
          <cell r="BA23" t="str">
            <v/>
          </cell>
        </row>
        <row r="24">
          <cell r="N24" t="str">
            <v/>
          </cell>
          <cell r="R24" t="str">
            <v/>
          </cell>
          <cell r="AH24" t="str">
            <v/>
          </cell>
          <cell r="AL24" t="str">
            <v/>
          </cell>
          <cell r="AZ24" t="str">
            <v/>
          </cell>
          <cell r="BA24" t="str">
            <v/>
          </cell>
        </row>
        <row r="25">
          <cell r="N25" t="str">
            <v/>
          </cell>
          <cell r="R25" t="str">
            <v/>
          </cell>
          <cell r="AH25" t="str">
            <v/>
          </cell>
          <cell r="AL25" t="str">
            <v/>
          </cell>
          <cell r="AZ25" t="str">
            <v/>
          </cell>
          <cell r="BA25" t="str">
            <v/>
          </cell>
        </row>
        <row r="26">
          <cell r="N26" t="str">
            <v/>
          </cell>
          <cell r="R26" t="str">
            <v/>
          </cell>
          <cell r="AH26" t="str">
            <v/>
          </cell>
          <cell r="AL26" t="str">
            <v/>
          </cell>
          <cell r="AZ26" t="str">
            <v/>
          </cell>
          <cell r="BA26" t="str">
            <v/>
          </cell>
        </row>
        <row r="27">
          <cell r="N27" t="str">
            <v/>
          </cell>
          <cell r="R27" t="str">
            <v/>
          </cell>
          <cell r="AH27" t="str">
            <v/>
          </cell>
          <cell r="AL27" t="str">
            <v/>
          </cell>
          <cell r="AZ27" t="str">
            <v/>
          </cell>
          <cell r="BA27" t="str">
            <v/>
          </cell>
        </row>
        <row r="28">
          <cell r="N28" t="str">
            <v/>
          </cell>
          <cell r="R28" t="str">
            <v/>
          </cell>
          <cell r="AH28" t="str">
            <v/>
          </cell>
          <cell r="AL28" t="str">
            <v/>
          </cell>
          <cell r="AZ28" t="str">
            <v/>
          </cell>
          <cell r="BA28" t="str">
            <v/>
          </cell>
        </row>
        <row r="29">
          <cell r="N29" t="str">
            <v/>
          </cell>
          <cell r="R29" t="str">
            <v/>
          </cell>
          <cell r="AH29" t="str">
            <v/>
          </cell>
          <cell r="AL29" t="str">
            <v/>
          </cell>
          <cell r="AZ29" t="str">
            <v/>
          </cell>
          <cell r="BA29" t="str">
            <v/>
          </cell>
        </row>
        <row r="30">
          <cell r="N30" t="str">
            <v/>
          </cell>
          <cell r="R30" t="str">
            <v/>
          </cell>
          <cell r="AH30" t="str">
            <v/>
          </cell>
          <cell r="AL30" t="str">
            <v/>
          </cell>
          <cell r="AZ30" t="str">
            <v/>
          </cell>
          <cell r="BA30" t="str">
            <v/>
          </cell>
        </row>
        <row r="31">
          <cell r="N31" t="str">
            <v/>
          </cell>
          <cell r="R31" t="str">
            <v/>
          </cell>
          <cell r="AH31" t="str">
            <v/>
          </cell>
          <cell r="AL31" t="str">
            <v/>
          </cell>
          <cell r="AZ31" t="str">
            <v/>
          </cell>
          <cell r="BA31" t="str">
            <v/>
          </cell>
        </row>
        <row r="32">
          <cell r="N32" t="str">
            <v/>
          </cell>
          <cell r="R32" t="str">
            <v/>
          </cell>
          <cell r="AH32" t="str">
            <v/>
          </cell>
          <cell r="AL32" t="str">
            <v/>
          </cell>
          <cell r="AZ32" t="str">
            <v/>
          </cell>
          <cell r="BA32" t="str">
            <v/>
          </cell>
        </row>
        <row r="33">
          <cell r="N33" t="str">
            <v/>
          </cell>
          <cell r="R33" t="str">
            <v/>
          </cell>
          <cell r="AH33" t="str">
            <v/>
          </cell>
          <cell r="AL33" t="str">
            <v/>
          </cell>
          <cell r="AZ33" t="str">
            <v/>
          </cell>
          <cell r="BA33" t="str">
            <v/>
          </cell>
        </row>
        <row r="34">
          <cell r="N34" t="str">
            <v/>
          </cell>
          <cell r="R34" t="str">
            <v/>
          </cell>
          <cell r="AH34" t="str">
            <v/>
          </cell>
          <cell r="AL34" t="str">
            <v/>
          </cell>
          <cell r="AZ34" t="str">
            <v/>
          </cell>
          <cell r="BA34" t="str">
            <v/>
          </cell>
        </row>
        <row r="35">
          <cell r="N35" t="str">
            <v/>
          </cell>
          <cell r="R35" t="str">
            <v/>
          </cell>
          <cell r="AH35" t="str">
            <v/>
          </cell>
          <cell r="AL35" t="str">
            <v/>
          </cell>
          <cell r="AZ35" t="str">
            <v/>
          </cell>
          <cell r="BA35" t="str">
            <v/>
          </cell>
        </row>
        <row r="36">
          <cell r="N36" t="str">
            <v/>
          </cell>
          <cell r="R36" t="str">
            <v/>
          </cell>
          <cell r="AH36" t="str">
            <v/>
          </cell>
          <cell r="AL36" t="str">
            <v/>
          </cell>
          <cell r="AZ36" t="str">
            <v/>
          </cell>
          <cell r="BA36" t="str">
            <v/>
          </cell>
        </row>
        <row r="37">
          <cell r="N37" t="str">
            <v/>
          </cell>
          <cell r="R37" t="str">
            <v/>
          </cell>
          <cell r="AH37" t="str">
            <v/>
          </cell>
          <cell r="AL37" t="str">
            <v/>
          </cell>
          <cell r="AZ37" t="str">
            <v/>
          </cell>
          <cell r="BA37" t="str">
            <v/>
          </cell>
        </row>
        <row r="38">
          <cell r="N38" t="str">
            <v/>
          </cell>
          <cell r="R38" t="str">
            <v/>
          </cell>
          <cell r="AH38" t="str">
            <v/>
          </cell>
          <cell r="AL38" t="str">
            <v/>
          </cell>
          <cell r="AZ38" t="str">
            <v/>
          </cell>
          <cell r="BA38" t="str">
            <v/>
          </cell>
        </row>
        <row r="39">
          <cell r="N39" t="str">
            <v/>
          </cell>
          <cell r="R39" t="str">
            <v/>
          </cell>
          <cell r="AH39" t="str">
            <v/>
          </cell>
          <cell r="AL39" t="str">
            <v/>
          </cell>
          <cell r="AZ39" t="str">
            <v/>
          </cell>
          <cell r="BA39" t="str">
            <v/>
          </cell>
        </row>
        <row r="40">
          <cell r="N40" t="str">
            <v/>
          </cell>
          <cell r="R40" t="str">
            <v/>
          </cell>
          <cell r="AH40" t="str">
            <v/>
          </cell>
          <cell r="AL40" t="str">
            <v/>
          </cell>
          <cell r="AZ40" t="str">
            <v/>
          </cell>
          <cell r="BA40" t="str">
            <v/>
          </cell>
        </row>
      </sheetData>
      <sheetData sheetId="5">
        <row r="13">
          <cell r="N13" t="str">
            <v>B</v>
          </cell>
          <cell r="R13" t="str">
            <v>C</v>
          </cell>
          <cell r="V13" t="str">
            <v>B</v>
          </cell>
          <cell r="AH13" t="str">
            <v>C</v>
          </cell>
          <cell r="AL13" t="str">
            <v>B</v>
          </cell>
          <cell r="AP13" t="str">
            <v>B</v>
          </cell>
          <cell r="AZ13" t="str">
            <v>B</v>
          </cell>
          <cell r="BA13" t="str">
            <v>B</v>
          </cell>
          <cell r="BB13" t="str">
            <v>B</v>
          </cell>
        </row>
        <row r="14">
          <cell r="N14" t="str">
            <v>B</v>
          </cell>
          <cell r="R14" t="str">
            <v>B</v>
          </cell>
          <cell r="V14" t="str">
            <v>B</v>
          </cell>
          <cell r="AH14" t="str">
            <v>B</v>
          </cell>
          <cell r="AL14" t="str">
            <v>B</v>
          </cell>
          <cell r="AP14" t="str">
            <v>B</v>
          </cell>
          <cell r="AZ14" t="str">
            <v>B</v>
          </cell>
          <cell r="BA14" t="str">
            <v>B</v>
          </cell>
          <cell r="BB14" t="str">
            <v>B</v>
          </cell>
        </row>
        <row r="15">
          <cell r="N15" t="str">
            <v>A</v>
          </cell>
          <cell r="R15" t="str">
            <v>A</v>
          </cell>
          <cell r="V15" t="str">
            <v>A</v>
          </cell>
          <cell r="AH15" t="str">
            <v>B</v>
          </cell>
          <cell r="AL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B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A</v>
          </cell>
          <cell r="V17" t="str">
            <v>A</v>
          </cell>
          <cell r="AH17" t="str">
            <v>B</v>
          </cell>
          <cell r="AL17" t="str">
            <v>A</v>
          </cell>
          <cell r="AP17" t="str">
            <v>A</v>
          </cell>
          <cell r="AZ17" t="str">
            <v>A</v>
          </cell>
          <cell r="BA17" t="str">
            <v>A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B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B</v>
          </cell>
          <cell r="R20" t="str">
            <v>B</v>
          </cell>
          <cell r="V20" t="str">
            <v>B</v>
          </cell>
          <cell r="AH20" t="str">
            <v>C</v>
          </cell>
          <cell r="AL20" t="str">
            <v>B</v>
          </cell>
          <cell r="AP20" t="str">
            <v>B</v>
          </cell>
          <cell r="AZ20" t="str">
            <v>B</v>
          </cell>
          <cell r="BA20" t="str">
            <v>B</v>
          </cell>
          <cell r="BB20" t="str">
            <v>B</v>
          </cell>
        </row>
        <row r="21">
          <cell r="N21" t="str">
            <v>B</v>
          </cell>
          <cell r="R21" t="str">
            <v>B</v>
          </cell>
          <cell r="V21" t="str">
            <v>A</v>
          </cell>
          <cell r="AH21" t="str">
            <v>B</v>
          </cell>
          <cell r="AL21" t="str">
            <v>A</v>
          </cell>
          <cell r="AP21" t="str">
            <v>A</v>
          </cell>
          <cell r="AZ21" t="str">
            <v>B</v>
          </cell>
          <cell r="BA21" t="str">
            <v>A</v>
          </cell>
          <cell r="BB21" t="str">
            <v>A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AH22" t="str">
            <v/>
          </cell>
          <cell r="AL22" t="str">
            <v/>
          </cell>
          <cell r="AP22" t="str">
            <v/>
          </cell>
          <cell r="AZ22" t="str">
            <v/>
          </cell>
          <cell r="BA22" t="str">
            <v/>
          </cell>
          <cell r="BB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AH23" t="str">
            <v/>
          </cell>
          <cell r="AL23" t="str">
            <v/>
          </cell>
          <cell r="AP23" t="str">
            <v/>
          </cell>
          <cell r="AZ23" t="str">
            <v/>
          </cell>
          <cell r="BA23" t="str">
            <v/>
          </cell>
          <cell r="BB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AH24" t="str">
            <v/>
          </cell>
          <cell r="AL24" t="str">
            <v/>
          </cell>
          <cell r="AP24" t="str">
            <v/>
          </cell>
          <cell r="AZ24" t="str">
            <v/>
          </cell>
          <cell r="BA24" t="str">
            <v/>
          </cell>
          <cell r="BB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AH25" t="str">
            <v/>
          </cell>
          <cell r="AL25" t="str">
            <v/>
          </cell>
          <cell r="AP25" t="str">
            <v/>
          </cell>
          <cell r="AZ25" t="str">
            <v/>
          </cell>
          <cell r="BA25" t="str">
            <v/>
          </cell>
          <cell r="BB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AH26" t="str">
            <v/>
          </cell>
          <cell r="AL26" t="str">
            <v/>
          </cell>
          <cell r="AP26" t="str">
            <v/>
          </cell>
          <cell r="AZ26" t="str">
            <v/>
          </cell>
          <cell r="BA26" t="str">
            <v/>
          </cell>
          <cell r="BB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AH27" t="str">
            <v/>
          </cell>
          <cell r="AL27" t="str">
            <v/>
          </cell>
          <cell r="AP27" t="str">
            <v/>
          </cell>
          <cell r="AZ27" t="str">
            <v/>
          </cell>
          <cell r="BA27" t="str">
            <v/>
          </cell>
          <cell r="BB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AH28" t="str">
            <v/>
          </cell>
          <cell r="AL28" t="str">
            <v/>
          </cell>
          <cell r="AP28" t="str">
            <v/>
          </cell>
          <cell r="AZ28" t="str">
            <v/>
          </cell>
          <cell r="BA28" t="str">
            <v/>
          </cell>
          <cell r="BB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AH29" t="str">
            <v/>
          </cell>
          <cell r="AL29" t="str">
            <v/>
          </cell>
          <cell r="AP29" t="str">
            <v/>
          </cell>
          <cell r="AZ29" t="str">
            <v/>
          </cell>
          <cell r="BA29" t="str">
            <v/>
          </cell>
          <cell r="BB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AH30" t="str">
            <v/>
          </cell>
          <cell r="AL30" t="str">
            <v/>
          </cell>
          <cell r="AP30" t="str">
            <v/>
          </cell>
          <cell r="AZ30" t="str">
            <v/>
          </cell>
          <cell r="BA30" t="str">
            <v/>
          </cell>
          <cell r="BB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AH31" t="str">
            <v/>
          </cell>
          <cell r="AL31" t="str">
            <v/>
          </cell>
          <cell r="AP31" t="str">
            <v/>
          </cell>
          <cell r="AZ31" t="str">
            <v/>
          </cell>
          <cell r="BA31" t="str">
            <v/>
          </cell>
          <cell r="BB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AH32" t="str">
            <v/>
          </cell>
          <cell r="AL32" t="str">
            <v/>
          </cell>
          <cell r="AP32" t="str">
            <v/>
          </cell>
          <cell r="AZ32" t="str">
            <v/>
          </cell>
          <cell r="BA32" t="str">
            <v/>
          </cell>
          <cell r="BB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AH33" t="str">
            <v/>
          </cell>
          <cell r="AL33" t="str">
            <v/>
          </cell>
          <cell r="AP33" t="str">
            <v/>
          </cell>
          <cell r="AZ33" t="str">
            <v/>
          </cell>
          <cell r="BA33" t="str">
            <v/>
          </cell>
          <cell r="BB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AH34" t="str">
            <v/>
          </cell>
          <cell r="AL34" t="str">
            <v/>
          </cell>
          <cell r="AP34" t="str">
            <v/>
          </cell>
          <cell r="AZ34" t="str">
            <v/>
          </cell>
          <cell r="BA34" t="str">
            <v/>
          </cell>
          <cell r="BB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AH35" t="str">
            <v/>
          </cell>
          <cell r="AL35" t="str">
            <v/>
          </cell>
          <cell r="AP35" t="str">
            <v/>
          </cell>
          <cell r="AZ35" t="str">
            <v/>
          </cell>
          <cell r="BA35" t="str">
            <v/>
          </cell>
          <cell r="BB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AH36" t="str">
            <v/>
          </cell>
          <cell r="AL36" t="str">
            <v/>
          </cell>
          <cell r="AP36" t="str">
            <v/>
          </cell>
          <cell r="AZ36" t="str">
            <v/>
          </cell>
          <cell r="BA36" t="str">
            <v/>
          </cell>
          <cell r="BB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AH37" t="str">
            <v/>
          </cell>
          <cell r="AL37" t="str">
            <v/>
          </cell>
          <cell r="AP37" t="str">
            <v/>
          </cell>
          <cell r="AZ37" t="str">
            <v/>
          </cell>
          <cell r="BA37" t="str">
            <v/>
          </cell>
          <cell r="BB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6">
        <row r="13">
          <cell r="N13" t="str">
            <v>C</v>
          </cell>
          <cell r="R13" t="str">
            <v>B</v>
          </cell>
          <cell r="V13" t="str">
            <v>C</v>
          </cell>
          <cell r="AH13" t="str">
            <v>B</v>
          </cell>
          <cell r="AL13" t="str">
            <v>C</v>
          </cell>
          <cell r="AP13" t="str">
            <v>B</v>
          </cell>
          <cell r="AZ13" t="str">
            <v>B</v>
          </cell>
          <cell r="BA13" t="str">
            <v>B</v>
          </cell>
          <cell r="BB13" t="str">
            <v>B</v>
          </cell>
        </row>
        <row r="14">
          <cell r="N14" t="str">
            <v>A</v>
          </cell>
          <cell r="R14" t="str">
            <v>B</v>
          </cell>
          <cell r="V14" t="str">
            <v>B</v>
          </cell>
          <cell r="AH14" t="str">
            <v>A</v>
          </cell>
          <cell r="AL14" t="str">
            <v>B</v>
          </cell>
          <cell r="AP14" t="str">
            <v>B</v>
          </cell>
          <cell r="AZ14" t="str">
            <v>A</v>
          </cell>
          <cell r="BA14" t="str">
            <v>B</v>
          </cell>
          <cell r="BB14" t="str">
            <v>B</v>
          </cell>
        </row>
        <row r="15">
          <cell r="N15" t="str">
            <v>A</v>
          </cell>
          <cell r="R15" t="str">
            <v>A</v>
          </cell>
          <cell r="V15" t="str">
            <v>B</v>
          </cell>
          <cell r="AH15" t="str">
            <v>A</v>
          </cell>
          <cell r="AL15" t="str">
            <v>B</v>
          </cell>
          <cell r="AP15" t="str">
            <v>B</v>
          </cell>
          <cell r="AZ15" t="str">
            <v>A</v>
          </cell>
          <cell r="BA15" t="str">
            <v>A</v>
          </cell>
          <cell r="BB15" t="str">
            <v>B</v>
          </cell>
        </row>
        <row r="16">
          <cell r="N16" t="str">
            <v>A</v>
          </cell>
          <cell r="R16" t="str">
            <v>A</v>
          </cell>
          <cell r="V16" t="str">
            <v>B</v>
          </cell>
          <cell r="AH16" t="str">
            <v>A</v>
          </cell>
          <cell r="AL16" t="str">
            <v>B</v>
          </cell>
          <cell r="AP16" t="str">
            <v>B</v>
          </cell>
          <cell r="AZ16" t="str">
            <v>A</v>
          </cell>
          <cell r="BA16" t="str">
            <v>A</v>
          </cell>
          <cell r="BB16" t="str">
            <v>B</v>
          </cell>
        </row>
        <row r="17">
          <cell r="N17" t="str">
            <v>B</v>
          </cell>
          <cell r="R17" t="str">
            <v>B</v>
          </cell>
          <cell r="V17" t="str">
            <v>A</v>
          </cell>
          <cell r="AH17" t="str">
            <v>A</v>
          </cell>
          <cell r="AL17" t="str">
            <v>B</v>
          </cell>
          <cell r="AP17" t="str">
            <v>B</v>
          </cell>
          <cell r="AZ17" t="str">
            <v>A</v>
          </cell>
          <cell r="BA17" t="str">
            <v>B</v>
          </cell>
          <cell r="BB17" t="str">
            <v>A</v>
          </cell>
        </row>
        <row r="18">
          <cell r="N18" t="str">
            <v>B</v>
          </cell>
          <cell r="R18" t="str">
            <v>B</v>
          </cell>
          <cell r="V18" t="str">
            <v>B</v>
          </cell>
          <cell r="AH18" t="str">
            <v>A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A</v>
          </cell>
          <cell r="R20" t="str">
            <v>A</v>
          </cell>
          <cell r="V20" t="str">
            <v>B</v>
          </cell>
          <cell r="AH20" t="str">
            <v>B</v>
          </cell>
          <cell r="AL20" t="str">
            <v>B</v>
          </cell>
          <cell r="AP20" t="str">
            <v>B</v>
          </cell>
          <cell r="AZ20" t="str">
            <v>A</v>
          </cell>
          <cell r="BA20" t="str">
            <v>A</v>
          </cell>
          <cell r="BB20" t="str">
            <v>B</v>
          </cell>
        </row>
        <row r="21">
          <cell r="N21" t="str">
            <v>B</v>
          </cell>
          <cell r="R21" t="str">
            <v>B</v>
          </cell>
          <cell r="V21" t="str">
            <v>A</v>
          </cell>
          <cell r="AH21" t="str">
            <v>A</v>
          </cell>
          <cell r="AL21" t="str">
            <v>C</v>
          </cell>
          <cell r="AP21" t="str">
            <v>C</v>
          </cell>
          <cell r="AZ21" t="str">
            <v>A</v>
          </cell>
          <cell r="BA21" t="str">
            <v>B</v>
          </cell>
          <cell r="BB21" t="str">
            <v>B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AH22" t="str">
            <v/>
          </cell>
          <cell r="AL22" t="str">
            <v/>
          </cell>
          <cell r="AP22" t="str">
            <v/>
          </cell>
          <cell r="AZ22" t="str">
            <v/>
          </cell>
          <cell r="BA22" t="str">
            <v/>
          </cell>
          <cell r="BB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AH23" t="str">
            <v/>
          </cell>
          <cell r="AL23" t="str">
            <v/>
          </cell>
          <cell r="AP23" t="str">
            <v/>
          </cell>
          <cell r="AZ23" t="str">
            <v/>
          </cell>
          <cell r="BA23" t="str">
            <v/>
          </cell>
          <cell r="BB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AH24" t="str">
            <v/>
          </cell>
          <cell r="AL24" t="str">
            <v/>
          </cell>
          <cell r="AP24" t="str">
            <v/>
          </cell>
          <cell r="AZ24" t="str">
            <v/>
          </cell>
          <cell r="BA24" t="str">
            <v/>
          </cell>
          <cell r="BB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AH25" t="str">
            <v/>
          </cell>
          <cell r="AL25" t="str">
            <v/>
          </cell>
          <cell r="AP25" t="str">
            <v/>
          </cell>
          <cell r="AZ25" t="str">
            <v/>
          </cell>
          <cell r="BA25" t="str">
            <v/>
          </cell>
          <cell r="BB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AH26" t="str">
            <v/>
          </cell>
          <cell r="AL26" t="str">
            <v/>
          </cell>
          <cell r="AP26" t="str">
            <v/>
          </cell>
          <cell r="AZ26" t="str">
            <v/>
          </cell>
          <cell r="BA26" t="str">
            <v/>
          </cell>
          <cell r="BB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AH27" t="str">
            <v/>
          </cell>
          <cell r="AL27" t="str">
            <v/>
          </cell>
          <cell r="AP27" t="str">
            <v/>
          </cell>
          <cell r="AZ27" t="str">
            <v/>
          </cell>
          <cell r="BA27" t="str">
            <v/>
          </cell>
          <cell r="BB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AH28" t="str">
            <v/>
          </cell>
          <cell r="AL28" t="str">
            <v/>
          </cell>
          <cell r="AP28" t="str">
            <v/>
          </cell>
          <cell r="AZ28" t="str">
            <v/>
          </cell>
          <cell r="BA28" t="str">
            <v/>
          </cell>
          <cell r="BB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AH29" t="str">
            <v/>
          </cell>
          <cell r="AL29" t="str">
            <v/>
          </cell>
          <cell r="AP29" t="str">
            <v/>
          </cell>
          <cell r="AZ29" t="str">
            <v/>
          </cell>
          <cell r="BA29" t="str">
            <v/>
          </cell>
          <cell r="BB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AH30" t="str">
            <v/>
          </cell>
          <cell r="AL30" t="str">
            <v/>
          </cell>
          <cell r="AP30" t="str">
            <v/>
          </cell>
          <cell r="AZ30" t="str">
            <v/>
          </cell>
          <cell r="BA30" t="str">
            <v/>
          </cell>
          <cell r="BB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AH31" t="str">
            <v/>
          </cell>
          <cell r="AL31" t="str">
            <v/>
          </cell>
          <cell r="AP31" t="str">
            <v/>
          </cell>
          <cell r="AZ31" t="str">
            <v/>
          </cell>
          <cell r="BA31" t="str">
            <v/>
          </cell>
          <cell r="BB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AH32" t="str">
            <v/>
          </cell>
          <cell r="AL32" t="str">
            <v/>
          </cell>
          <cell r="AP32" t="str">
            <v/>
          </cell>
          <cell r="AZ32" t="str">
            <v/>
          </cell>
          <cell r="BA32" t="str">
            <v/>
          </cell>
          <cell r="BB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AH33" t="str">
            <v/>
          </cell>
          <cell r="AL33" t="str">
            <v/>
          </cell>
          <cell r="AP33" t="str">
            <v/>
          </cell>
          <cell r="AZ33" t="str">
            <v/>
          </cell>
          <cell r="BA33" t="str">
            <v/>
          </cell>
          <cell r="BB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AH34" t="str">
            <v/>
          </cell>
          <cell r="AL34" t="str">
            <v/>
          </cell>
          <cell r="AP34" t="str">
            <v/>
          </cell>
          <cell r="AZ34" t="str">
            <v/>
          </cell>
          <cell r="BA34" t="str">
            <v/>
          </cell>
          <cell r="BB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AH35" t="str">
            <v/>
          </cell>
          <cell r="AL35" t="str">
            <v/>
          </cell>
          <cell r="AP35" t="str">
            <v/>
          </cell>
          <cell r="AZ35" t="str">
            <v/>
          </cell>
          <cell r="BA35" t="str">
            <v/>
          </cell>
          <cell r="BB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AH36" t="str">
            <v/>
          </cell>
          <cell r="AL36" t="str">
            <v/>
          </cell>
          <cell r="AP36" t="str">
            <v/>
          </cell>
          <cell r="AZ36" t="str">
            <v/>
          </cell>
          <cell r="BA36" t="str">
            <v/>
          </cell>
          <cell r="BB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AH37" t="str">
            <v/>
          </cell>
          <cell r="AL37" t="str">
            <v/>
          </cell>
          <cell r="AP37" t="str">
            <v/>
          </cell>
          <cell r="AZ37" t="str">
            <v/>
          </cell>
          <cell r="BA37" t="str">
            <v/>
          </cell>
          <cell r="BB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7">
        <row r="13">
          <cell r="N13" t="str">
            <v>A</v>
          </cell>
          <cell r="R13" t="str">
            <v>A</v>
          </cell>
          <cell r="V13" t="str">
            <v>A</v>
          </cell>
          <cell r="AH13" t="str">
            <v>A</v>
          </cell>
          <cell r="AL13" t="str">
            <v>A</v>
          </cell>
          <cell r="AP13" t="str">
            <v>A</v>
          </cell>
          <cell r="AZ13" t="str">
            <v>A</v>
          </cell>
          <cell r="BA13" t="str">
            <v>A</v>
          </cell>
          <cell r="BB13" t="str">
            <v>A</v>
          </cell>
        </row>
        <row r="14">
          <cell r="N14" t="str">
            <v>B</v>
          </cell>
          <cell r="R14" t="str">
            <v>A</v>
          </cell>
          <cell r="V14" t="str">
            <v>A</v>
          </cell>
          <cell r="AH14" t="str">
            <v>B</v>
          </cell>
          <cell r="AL14" t="str">
            <v>A</v>
          </cell>
          <cell r="AP14" t="str">
            <v>A</v>
          </cell>
          <cell r="AZ14" t="str">
            <v>B</v>
          </cell>
          <cell r="BA14" t="str">
            <v>A</v>
          </cell>
          <cell r="BB14" t="str">
            <v>A</v>
          </cell>
        </row>
        <row r="15">
          <cell r="N15" t="str">
            <v>A</v>
          </cell>
          <cell r="R15" t="str">
            <v>A</v>
          </cell>
          <cell r="V15" t="str">
            <v>A</v>
          </cell>
          <cell r="AH15" t="str">
            <v>B</v>
          </cell>
          <cell r="AL15" t="str">
            <v>A</v>
          </cell>
          <cell r="AP15" t="str">
            <v>A</v>
          </cell>
          <cell r="AZ15" t="str">
            <v>A</v>
          </cell>
          <cell r="BA15" t="str">
            <v>A</v>
          </cell>
          <cell r="BB15" t="str">
            <v>A</v>
          </cell>
        </row>
        <row r="16">
          <cell r="N16" t="str">
            <v>A</v>
          </cell>
          <cell r="R16" t="str">
            <v>A</v>
          </cell>
          <cell r="V16" t="str">
            <v>A</v>
          </cell>
          <cell r="AH16" t="str">
            <v>A</v>
          </cell>
          <cell r="AL16" t="str">
            <v>A</v>
          </cell>
          <cell r="AP16" t="str">
            <v>A</v>
          </cell>
          <cell r="AZ16" t="str">
            <v>A</v>
          </cell>
          <cell r="BA16" t="str">
            <v>A</v>
          </cell>
          <cell r="BB16" t="str">
            <v>A</v>
          </cell>
        </row>
        <row r="17">
          <cell r="N17" t="str">
            <v>A</v>
          </cell>
          <cell r="R17" t="str">
            <v>A</v>
          </cell>
          <cell r="V17" t="str">
            <v>A</v>
          </cell>
          <cell r="AH17" t="str">
            <v>A</v>
          </cell>
          <cell r="AL17" t="str">
            <v>A</v>
          </cell>
          <cell r="AP17" t="str">
            <v>A</v>
          </cell>
          <cell r="AZ17" t="str">
            <v>A</v>
          </cell>
          <cell r="BA17" t="str">
            <v>A</v>
          </cell>
          <cell r="BB17" t="str">
            <v>A</v>
          </cell>
        </row>
        <row r="18">
          <cell r="N18" t="str">
            <v>A</v>
          </cell>
          <cell r="R18" t="str">
            <v>A</v>
          </cell>
          <cell r="V18" t="str">
            <v>A</v>
          </cell>
          <cell r="AH18" t="str">
            <v>B</v>
          </cell>
          <cell r="AL18" t="str">
            <v>A</v>
          </cell>
          <cell r="AP18" t="str">
            <v>A</v>
          </cell>
          <cell r="AZ18" t="str">
            <v>A</v>
          </cell>
          <cell r="BA18" t="str">
            <v>A</v>
          </cell>
          <cell r="BB18" t="str">
            <v>A</v>
          </cell>
        </row>
        <row r="19">
          <cell r="N19" t="str">
            <v>A</v>
          </cell>
          <cell r="R19" t="str">
            <v>A</v>
          </cell>
          <cell r="V19" t="str">
            <v>A</v>
          </cell>
          <cell r="AH19" t="str">
            <v>A</v>
          </cell>
          <cell r="AL19" t="str">
            <v>A</v>
          </cell>
          <cell r="AP19" t="str">
            <v>A</v>
          </cell>
          <cell r="AZ19" t="str">
            <v>A</v>
          </cell>
          <cell r="BA19" t="str">
            <v>A</v>
          </cell>
          <cell r="BB19" t="str">
            <v>A</v>
          </cell>
        </row>
        <row r="20">
          <cell r="N20" t="str">
            <v>B</v>
          </cell>
          <cell r="R20" t="str">
            <v>A</v>
          </cell>
          <cell r="V20" t="str">
            <v>A</v>
          </cell>
          <cell r="AH20" t="str">
            <v>A</v>
          </cell>
          <cell r="AL20" t="str">
            <v>A</v>
          </cell>
          <cell r="AP20" t="str">
            <v>A</v>
          </cell>
          <cell r="AZ20" t="str">
            <v>A</v>
          </cell>
          <cell r="BA20" t="str">
            <v>A</v>
          </cell>
          <cell r="BB20" t="str">
            <v>A</v>
          </cell>
        </row>
        <row r="21">
          <cell r="N21" t="str">
            <v>B</v>
          </cell>
          <cell r="R21" t="str">
            <v>A</v>
          </cell>
          <cell r="V21" t="str">
            <v>A</v>
          </cell>
          <cell r="AH21" t="str">
            <v>B</v>
          </cell>
          <cell r="AL21" t="str">
            <v>A</v>
          </cell>
          <cell r="AP21" t="str">
            <v>A</v>
          </cell>
          <cell r="AZ21" t="str">
            <v>B</v>
          </cell>
          <cell r="BA21" t="str">
            <v>A</v>
          </cell>
          <cell r="BB21" t="str">
            <v>A</v>
          </cell>
        </row>
        <row r="22">
          <cell r="N22" t="str">
            <v/>
          </cell>
          <cell r="R22" t="str">
            <v/>
          </cell>
          <cell r="V22" t="str">
            <v/>
          </cell>
          <cell r="AH22" t="str">
            <v/>
          </cell>
          <cell r="AL22" t="str">
            <v/>
          </cell>
          <cell r="AP22" t="str">
            <v/>
          </cell>
          <cell r="AZ22" t="str">
            <v/>
          </cell>
          <cell r="BA22" t="str">
            <v/>
          </cell>
          <cell r="BB22" t="str">
            <v/>
          </cell>
        </row>
        <row r="23">
          <cell r="N23" t="str">
            <v/>
          </cell>
          <cell r="R23" t="str">
            <v/>
          </cell>
          <cell r="V23" t="str">
            <v/>
          </cell>
          <cell r="AH23" t="str">
            <v/>
          </cell>
          <cell r="AL23" t="str">
            <v/>
          </cell>
          <cell r="AP23" t="str">
            <v/>
          </cell>
          <cell r="AZ23" t="str">
            <v/>
          </cell>
          <cell r="BA23" t="str">
            <v/>
          </cell>
          <cell r="BB23" t="str">
            <v/>
          </cell>
        </row>
        <row r="24">
          <cell r="N24" t="str">
            <v/>
          </cell>
          <cell r="R24" t="str">
            <v/>
          </cell>
          <cell r="V24" t="str">
            <v/>
          </cell>
          <cell r="AH24" t="str">
            <v/>
          </cell>
          <cell r="AL24" t="str">
            <v/>
          </cell>
          <cell r="AP24" t="str">
            <v/>
          </cell>
          <cell r="AZ24" t="str">
            <v/>
          </cell>
          <cell r="BA24" t="str">
            <v/>
          </cell>
          <cell r="BB24" t="str">
            <v/>
          </cell>
        </row>
        <row r="25">
          <cell r="N25" t="str">
            <v/>
          </cell>
          <cell r="R25" t="str">
            <v/>
          </cell>
          <cell r="V25" t="str">
            <v/>
          </cell>
          <cell r="AH25" t="str">
            <v/>
          </cell>
          <cell r="AL25" t="str">
            <v/>
          </cell>
          <cell r="AP25" t="str">
            <v/>
          </cell>
          <cell r="AZ25" t="str">
            <v/>
          </cell>
          <cell r="BA25" t="str">
            <v/>
          </cell>
          <cell r="BB25" t="str">
            <v/>
          </cell>
        </row>
        <row r="26">
          <cell r="N26" t="str">
            <v/>
          </cell>
          <cell r="R26" t="str">
            <v/>
          </cell>
          <cell r="V26" t="str">
            <v/>
          </cell>
          <cell r="AH26" t="str">
            <v/>
          </cell>
          <cell r="AL26" t="str">
            <v/>
          </cell>
          <cell r="AP26" t="str">
            <v/>
          </cell>
          <cell r="AZ26" t="str">
            <v/>
          </cell>
          <cell r="BA26" t="str">
            <v/>
          </cell>
          <cell r="BB26" t="str">
            <v/>
          </cell>
        </row>
        <row r="27">
          <cell r="N27" t="str">
            <v/>
          </cell>
          <cell r="R27" t="str">
            <v/>
          </cell>
          <cell r="V27" t="str">
            <v/>
          </cell>
          <cell r="AH27" t="str">
            <v/>
          </cell>
          <cell r="AL27" t="str">
            <v/>
          </cell>
          <cell r="AP27" t="str">
            <v/>
          </cell>
          <cell r="AZ27" t="str">
            <v/>
          </cell>
          <cell r="BA27" t="str">
            <v/>
          </cell>
          <cell r="BB27" t="str">
            <v/>
          </cell>
        </row>
        <row r="28">
          <cell r="N28" t="str">
            <v/>
          </cell>
          <cell r="R28" t="str">
            <v/>
          </cell>
          <cell r="V28" t="str">
            <v/>
          </cell>
          <cell r="AH28" t="str">
            <v/>
          </cell>
          <cell r="AL28" t="str">
            <v/>
          </cell>
          <cell r="AP28" t="str">
            <v/>
          </cell>
          <cell r="AZ28" t="str">
            <v/>
          </cell>
          <cell r="BA28" t="str">
            <v/>
          </cell>
          <cell r="BB28" t="str">
            <v/>
          </cell>
        </row>
        <row r="29">
          <cell r="N29" t="str">
            <v/>
          </cell>
          <cell r="R29" t="str">
            <v/>
          </cell>
          <cell r="V29" t="str">
            <v/>
          </cell>
          <cell r="AH29" t="str">
            <v/>
          </cell>
          <cell r="AL29" t="str">
            <v/>
          </cell>
          <cell r="AP29" t="str">
            <v/>
          </cell>
          <cell r="AZ29" t="str">
            <v/>
          </cell>
          <cell r="BA29" t="str">
            <v/>
          </cell>
          <cell r="BB29" t="str">
            <v/>
          </cell>
        </row>
        <row r="30">
          <cell r="N30" t="str">
            <v/>
          </cell>
          <cell r="R30" t="str">
            <v/>
          </cell>
          <cell r="V30" t="str">
            <v/>
          </cell>
          <cell r="AH30" t="str">
            <v/>
          </cell>
          <cell r="AL30" t="str">
            <v/>
          </cell>
          <cell r="AP30" t="str">
            <v/>
          </cell>
          <cell r="AZ30" t="str">
            <v/>
          </cell>
          <cell r="BA30" t="str">
            <v/>
          </cell>
          <cell r="BB30" t="str">
            <v/>
          </cell>
        </row>
        <row r="31">
          <cell r="N31" t="str">
            <v/>
          </cell>
          <cell r="R31" t="str">
            <v/>
          </cell>
          <cell r="V31" t="str">
            <v/>
          </cell>
          <cell r="AH31" t="str">
            <v/>
          </cell>
          <cell r="AL31" t="str">
            <v/>
          </cell>
          <cell r="AP31" t="str">
            <v/>
          </cell>
          <cell r="AZ31" t="str">
            <v/>
          </cell>
          <cell r="BA31" t="str">
            <v/>
          </cell>
          <cell r="BB31" t="str">
            <v/>
          </cell>
        </row>
        <row r="32">
          <cell r="N32" t="str">
            <v/>
          </cell>
          <cell r="R32" t="str">
            <v/>
          </cell>
          <cell r="V32" t="str">
            <v/>
          </cell>
          <cell r="AH32" t="str">
            <v/>
          </cell>
          <cell r="AL32" t="str">
            <v/>
          </cell>
          <cell r="AP32" t="str">
            <v/>
          </cell>
          <cell r="AZ32" t="str">
            <v/>
          </cell>
          <cell r="BA32" t="str">
            <v/>
          </cell>
          <cell r="BB32" t="str">
            <v/>
          </cell>
        </row>
        <row r="33">
          <cell r="N33" t="str">
            <v/>
          </cell>
          <cell r="R33" t="str">
            <v/>
          </cell>
          <cell r="V33" t="str">
            <v/>
          </cell>
          <cell r="AH33" t="str">
            <v/>
          </cell>
          <cell r="AL33" t="str">
            <v/>
          </cell>
          <cell r="AP33" t="str">
            <v/>
          </cell>
          <cell r="AZ33" t="str">
            <v/>
          </cell>
          <cell r="BA33" t="str">
            <v/>
          </cell>
          <cell r="BB33" t="str">
            <v/>
          </cell>
        </row>
        <row r="34">
          <cell r="N34" t="str">
            <v/>
          </cell>
          <cell r="R34" t="str">
            <v/>
          </cell>
          <cell r="V34" t="str">
            <v/>
          </cell>
          <cell r="AH34" t="str">
            <v/>
          </cell>
          <cell r="AL34" t="str">
            <v/>
          </cell>
          <cell r="AP34" t="str">
            <v/>
          </cell>
          <cell r="AZ34" t="str">
            <v/>
          </cell>
          <cell r="BA34" t="str">
            <v/>
          </cell>
          <cell r="BB34" t="str">
            <v/>
          </cell>
        </row>
        <row r="35">
          <cell r="N35" t="str">
            <v/>
          </cell>
          <cell r="R35" t="str">
            <v/>
          </cell>
          <cell r="V35" t="str">
            <v/>
          </cell>
          <cell r="AH35" t="str">
            <v/>
          </cell>
          <cell r="AL35" t="str">
            <v/>
          </cell>
          <cell r="AP35" t="str">
            <v/>
          </cell>
          <cell r="AZ35" t="str">
            <v/>
          </cell>
          <cell r="BA35" t="str">
            <v/>
          </cell>
          <cell r="BB35" t="str">
            <v/>
          </cell>
        </row>
        <row r="36">
          <cell r="N36" t="str">
            <v/>
          </cell>
          <cell r="R36" t="str">
            <v/>
          </cell>
          <cell r="V36" t="str">
            <v/>
          </cell>
          <cell r="AH36" t="str">
            <v/>
          </cell>
          <cell r="AL36" t="str">
            <v/>
          </cell>
          <cell r="AP36" t="str">
            <v/>
          </cell>
          <cell r="AZ36" t="str">
            <v/>
          </cell>
          <cell r="BA36" t="str">
            <v/>
          </cell>
          <cell r="BB36" t="str">
            <v/>
          </cell>
        </row>
        <row r="37">
          <cell r="N37" t="str">
            <v/>
          </cell>
          <cell r="R37" t="str">
            <v/>
          </cell>
          <cell r="V37" t="str">
            <v/>
          </cell>
          <cell r="AH37" t="str">
            <v/>
          </cell>
          <cell r="AL37" t="str">
            <v/>
          </cell>
          <cell r="AP37" t="str">
            <v/>
          </cell>
          <cell r="AZ37" t="str">
            <v/>
          </cell>
          <cell r="BA37" t="str">
            <v/>
          </cell>
          <cell r="BB37" t="str">
            <v/>
          </cell>
        </row>
        <row r="38">
          <cell r="N38" t="str">
            <v/>
          </cell>
          <cell r="R38" t="str">
            <v/>
          </cell>
          <cell r="V38" t="str">
            <v/>
          </cell>
          <cell r="AH38" t="str">
            <v/>
          </cell>
          <cell r="AL38" t="str">
            <v/>
          </cell>
          <cell r="AP38" t="str">
            <v/>
          </cell>
          <cell r="AZ38" t="str">
            <v/>
          </cell>
          <cell r="BA38" t="str">
            <v/>
          </cell>
          <cell r="BB38" t="str">
            <v/>
          </cell>
        </row>
        <row r="39">
          <cell r="N39" t="str">
            <v/>
          </cell>
          <cell r="R39" t="str">
            <v/>
          </cell>
          <cell r="V39" t="str">
            <v/>
          </cell>
          <cell r="AH39" t="str">
            <v/>
          </cell>
          <cell r="AL39" t="str">
            <v/>
          </cell>
          <cell r="AP39" t="str">
            <v/>
          </cell>
          <cell r="AZ39" t="str">
            <v/>
          </cell>
          <cell r="BA39" t="str">
            <v/>
          </cell>
          <cell r="BB39" t="str">
            <v/>
          </cell>
        </row>
        <row r="40">
          <cell r="N40" t="str">
            <v/>
          </cell>
          <cell r="R40" t="str">
            <v/>
          </cell>
          <cell r="V40" t="str">
            <v/>
          </cell>
          <cell r="AH40" t="str">
            <v/>
          </cell>
          <cell r="AL40" t="str">
            <v/>
          </cell>
          <cell r="AP40" t="str">
            <v/>
          </cell>
          <cell r="AZ40" t="str">
            <v/>
          </cell>
          <cell r="BA40" t="str">
            <v/>
          </cell>
          <cell r="BB40" t="str">
            <v/>
          </cell>
        </row>
      </sheetData>
      <sheetData sheetId="8">
        <row r="13">
          <cell r="N13" t="str">
            <v>A</v>
          </cell>
          <cell r="R13" t="str">
            <v>A</v>
          </cell>
          <cell r="AH13" t="str">
            <v>A</v>
          </cell>
          <cell r="AL13" t="str">
            <v>A</v>
          </cell>
          <cell r="AZ13" t="str">
            <v>A</v>
          </cell>
          <cell r="BA13" t="str">
            <v>A</v>
          </cell>
        </row>
        <row r="14">
          <cell r="N14" t="str">
            <v>A</v>
          </cell>
          <cell r="R14" t="str">
            <v>A</v>
          </cell>
          <cell r="AH14" t="str">
            <v>A</v>
          </cell>
          <cell r="AL14" t="str">
            <v>A</v>
          </cell>
          <cell r="AZ14" t="str">
            <v>A</v>
          </cell>
          <cell r="BA14" t="str">
            <v>A</v>
          </cell>
        </row>
        <row r="15">
          <cell r="N15" t="str">
            <v>AD</v>
          </cell>
          <cell r="R15" t="str">
            <v>A</v>
          </cell>
          <cell r="AH15" t="str">
            <v>A</v>
          </cell>
          <cell r="AL15" t="str">
            <v>A</v>
          </cell>
          <cell r="AZ15" t="str">
            <v>AD</v>
          </cell>
          <cell r="BA15" t="str">
            <v>A</v>
          </cell>
        </row>
        <row r="16">
          <cell r="N16" t="str">
            <v>A</v>
          </cell>
          <cell r="R16" t="str">
            <v>A</v>
          </cell>
          <cell r="AH16" t="str">
            <v>A</v>
          </cell>
          <cell r="AL16" t="str">
            <v>A</v>
          </cell>
          <cell r="AZ16" t="str">
            <v>A</v>
          </cell>
          <cell r="BA16" t="str">
            <v>A</v>
          </cell>
        </row>
        <row r="17">
          <cell r="N17" t="str">
            <v>A</v>
          </cell>
          <cell r="R17" t="str">
            <v>A</v>
          </cell>
          <cell r="AH17" t="str">
            <v>A</v>
          </cell>
          <cell r="AL17" t="str">
            <v>B</v>
          </cell>
          <cell r="AZ17" t="str">
            <v>A</v>
          </cell>
          <cell r="BA17" t="str">
            <v>A</v>
          </cell>
        </row>
        <row r="18">
          <cell r="N18" t="str">
            <v/>
          </cell>
          <cell r="R18" t="str">
            <v/>
          </cell>
          <cell r="AH18" t="str">
            <v/>
          </cell>
          <cell r="AL18" t="str">
            <v/>
          </cell>
          <cell r="AZ18" t="str">
            <v/>
          </cell>
          <cell r="BA18" t="str">
            <v/>
          </cell>
        </row>
        <row r="19">
          <cell r="N19" t="str">
            <v>A</v>
          </cell>
          <cell r="R19" t="str">
            <v>A</v>
          </cell>
          <cell r="AH19" t="str">
            <v>A</v>
          </cell>
          <cell r="AL19" t="str">
            <v>A</v>
          </cell>
          <cell r="AZ19" t="str">
            <v>A</v>
          </cell>
          <cell r="BA19" t="str">
            <v>A</v>
          </cell>
        </row>
        <row r="20">
          <cell r="N20" t="str">
            <v>A</v>
          </cell>
          <cell r="R20" t="str">
            <v>A</v>
          </cell>
          <cell r="AH20" t="str">
            <v>A</v>
          </cell>
          <cell r="AL20" t="str">
            <v>A</v>
          </cell>
          <cell r="AZ20" t="str">
            <v>A</v>
          </cell>
          <cell r="BA20" t="str">
            <v>A</v>
          </cell>
        </row>
        <row r="21">
          <cell r="N21" t="str">
            <v>A</v>
          </cell>
          <cell r="R21" t="str">
            <v>A</v>
          </cell>
          <cell r="AH21" t="str">
            <v>A</v>
          </cell>
          <cell r="AL21" t="str">
            <v>A</v>
          </cell>
          <cell r="AZ21" t="str">
            <v>A</v>
          </cell>
          <cell r="BA21" t="str">
            <v>A</v>
          </cell>
        </row>
        <row r="22">
          <cell r="N22" t="str">
            <v/>
          </cell>
          <cell r="R22" t="str">
            <v/>
          </cell>
          <cell r="AH22" t="str">
            <v/>
          </cell>
          <cell r="AL22" t="str">
            <v/>
          </cell>
          <cell r="AZ22" t="str">
            <v/>
          </cell>
          <cell r="BA22" t="str">
            <v/>
          </cell>
        </row>
        <row r="23">
          <cell r="N23" t="str">
            <v/>
          </cell>
          <cell r="R23" t="str">
            <v/>
          </cell>
          <cell r="AH23" t="str">
            <v/>
          </cell>
          <cell r="AL23" t="str">
            <v/>
          </cell>
          <cell r="AZ23" t="str">
            <v/>
          </cell>
          <cell r="BA23" t="str">
            <v/>
          </cell>
        </row>
        <row r="24">
          <cell r="N24" t="str">
            <v/>
          </cell>
          <cell r="R24" t="str">
            <v/>
          </cell>
          <cell r="AH24" t="str">
            <v/>
          </cell>
          <cell r="AL24" t="str">
            <v/>
          </cell>
          <cell r="AZ24" t="str">
            <v/>
          </cell>
          <cell r="BA24" t="str">
            <v/>
          </cell>
        </row>
        <row r="25">
          <cell r="N25" t="str">
            <v/>
          </cell>
          <cell r="R25" t="str">
            <v/>
          </cell>
          <cell r="AH25" t="str">
            <v/>
          </cell>
          <cell r="AL25" t="str">
            <v/>
          </cell>
          <cell r="AZ25" t="str">
            <v/>
          </cell>
          <cell r="BA25" t="str">
            <v/>
          </cell>
        </row>
        <row r="26">
          <cell r="N26" t="str">
            <v/>
          </cell>
          <cell r="R26" t="str">
            <v/>
          </cell>
          <cell r="AH26" t="str">
            <v/>
          </cell>
          <cell r="AL26" t="str">
            <v/>
          </cell>
          <cell r="AZ26" t="str">
            <v/>
          </cell>
          <cell r="BA26" t="str">
            <v/>
          </cell>
        </row>
        <row r="27">
          <cell r="N27" t="str">
            <v/>
          </cell>
          <cell r="R27" t="str">
            <v/>
          </cell>
          <cell r="AH27" t="str">
            <v/>
          </cell>
          <cell r="AL27" t="str">
            <v/>
          </cell>
          <cell r="AZ27" t="str">
            <v/>
          </cell>
          <cell r="BA27" t="str">
            <v/>
          </cell>
        </row>
        <row r="28">
          <cell r="N28" t="str">
            <v/>
          </cell>
          <cell r="R28" t="str">
            <v/>
          </cell>
          <cell r="AH28" t="str">
            <v/>
          </cell>
          <cell r="AL28" t="str">
            <v/>
          </cell>
          <cell r="AZ28" t="str">
            <v/>
          </cell>
          <cell r="BA28" t="str">
            <v/>
          </cell>
        </row>
        <row r="29">
          <cell r="N29" t="str">
            <v/>
          </cell>
          <cell r="R29" t="str">
            <v/>
          </cell>
          <cell r="AH29" t="str">
            <v/>
          </cell>
          <cell r="AL29" t="str">
            <v/>
          </cell>
          <cell r="AZ29" t="str">
            <v/>
          </cell>
          <cell r="BA29" t="str">
            <v/>
          </cell>
        </row>
        <row r="30">
          <cell r="N30" t="str">
            <v/>
          </cell>
          <cell r="R30" t="str">
            <v/>
          </cell>
          <cell r="AH30" t="str">
            <v/>
          </cell>
          <cell r="AL30" t="str">
            <v/>
          </cell>
          <cell r="AZ30" t="str">
            <v/>
          </cell>
          <cell r="BA30" t="str">
            <v/>
          </cell>
        </row>
        <row r="31">
          <cell r="N31" t="str">
            <v/>
          </cell>
          <cell r="R31" t="str">
            <v/>
          </cell>
          <cell r="AH31" t="str">
            <v/>
          </cell>
          <cell r="AL31" t="str">
            <v/>
          </cell>
          <cell r="AZ31" t="str">
            <v/>
          </cell>
          <cell r="BA31" t="str">
            <v/>
          </cell>
        </row>
        <row r="32">
          <cell r="N32" t="str">
            <v/>
          </cell>
          <cell r="R32" t="str">
            <v/>
          </cell>
          <cell r="AH32" t="str">
            <v/>
          </cell>
          <cell r="AL32" t="str">
            <v/>
          </cell>
          <cell r="AZ32" t="str">
            <v/>
          </cell>
          <cell r="BA32" t="str">
            <v/>
          </cell>
        </row>
        <row r="33">
          <cell r="N33" t="str">
            <v/>
          </cell>
          <cell r="R33" t="str">
            <v/>
          </cell>
          <cell r="AH33" t="str">
            <v/>
          </cell>
          <cell r="AL33" t="str">
            <v/>
          </cell>
          <cell r="AZ33" t="str">
            <v/>
          </cell>
          <cell r="BA33" t="str">
            <v/>
          </cell>
        </row>
        <row r="34">
          <cell r="N34" t="str">
            <v/>
          </cell>
          <cell r="R34" t="str">
            <v/>
          </cell>
          <cell r="AH34" t="str">
            <v/>
          </cell>
          <cell r="AL34" t="str">
            <v/>
          </cell>
          <cell r="AZ34" t="str">
            <v/>
          </cell>
          <cell r="BA34" t="str">
            <v/>
          </cell>
        </row>
        <row r="35">
          <cell r="N35" t="str">
            <v/>
          </cell>
          <cell r="R35" t="str">
            <v/>
          </cell>
          <cell r="AH35" t="str">
            <v/>
          </cell>
          <cell r="AL35" t="str">
            <v/>
          </cell>
          <cell r="AZ35" t="str">
            <v/>
          </cell>
          <cell r="BA35" t="str">
            <v/>
          </cell>
        </row>
        <row r="36">
          <cell r="N36" t="str">
            <v/>
          </cell>
          <cell r="R36" t="str">
            <v/>
          </cell>
          <cell r="AH36" t="str">
            <v/>
          </cell>
          <cell r="AL36" t="str">
            <v/>
          </cell>
          <cell r="AZ36" t="str">
            <v/>
          </cell>
          <cell r="BA36" t="str">
            <v/>
          </cell>
        </row>
        <row r="37">
          <cell r="N37" t="str">
            <v/>
          </cell>
          <cell r="R37" t="str">
            <v/>
          </cell>
          <cell r="AH37" t="str">
            <v/>
          </cell>
          <cell r="AL37" t="str">
            <v/>
          </cell>
          <cell r="AZ37" t="str">
            <v/>
          </cell>
          <cell r="BA37" t="str">
            <v/>
          </cell>
        </row>
        <row r="38">
          <cell r="N38" t="str">
            <v/>
          </cell>
          <cell r="R38" t="str">
            <v/>
          </cell>
          <cell r="AH38" t="str">
            <v/>
          </cell>
          <cell r="AL38" t="str">
            <v/>
          </cell>
          <cell r="AZ38" t="str">
            <v/>
          </cell>
          <cell r="BA38" t="str">
            <v/>
          </cell>
        </row>
        <row r="39">
          <cell r="N39" t="str">
            <v/>
          </cell>
          <cell r="R39" t="str">
            <v/>
          </cell>
          <cell r="AH39" t="str">
            <v/>
          </cell>
          <cell r="AL39" t="str">
            <v/>
          </cell>
          <cell r="AZ39" t="str">
            <v/>
          </cell>
          <cell r="BA39" t="str">
            <v/>
          </cell>
        </row>
        <row r="40">
          <cell r="N40" t="str">
            <v/>
          </cell>
          <cell r="R40" t="str">
            <v/>
          </cell>
          <cell r="AH40" t="str">
            <v/>
          </cell>
          <cell r="AL40" t="str">
            <v/>
          </cell>
          <cell r="AZ40" t="str">
            <v/>
          </cell>
          <cell r="BA40" t="str">
            <v/>
          </cell>
        </row>
      </sheetData>
      <sheetData sheetId="9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A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A</v>
          </cell>
          <cell r="AZ21" t="str">
            <v>A</v>
          </cell>
        </row>
        <row r="22">
          <cell r="N22" t="str">
            <v/>
          </cell>
          <cell r="AH22" t="str">
            <v/>
          </cell>
          <cell r="AZ22" t="str">
            <v/>
          </cell>
        </row>
        <row r="23">
          <cell r="N23" t="str">
            <v/>
          </cell>
          <cell r="AH23" t="str">
            <v/>
          </cell>
          <cell r="AZ23" t="str">
            <v/>
          </cell>
        </row>
        <row r="24">
          <cell r="N24" t="str">
            <v/>
          </cell>
          <cell r="AH24" t="str">
            <v/>
          </cell>
          <cell r="AZ24" t="str">
            <v/>
          </cell>
        </row>
        <row r="25">
          <cell r="N25" t="str">
            <v/>
          </cell>
          <cell r="AH25" t="str">
            <v/>
          </cell>
          <cell r="AZ25" t="str">
            <v/>
          </cell>
        </row>
        <row r="26">
          <cell r="N26" t="str">
            <v/>
          </cell>
          <cell r="AH26" t="str">
            <v/>
          </cell>
          <cell r="AZ26" t="str">
            <v/>
          </cell>
        </row>
        <row r="27">
          <cell r="N27" t="str">
            <v/>
          </cell>
          <cell r="AH27" t="str">
            <v/>
          </cell>
          <cell r="AZ27" t="str">
            <v/>
          </cell>
        </row>
        <row r="28">
          <cell r="N28" t="str">
            <v/>
          </cell>
          <cell r="AH28" t="str">
            <v/>
          </cell>
          <cell r="AZ28" t="str">
            <v/>
          </cell>
        </row>
        <row r="29">
          <cell r="N29" t="str">
            <v/>
          </cell>
          <cell r="AH29" t="str">
            <v/>
          </cell>
          <cell r="AZ29" t="str">
            <v/>
          </cell>
        </row>
        <row r="30">
          <cell r="N30" t="str">
            <v/>
          </cell>
          <cell r="AH30" t="str">
            <v/>
          </cell>
          <cell r="AZ30" t="str">
            <v/>
          </cell>
        </row>
        <row r="31">
          <cell r="N31" t="str">
            <v/>
          </cell>
          <cell r="AH31" t="str">
            <v/>
          </cell>
          <cell r="AZ31" t="str">
            <v/>
          </cell>
        </row>
        <row r="32">
          <cell r="N32" t="str">
            <v/>
          </cell>
          <cell r="AH32" t="str">
            <v/>
          </cell>
          <cell r="AZ32" t="str">
            <v/>
          </cell>
        </row>
        <row r="33">
          <cell r="N33" t="str">
            <v/>
          </cell>
          <cell r="AH33" t="str">
            <v/>
          </cell>
          <cell r="AZ33" t="str">
            <v/>
          </cell>
        </row>
        <row r="34">
          <cell r="N34" t="str">
            <v/>
          </cell>
          <cell r="AH34" t="str">
            <v/>
          </cell>
          <cell r="AZ34" t="str">
            <v/>
          </cell>
        </row>
        <row r="35">
          <cell r="N35" t="str">
            <v/>
          </cell>
          <cell r="AH35" t="str">
            <v/>
          </cell>
          <cell r="AZ35" t="str">
            <v/>
          </cell>
        </row>
        <row r="36">
          <cell r="N36" t="str">
            <v/>
          </cell>
          <cell r="AH36" t="str">
            <v/>
          </cell>
          <cell r="AZ36" t="str">
            <v/>
          </cell>
        </row>
        <row r="37">
          <cell r="N37" t="str">
            <v/>
          </cell>
          <cell r="AH37" t="str">
            <v/>
          </cell>
          <cell r="AZ37" t="str">
            <v/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10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A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A</v>
          </cell>
          <cell r="AZ21" t="str">
            <v>A</v>
          </cell>
        </row>
        <row r="22">
          <cell r="N22" t="str">
            <v/>
          </cell>
          <cell r="AH22" t="str">
            <v/>
          </cell>
          <cell r="AZ22" t="str">
            <v/>
          </cell>
        </row>
        <row r="23">
          <cell r="N23" t="str">
            <v/>
          </cell>
          <cell r="AH23" t="str">
            <v/>
          </cell>
          <cell r="AZ23" t="str">
            <v/>
          </cell>
        </row>
        <row r="24">
          <cell r="N24" t="str">
            <v/>
          </cell>
          <cell r="AH24" t="str">
            <v/>
          </cell>
          <cell r="AZ24" t="str">
            <v/>
          </cell>
        </row>
        <row r="25">
          <cell r="N25" t="str">
            <v/>
          </cell>
          <cell r="AH25" t="str">
            <v/>
          </cell>
          <cell r="AZ25" t="str">
            <v/>
          </cell>
        </row>
        <row r="26">
          <cell r="N26" t="str">
            <v/>
          </cell>
          <cell r="AH26" t="str">
            <v/>
          </cell>
          <cell r="AZ26" t="str">
            <v/>
          </cell>
        </row>
        <row r="27">
          <cell r="N27" t="str">
            <v/>
          </cell>
          <cell r="AH27" t="str">
            <v/>
          </cell>
          <cell r="AZ27" t="str">
            <v/>
          </cell>
        </row>
        <row r="28">
          <cell r="N28" t="str">
            <v/>
          </cell>
          <cell r="AH28" t="str">
            <v/>
          </cell>
          <cell r="AZ28" t="str">
            <v/>
          </cell>
        </row>
        <row r="29">
          <cell r="N29" t="str">
            <v/>
          </cell>
          <cell r="AH29" t="str">
            <v/>
          </cell>
          <cell r="AZ29" t="str">
            <v/>
          </cell>
        </row>
        <row r="30">
          <cell r="N30" t="str">
            <v/>
          </cell>
          <cell r="AH30" t="str">
            <v/>
          </cell>
          <cell r="AZ30" t="str">
            <v/>
          </cell>
        </row>
        <row r="31">
          <cell r="N31" t="str">
            <v/>
          </cell>
          <cell r="AH31" t="str">
            <v/>
          </cell>
          <cell r="AZ31" t="str">
            <v/>
          </cell>
        </row>
        <row r="32">
          <cell r="N32" t="str">
            <v/>
          </cell>
          <cell r="AH32" t="str">
            <v/>
          </cell>
          <cell r="AZ32" t="str">
            <v/>
          </cell>
        </row>
        <row r="33">
          <cell r="N33" t="str">
            <v/>
          </cell>
          <cell r="AH33" t="str">
            <v/>
          </cell>
          <cell r="AZ33" t="str">
            <v/>
          </cell>
        </row>
        <row r="34">
          <cell r="N34" t="str">
            <v/>
          </cell>
          <cell r="AH34" t="str">
            <v/>
          </cell>
          <cell r="AZ34" t="str">
            <v/>
          </cell>
        </row>
        <row r="35">
          <cell r="N35" t="str">
            <v/>
          </cell>
          <cell r="AH35" t="str">
            <v/>
          </cell>
          <cell r="AZ35" t="str">
            <v/>
          </cell>
        </row>
        <row r="36">
          <cell r="N36" t="str">
            <v/>
          </cell>
          <cell r="AH36" t="str">
            <v/>
          </cell>
          <cell r="AZ36" t="str">
            <v/>
          </cell>
        </row>
        <row r="37">
          <cell r="N37" t="str">
            <v/>
          </cell>
          <cell r="AH37" t="str">
            <v/>
          </cell>
          <cell r="AZ37" t="str">
            <v/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11">
        <row r="13">
          <cell r="N13" t="str">
            <v>A</v>
          </cell>
          <cell r="AH13" t="str">
            <v>A</v>
          </cell>
          <cell r="AZ13" t="str">
            <v>A</v>
          </cell>
        </row>
        <row r="14">
          <cell r="N14" t="str">
            <v>A</v>
          </cell>
          <cell r="AH14" t="str">
            <v>A</v>
          </cell>
          <cell r="AZ14" t="str">
            <v>A</v>
          </cell>
        </row>
        <row r="15">
          <cell r="N15" t="str">
            <v>A</v>
          </cell>
          <cell r="AH15" t="str">
            <v>A</v>
          </cell>
          <cell r="AZ15" t="str">
            <v>A</v>
          </cell>
        </row>
        <row r="16">
          <cell r="N16" t="str">
            <v>A</v>
          </cell>
          <cell r="AH16" t="str">
            <v>A</v>
          </cell>
          <cell r="AZ16" t="str">
            <v>A</v>
          </cell>
        </row>
        <row r="17">
          <cell r="N17" t="str">
            <v>A</v>
          </cell>
          <cell r="AH17" t="str">
            <v>A</v>
          </cell>
          <cell r="AZ17" t="str">
            <v>A</v>
          </cell>
        </row>
        <row r="18">
          <cell r="N18" t="str">
            <v>A</v>
          </cell>
          <cell r="AH18" t="str">
            <v>A</v>
          </cell>
          <cell r="AZ18" t="str">
            <v>A</v>
          </cell>
        </row>
        <row r="19">
          <cell r="N19" t="str">
            <v>A</v>
          </cell>
          <cell r="AH19" t="str">
            <v>A</v>
          </cell>
          <cell r="AZ19" t="str">
            <v>A</v>
          </cell>
        </row>
        <row r="20">
          <cell r="N20" t="str">
            <v>A</v>
          </cell>
          <cell r="AH20" t="str">
            <v>A</v>
          </cell>
          <cell r="AZ20" t="str">
            <v>A</v>
          </cell>
        </row>
        <row r="21">
          <cell r="N21" t="str">
            <v>A</v>
          </cell>
          <cell r="AH21" t="str">
            <v>A</v>
          </cell>
          <cell r="AZ21" t="str">
            <v>A</v>
          </cell>
        </row>
        <row r="22">
          <cell r="N22" t="str">
            <v/>
          </cell>
          <cell r="AH22" t="str">
            <v/>
          </cell>
          <cell r="AZ22" t="str">
            <v/>
          </cell>
        </row>
        <row r="23">
          <cell r="N23" t="str">
            <v/>
          </cell>
          <cell r="AH23" t="str">
            <v/>
          </cell>
          <cell r="AZ23" t="str">
            <v/>
          </cell>
        </row>
        <row r="24">
          <cell r="N24" t="str">
            <v/>
          </cell>
          <cell r="AH24" t="str">
            <v/>
          </cell>
          <cell r="AZ24" t="str">
            <v/>
          </cell>
        </row>
        <row r="25">
          <cell r="N25" t="str">
            <v/>
          </cell>
          <cell r="AH25" t="str">
            <v/>
          </cell>
          <cell r="AZ25" t="str">
            <v/>
          </cell>
        </row>
        <row r="26">
          <cell r="N26" t="str">
            <v/>
          </cell>
          <cell r="AH26" t="str">
            <v/>
          </cell>
          <cell r="AZ26" t="str">
            <v/>
          </cell>
        </row>
        <row r="27">
          <cell r="N27" t="str">
            <v/>
          </cell>
          <cell r="AH27" t="str">
            <v/>
          </cell>
          <cell r="AZ27" t="str">
            <v/>
          </cell>
        </row>
        <row r="28">
          <cell r="N28" t="str">
            <v/>
          </cell>
          <cell r="AH28" t="str">
            <v/>
          </cell>
          <cell r="AZ28" t="str">
            <v/>
          </cell>
        </row>
        <row r="29">
          <cell r="N29" t="str">
            <v/>
          </cell>
          <cell r="AH29" t="str">
            <v/>
          </cell>
          <cell r="AZ29" t="str">
            <v/>
          </cell>
        </row>
        <row r="30">
          <cell r="N30" t="str">
            <v/>
          </cell>
          <cell r="AH30" t="str">
            <v/>
          </cell>
          <cell r="AZ30" t="str">
            <v/>
          </cell>
        </row>
        <row r="31">
          <cell r="N31" t="str">
            <v/>
          </cell>
          <cell r="AH31" t="str">
            <v/>
          </cell>
          <cell r="AZ31" t="str">
            <v/>
          </cell>
        </row>
        <row r="32">
          <cell r="N32" t="str">
            <v/>
          </cell>
          <cell r="AH32" t="str">
            <v/>
          </cell>
          <cell r="AZ32" t="str">
            <v/>
          </cell>
        </row>
        <row r="33">
          <cell r="N33" t="str">
            <v/>
          </cell>
          <cell r="AH33" t="str">
            <v/>
          </cell>
          <cell r="AZ33" t="str">
            <v/>
          </cell>
        </row>
        <row r="34">
          <cell r="N34" t="str">
            <v/>
          </cell>
          <cell r="AH34" t="str">
            <v/>
          </cell>
          <cell r="AZ34" t="str">
            <v/>
          </cell>
        </row>
        <row r="35">
          <cell r="N35" t="str">
            <v/>
          </cell>
          <cell r="AH35" t="str">
            <v/>
          </cell>
          <cell r="AZ35" t="str">
            <v/>
          </cell>
        </row>
        <row r="36">
          <cell r="N36" t="str">
            <v/>
          </cell>
          <cell r="AH36" t="str">
            <v/>
          </cell>
          <cell r="AZ36" t="str">
            <v/>
          </cell>
        </row>
        <row r="37">
          <cell r="N37" t="str">
            <v/>
          </cell>
          <cell r="AH37" t="str">
            <v/>
          </cell>
          <cell r="AZ37" t="str">
            <v/>
          </cell>
        </row>
        <row r="38">
          <cell r="N38" t="str">
            <v/>
          </cell>
          <cell r="AH38" t="str">
            <v/>
          </cell>
          <cell r="AZ38" t="str">
            <v/>
          </cell>
        </row>
        <row r="39">
          <cell r="N39" t="str">
            <v/>
          </cell>
          <cell r="AH39" t="str">
            <v/>
          </cell>
          <cell r="AZ39" t="str">
            <v/>
          </cell>
        </row>
        <row r="40">
          <cell r="N40" t="str">
            <v/>
          </cell>
          <cell r="AH40" t="str">
            <v/>
          </cell>
          <cell r="AZ40" t="str">
            <v/>
          </cell>
        </row>
      </sheetData>
      <sheetData sheetId="12">
        <row r="11">
          <cell r="J11" t="str">
            <v>x</v>
          </cell>
          <cell r="M11" t="str">
            <v>x</v>
          </cell>
          <cell r="P11" t="str">
            <v>x</v>
          </cell>
          <cell r="R11" t="str">
            <v>x</v>
          </cell>
          <cell r="U11" t="str">
            <v>x</v>
          </cell>
          <cell r="Y11" t="str">
            <v>x</v>
          </cell>
          <cell r="AA11" t="str">
            <v>x</v>
          </cell>
          <cell r="AD11" t="str">
            <v>x</v>
          </cell>
          <cell r="AH11" t="str">
            <v>x</v>
          </cell>
          <cell r="AJ11" t="str">
            <v>B</v>
          </cell>
          <cell r="AK11" t="str">
            <v>A</v>
          </cell>
          <cell r="AL11" t="str">
            <v>A</v>
          </cell>
          <cell r="AM11" t="str">
            <v>El estudiante es tranquilo, correcto, muestra preocupación en su aprendizaje. Necesita reforzarse en las áreas de Ciencias, cumplir con un trabajo permanente en las actividades y seguimiento constante en casa.</v>
          </cell>
        </row>
        <row r="12">
          <cell r="J12" t="str">
            <v>x</v>
          </cell>
          <cell r="M12" t="str">
            <v>x</v>
          </cell>
          <cell r="P12" t="str">
            <v>x</v>
          </cell>
          <cell r="R12" t="str">
            <v>x</v>
          </cell>
          <cell r="U12" t="str">
            <v>x</v>
          </cell>
          <cell r="Y12" t="str">
            <v>x</v>
          </cell>
          <cell r="AA12" t="str">
            <v>x</v>
          </cell>
          <cell r="AD12" t="str">
            <v>x</v>
          </cell>
          <cell r="AH12" t="str">
            <v>x</v>
          </cell>
          <cell r="AJ12" t="str">
            <v>B</v>
          </cell>
          <cell r="AK12" t="str">
            <v>A</v>
          </cell>
          <cell r="AL12" t="str">
            <v>A</v>
          </cell>
          <cell r="AM12" t="str">
            <v>El estudiante demuestra disposición para aprender. Presenta dificultades en las áreas de comunicación, por lo que necesita reforzar sus hábitos de estudio y mayor monitoreo. Se recomienda un acompañamiento constante.</v>
          </cell>
        </row>
        <row r="13">
          <cell r="I13" t="str">
            <v>x</v>
          </cell>
          <cell r="L13" t="str">
            <v>x</v>
          </cell>
          <cell r="O13" t="str">
            <v>x</v>
          </cell>
          <cell r="R13" t="str">
            <v>x</v>
          </cell>
          <cell r="U13" t="str">
            <v>x</v>
          </cell>
          <cell r="X13" t="str">
            <v>x</v>
          </cell>
          <cell r="AA13" t="str">
            <v>x</v>
          </cell>
          <cell r="AD13" t="str">
            <v>x</v>
          </cell>
          <cell r="AG13" t="str">
            <v>x</v>
          </cell>
          <cell r="AJ13" t="str">
            <v>A</v>
          </cell>
          <cell r="AK13" t="str">
            <v>A</v>
          </cell>
          <cell r="AL13" t="str">
            <v>A</v>
          </cell>
          <cell r="AM13" t="str">
            <v>El estudiante demuestra un buen desempeño académico, es responsable, participativo y organizado. Se sugiere continuar con el mismo compromiso para mantener y fortalecer sus aprendizajes.</v>
          </cell>
        </row>
        <row r="14">
          <cell r="I14" t="str">
            <v>x</v>
          </cell>
          <cell r="M14" t="str">
            <v>x</v>
          </cell>
          <cell r="O14" t="str">
            <v>x</v>
          </cell>
          <cell r="R14" t="str">
            <v>x</v>
          </cell>
          <cell r="U14" t="str">
            <v>x</v>
          </cell>
          <cell r="Y14" t="str">
            <v>x</v>
          </cell>
          <cell r="AA14" t="str">
            <v>x</v>
          </cell>
          <cell r="AD14" t="str">
            <v>x</v>
          </cell>
          <cell r="AG14" t="str">
            <v>x</v>
          </cell>
          <cell r="AJ14" t="str">
            <v>A</v>
          </cell>
          <cell r="AK14" t="str">
            <v>A</v>
          </cell>
          <cell r="AL14" t="str">
            <v>A</v>
          </cell>
          <cell r="AM14" t="str">
            <v>Tienes una excelente capacidad de análisis, sus respuestas son bien fundamentadas. Necesita prepararse para sus evaluaciones.</v>
          </cell>
        </row>
        <row r="15">
          <cell r="J15" t="str">
            <v>x</v>
          </cell>
          <cell r="M15" t="str">
            <v>x</v>
          </cell>
          <cell r="O15" t="str">
            <v>x</v>
          </cell>
          <cell r="R15" t="str">
            <v>x</v>
          </cell>
          <cell r="U15" t="str">
            <v>x</v>
          </cell>
          <cell r="Y15" t="str">
            <v>x</v>
          </cell>
          <cell r="AA15" t="str">
            <v>x</v>
          </cell>
          <cell r="AD15" t="str">
            <v>x</v>
          </cell>
          <cell r="AG15" t="str">
            <v>x</v>
          </cell>
          <cell r="AJ15" t="str">
            <v>A</v>
          </cell>
          <cell r="AK15" t="str">
            <v>A</v>
          </cell>
          <cell r="AL15" t="str">
            <v>A</v>
          </cell>
          <cell r="AM15" t="str">
            <v>Es muy colaborativa, a ayudar a tus compañeros, se destaca la creatividad en sus trabajos. Tiene que reforzar en las áreas de ciencia y matemáticas</v>
          </cell>
        </row>
        <row r="16">
          <cell r="I16" t="str">
            <v>X</v>
          </cell>
          <cell r="M16" t="str">
            <v>x</v>
          </cell>
          <cell r="O16" t="str">
            <v>x</v>
          </cell>
          <cell r="R16" t="str">
            <v>x</v>
          </cell>
          <cell r="U16" t="str">
            <v>x</v>
          </cell>
          <cell r="Y16" t="str">
            <v>x</v>
          </cell>
          <cell r="AA16" t="str">
            <v>x</v>
          </cell>
          <cell r="AD16" t="str">
            <v>x</v>
          </cell>
          <cell r="AG16" t="str">
            <v>x</v>
          </cell>
          <cell r="AJ16" t="str">
            <v>A</v>
          </cell>
          <cell r="AK16" t="str">
            <v>A</v>
          </cell>
          <cell r="AL16" t="str">
            <v>A</v>
          </cell>
          <cell r="AM16" t="str">
            <v>Tiene una excelente capacidad de análisis, muestra preocupación en su aprendizaje. Necesita prepararse para sus evaluaciones.</v>
          </cell>
        </row>
        <row r="17">
          <cell r="I17" t="str">
            <v>x</v>
          </cell>
          <cell r="L17" t="str">
            <v>x</v>
          </cell>
          <cell r="O17" t="str">
            <v>x</v>
          </cell>
          <cell r="R17" t="str">
            <v>x</v>
          </cell>
          <cell r="U17" t="str">
            <v>x</v>
          </cell>
          <cell r="X17" t="str">
            <v>x</v>
          </cell>
          <cell r="AA17" t="str">
            <v>x</v>
          </cell>
          <cell r="AD17" t="str">
            <v>x</v>
          </cell>
          <cell r="AG17" t="str">
            <v>x</v>
          </cell>
          <cell r="AJ17" t="str">
            <v>A</v>
          </cell>
          <cell r="AK17" t="str">
            <v>A</v>
          </cell>
          <cell r="AL17" t="str">
            <v>A</v>
          </cell>
          <cell r="AM17" t="str">
            <v>Estudiante que participa siempre en clase; muestra responsabilidad en lo que se le encomienda, aunque a veces suele confiarse demasiado. Se le aconseja que no desista en su lucha por alcanzar sus objetivos</v>
          </cell>
        </row>
        <row r="18">
          <cell r="J18" t="str">
            <v>x</v>
          </cell>
          <cell r="M18" t="str">
            <v>x</v>
          </cell>
          <cell r="P18" t="str">
            <v>x</v>
          </cell>
          <cell r="R18" t="str">
            <v>x</v>
          </cell>
          <cell r="U18" t="str">
            <v>x</v>
          </cell>
          <cell r="Y18" t="str">
            <v>x</v>
          </cell>
          <cell r="AA18" t="str">
            <v>x</v>
          </cell>
          <cell r="AD18" t="str">
            <v>x</v>
          </cell>
          <cell r="AG18" t="str">
            <v>x</v>
          </cell>
          <cell r="AJ18" t="str">
            <v>B</v>
          </cell>
          <cell r="AK18" t="str">
            <v>A</v>
          </cell>
          <cell r="AL18" t="str">
            <v>A</v>
          </cell>
          <cell r="AM18" t="str">
            <v>La estudiante ha mostrado habilidades artísticas, participativo y social con sus compañeros. Se le recomienda continuar con su buen aprestamiento integral y seguir reforzando áreas de matemáticas.</v>
          </cell>
        </row>
        <row r="19">
          <cell r="I19" t="str">
            <v>x</v>
          </cell>
          <cell r="L19" t="str">
            <v>x</v>
          </cell>
          <cell r="O19" t="str">
            <v>x</v>
          </cell>
          <cell r="R19" t="str">
            <v>x</v>
          </cell>
          <cell r="U19" t="str">
            <v>x</v>
          </cell>
          <cell r="X19" t="str">
            <v>x</v>
          </cell>
          <cell r="AA19" t="str">
            <v>x</v>
          </cell>
          <cell r="AD19" t="str">
            <v>x</v>
          </cell>
          <cell r="AG19" t="str">
            <v>x</v>
          </cell>
          <cell r="AJ19" t="str">
            <v>A</v>
          </cell>
          <cell r="AK19" t="str">
            <v>A</v>
          </cell>
          <cell r="AL19" t="str">
            <v>A</v>
          </cell>
          <cell r="AM19" t="str">
            <v>El estudiante muestra iniciativa para la colaboración en actividades, debe de mantener reforzando lo que avanza en clase y sus tareas.</v>
          </cell>
        </row>
      </sheetData>
      <sheetData sheetId="13">
        <row r="11">
          <cell r="J11" t="str">
            <v>x</v>
          </cell>
          <cell r="L11" t="str">
            <v>x</v>
          </cell>
          <cell r="P11" t="str">
            <v>x</v>
          </cell>
          <cell r="S11" t="str">
            <v>x</v>
          </cell>
          <cell r="U11" t="str">
            <v>B</v>
          </cell>
        </row>
        <row r="12">
          <cell r="J12" t="str">
            <v>x</v>
          </cell>
          <cell r="L12" t="str">
            <v>x</v>
          </cell>
          <cell r="Q12" t="str">
            <v>x</v>
          </cell>
          <cell r="S12" t="str">
            <v>x</v>
          </cell>
          <cell r="U12" t="str">
            <v>B</v>
          </cell>
        </row>
        <row r="13">
          <cell r="I13" t="str">
            <v>x</v>
          </cell>
          <cell r="L13" t="str">
            <v>x</v>
          </cell>
          <cell r="O13" t="str">
            <v>x</v>
          </cell>
          <cell r="R13" t="str">
            <v>x</v>
          </cell>
          <cell r="U13" t="str">
            <v>A</v>
          </cell>
        </row>
        <row r="14">
          <cell r="J14" t="str">
            <v>x</v>
          </cell>
          <cell r="L14" t="str">
            <v>x</v>
          </cell>
          <cell r="O14" t="str">
            <v>x</v>
          </cell>
          <cell r="R14" t="str">
            <v>x</v>
          </cell>
          <cell r="U14" t="str">
            <v>A</v>
          </cell>
        </row>
        <row r="15">
          <cell r="J15" t="str">
            <v>x</v>
          </cell>
          <cell r="M15" t="str">
            <v>x</v>
          </cell>
          <cell r="P15" t="str">
            <v>x</v>
          </cell>
          <cell r="S15" t="str">
            <v>x</v>
          </cell>
          <cell r="U15" t="str">
            <v>B</v>
          </cell>
        </row>
        <row r="16">
          <cell r="I16" t="str">
            <v>x</v>
          </cell>
          <cell r="M16" t="str">
            <v>x</v>
          </cell>
          <cell r="O16" t="str">
            <v>X</v>
          </cell>
          <cell r="R16" t="str">
            <v>X</v>
          </cell>
          <cell r="U16" t="str">
            <v>A</v>
          </cell>
        </row>
        <row r="17">
          <cell r="I17" t="str">
            <v>x</v>
          </cell>
          <cell r="L17" t="str">
            <v>x</v>
          </cell>
          <cell r="O17" t="str">
            <v>X</v>
          </cell>
          <cell r="R17" t="str">
            <v>x</v>
          </cell>
          <cell r="U17" t="str">
            <v>A</v>
          </cell>
        </row>
        <row r="18">
          <cell r="J18" t="str">
            <v>x</v>
          </cell>
          <cell r="M18" t="str">
            <v>x</v>
          </cell>
          <cell r="P18" t="str">
            <v>x</v>
          </cell>
          <cell r="S18" t="str">
            <v>x</v>
          </cell>
          <cell r="U18" t="str">
            <v>B</v>
          </cell>
        </row>
        <row r="19">
          <cell r="I19" t="str">
            <v>x</v>
          </cell>
          <cell r="L19" t="str">
            <v>x</v>
          </cell>
          <cell r="O19" t="str">
            <v>x</v>
          </cell>
          <cell r="R19" t="str">
            <v>x</v>
          </cell>
          <cell r="U19" t="str">
            <v>A</v>
          </cell>
        </row>
      </sheetData>
      <sheetData sheetId="14">
        <row r="4">
          <cell r="BR4">
            <v>47</v>
          </cell>
        </row>
        <row r="13">
          <cell r="BO13">
            <v>41</v>
          </cell>
          <cell r="BP13">
            <v>3</v>
          </cell>
          <cell r="BQ13">
            <v>0</v>
          </cell>
          <cell r="BR13">
            <v>3</v>
          </cell>
          <cell r="BS13">
            <v>0.93617021276595747</v>
          </cell>
        </row>
        <row r="14">
          <cell r="BO14">
            <v>42</v>
          </cell>
          <cell r="BP14">
            <v>5</v>
          </cell>
          <cell r="BQ14">
            <v>0</v>
          </cell>
          <cell r="BR14">
            <v>0</v>
          </cell>
          <cell r="BS14">
            <v>1</v>
          </cell>
        </row>
        <row r="15">
          <cell r="BO15">
            <v>47</v>
          </cell>
          <cell r="BP15">
            <v>0</v>
          </cell>
          <cell r="BQ15">
            <v>0</v>
          </cell>
          <cell r="BR15">
            <v>0</v>
          </cell>
          <cell r="BS15">
            <v>1</v>
          </cell>
        </row>
        <row r="16">
          <cell r="BO16">
            <v>42</v>
          </cell>
          <cell r="BP16">
            <v>5</v>
          </cell>
          <cell r="BQ16">
            <v>0</v>
          </cell>
          <cell r="BR16">
            <v>0</v>
          </cell>
          <cell r="BS16">
            <v>1</v>
          </cell>
        </row>
        <row r="17">
          <cell r="BO17">
            <v>43</v>
          </cell>
          <cell r="BP17">
            <v>2</v>
          </cell>
          <cell r="BQ17">
            <v>1</v>
          </cell>
          <cell r="BR17">
            <v>1</v>
          </cell>
          <cell r="BS17">
            <v>0.97872340425531912</v>
          </cell>
        </row>
        <row r="18">
          <cell r="BO18">
            <v>43</v>
          </cell>
          <cell r="BP18">
            <v>3</v>
          </cell>
          <cell r="BQ18">
            <v>1</v>
          </cell>
          <cell r="BR18">
            <v>0</v>
          </cell>
          <cell r="BS18">
            <v>1</v>
          </cell>
        </row>
        <row r="19">
          <cell r="BO19">
            <v>47</v>
          </cell>
          <cell r="BP19">
            <v>0</v>
          </cell>
          <cell r="BQ19">
            <v>0</v>
          </cell>
          <cell r="BR19">
            <v>0</v>
          </cell>
          <cell r="BS19">
            <v>1</v>
          </cell>
        </row>
        <row r="20">
          <cell r="BO20">
            <v>44</v>
          </cell>
          <cell r="BP20">
            <v>0</v>
          </cell>
          <cell r="BQ20">
            <v>0</v>
          </cell>
          <cell r="BR20">
            <v>3</v>
          </cell>
          <cell r="BS20">
            <v>0.93617021276595747</v>
          </cell>
        </row>
        <row r="21">
          <cell r="BO21">
            <v>44</v>
          </cell>
          <cell r="BP21">
            <v>1</v>
          </cell>
          <cell r="BQ21">
            <v>1</v>
          </cell>
          <cell r="BR21">
            <v>1</v>
          </cell>
          <cell r="BS21">
            <v>0.97872340425531912</v>
          </cell>
        </row>
        <row r="39"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I81"/>
  <sheetViews>
    <sheetView tabSelected="1" view="pageBreakPreview" topLeftCell="A3" zoomScaleNormal="100" zoomScaleSheetLayoutView="100" workbookViewId="0">
      <selection activeCell="C15" sqref="C15"/>
    </sheetView>
  </sheetViews>
  <sheetFormatPr baseColWidth="10" defaultRowHeight="15"/>
  <cols>
    <col min="1" max="1" width="1.5703125" style="1" customWidth="1"/>
    <col min="2" max="2" width="14.140625" style="1" customWidth="1"/>
    <col min="3" max="3" width="62.28515625" style="1" customWidth="1"/>
    <col min="4" max="6" width="5.42578125" style="2" customWidth="1"/>
    <col min="7" max="7" width="11.42578125" style="1"/>
    <col min="8" max="8" width="13" style="1" customWidth="1"/>
    <col min="9" max="16384" width="11.42578125" style="1"/>
  </cols>
  <sheetData>
    <row r="2" spans="1:9" ht="18.75">
      <c r="A2" s="88" t="s">
        <v>13</v>
      </c>
      <c r="B2" s="88"/>
      <c r="C2" s="88"/>
      <c r="D2" s="88"/>
      <c r="E2" s="88"/>
      <c r="F2" s="88"/>
    </row>
    <row r="3" spans="1:9">
      <c r="A3" s="89" t="s">
        <v>146</v>
      </c>
      <c r="B3" s="89"/>
      <c r="C3" s="89"/>
      <c r="D3" s="89"/>
      <c r="E3" s="89"/>
      <c r="F3" s="89"/>
      <c r="G3" s="3"/>
      <c r="H3" s="3"/>
    </row>
    <row r="5" spans="1:9">
      <c r="C5" s="4" t="s">
        <v>14</v>
      </c>
      <c r="D5" s="95" t="s">
        <v>147</v>
      </c>
      <c r="E5" s="95"/>
      <c r="I5" s="5"/>
    </row>
    <row r="6" spans="1:9">
      <c r="B6" s="1" t="s">
        <v>15</v>
      </c>
      <c r="C6" s="3" t="s">
        <v>30</v>
      </c>
    </row>
    <row r="7" spans="1:9">
      <c r="B7" s="1" t="s">
        <v>16</v>
      </c>
      <c r="C7" s="3" t="str">
        <f>VLOOKUP(Libreta!$C$6,CONSOLIDADO!$A$1:$EF$33,CONSOLIDADO!$B$1,0)</f>
        <v>SULLCA CHIPANA JULIO CESAR MATIAS</v>
      </c>
      <c r="E7" s="2" t="s">
        <v>149</v>
      </c>
    </row>
    <row r="8" spans="1:9" ht="15.75" thickBot="1">
      <c r="B8" s="1" t="s">
        <v>119</v>
      </c>
      <c r="C8" s="3" t="s">
        <v>148</v>
      </c>
    </row>
    <row r="9" spans="1:9">
      <c r="B9" s="92" t="s">
        <v>17</v>
      </c>
      <c r="C9" s="90" t="s">
        <v>18</v>
      </c>
      <c r="D9" s="90" t="s">
        <v>19</v>
      </c>
      <c r="E9" s="90"/>
      <c r="F9" s="91"/>
    </row>
    <row r="10" spans="1:9" ht="15.75" thickBot="1">
      <c r="B10" s="93"/>
      <c r="C10" s="94"/>
      <c r="D10" s="50" t="s">
        <v>20</v>
      </c>
      <c r="E10" s="50" t="s">
        <v>21</v>
      </c>
      <c r="F10" s="6" t="s">
        <v>22</v>
      </c>
    </row>
    <row r="11" spans="1:9">
      <c r="B11" s="83" t="s">
        <v>61</v>
      </c>
      <c r="C11" s="7" t="s">
        <v>58</v>
      </c>
      <c r="D11" s="34" t="str">
        <f>IFERROR(VLOOKUP($C$6,CONSOLIDADO!$A$1:$EF$33,CONSOLIDADO!$C$1,0),"-")</f>
        <v>B</v>
      </c>
      <c r="E11" s="34" t="str">
        <f>IFERROR(VLOOKUP($C$6,CONSOLIDADO!$A$1:$EF$33,CONSOLIDADO!$D$1,0),"-")</f>
        <v>A</v>
      </c>
      <c r="F11" s="37" t="str">
        <f>IFERROR(VLOOKUP($C$6,CONSOLIDADO!$A$1:$EF$33,CONSOLIDADO!$E$1,0),"-")</f>
        <v>A</v>
      </c>
    </row>
    <row r="12" spans="1:9">
      <c r="B12" s="84"/>
      <c r="C12" s="9" t="s">
        <v>60</v>
      </c>
      <c r="D12" s="34" t="str">
        <f>IFERROR(VLOOKUP($C$6,CONSOLIDADO!$A$1:$EF$33,CONSOLIDADO!$F$1,0),"-")</f>
        <v>B</v>
      </c>
      <c r="E12" s="34" t="str">
        <f>IFERROR(VLOOKUP($C$6,CONSOLIDADO!$A$1:$EF$33,CONSOLIDADO!$G$1,0),"-")</f>
        <v>B</v>
      </c>
      <c r="F12" s="38" t="str">
        <f>IFERROR(VLOOKUP($C$6,CONSOLIDADO!$A$1:$EF$33,CONSOLIDADO!$H$1,0),"-")</f>
        <v>B</v>
      </c>
    </row>
    <row r="13" spans="1:9">
      <c r="B13" s="84"/>
      <c r="C13" s="9" t="s">
        <v>59</v>
      </c>
      <c r="D13" s="34" t="str">
        <f>IFERROR(VLOOKUP($C$6,CONSOLIDADO!$A$1:$EF$33,CONSOLIDADO!$I$1,0),"-")</f>
        <v>B</v>
      </c>
      <c r="E13" s="34" t="str">
        <f>IFERROR(VLOOKUP($C$6,CONSOLIDADO!$A$1:$EF$33,CONSOLIDADO!$J$1,0),"-")</f>
        <v>B</v>
      </c>
      <c r="F13" s="38" t="str">
        <f>IFERROR(VLOOKUP($C$6,CONSOLIDADO!$A$1:$EF$33,CONSOLIDADO!$K$1,0),"-")</f>
        <v>B</v>
      </c>
    </row>
    <row r="14" spans="1:9" ht="15.75" thickBot="1">
      <c r="B14" s="84"/>
      <c r="C14" s="10" t="s">
        <v>144</v>
      </c>
      <c r="D14" s="35" t="str">
        <f>IFERROR(VLOOKUP($C$6,CONSOLIDADO!$A$1:$EF$33,CONSOLIDADO!$L$1,0),"-")</f>
        <v>A</v>
      </c>
      <c r="E14" s="35" t="str">
        <f>IFERROR(VLOOKUP($C$6,CONSOLIDADO!$A$1:$EF$33,CONSOLIDADO!$M$1,0),"-")</f>
        <v>A</v>
      </c>
      <c r="F14" s="39" t="str">
        <f>IFERROR(VLOOKUP($C$6,CONSOLIDADO!$A$1:$EF$33,CONSOLIDADO!$N$1,0),"-")</f>
        <v>A</v>
      </c>
    </row>
    <row r="15" spans="1:9" ht="15" customHeight="1">
      <c r="B15" s="83" t="s">
        <v>98</v>
      </c>
      <c r="C15" s="7" t="s">
        <v>97</v>
      </c>
      <c r="D15" s="36" t="str">
        <f>IFERROR(VLOOKUP($C$6,CONSOLIDADO!$A$1:$EF$33,CONSOLIDADO!$O$1,0),"-")</f>
        <v>A</v>
      </c>
      <c r="E15" s="36" t="str">
        <f>IFERROR(VLOOKUP($C$6,CONSOLIDADO!$A$1:$EF$33,CONSOLIDADO!$P$1,0),"-")</f>
        <v>A</v>
      </c>
      <c r="F15" s="37" t="str">
        <f>IFERROR(VLOOKUP($C$6,CONSOLIDADO!$A$1:$EF$33,CONSOLIDADO!$Q$1,0),"-")</f>
        <v>A</v>
      </c>
    </row>
    <row r="16" spans="1:9">
      <c r="B16" s="84"/>
      <c r="C16" s="9" t="s">
        <v>127</v>
      </c>
      <c r="D16" s="34" t="str">
        <f>IFERROR(VLOOKUP($C$6,CONSOLIDADO!$A$1:$EF$33,CONSOLIDADO!$R$1,0),"-")</f>
        <v>A</v>
      </c>
      <c r="E16" s="34" t="str">
        <f>IFERROR(VLOOKUP($C$6,CONSOLIDADO!$A$1:$EF$33,CONSOLIDADO!$S$1,0),"-")</f>
        <v>A</v>
      </c>
      <c r="F16" s="38" t="str">
        <f>IFERROR(VLOOKUP($C$6,CONSOLIDADO!$A$1:$EF$33,CONSOLIDADO!$T$1,0),"-")</f>
        <v>A</v>
      </c>
    </row>
    <row r="17" spans="2:6" ht="15.75" thickBot="1">
      <c r="B17" s="84"/>
      <c r="C17" s="11" t="s">
        <v>128</v>
      </c>
      <c r="D17" s="40" t="str">
        <f>IFERROR(VLOOKUP($C$6,CONSOLIDADO!$A$1:$EF$33,CONSOLIDADO!$U$1,0),"-")</f>
        <v>A</v>
      </c>
      <c r="E17" s="40" t="str">
        <f>IFERROR(VLOOKUP($C$6,CONSOLIDADO!$A$1:$EF$33,CONSOLIDADO!$V$1,0),"-")</f>
        <v>B</v>
      </c>
      <c r="F17" s="41" t="str">
        <f>IFERROR(VLOOKUP($C$6,CONSOLIDADO!$A$1:$EF$33,CONSOLIDADO!$W$1,0),"-")</f>
        <v>A</v>
      </c>
    </row>
    <row r="18" spans="2:6">
      <c r="B18" s="83" t="s">
        <v>124</v>
      </c>
      <c r="C18" s="12" t="s">
        <v>129</v>
      </c>
      <c r="D18" s="42" t="str">
        <f>IFERROR(VLOOKUP($C$6,CONSOLIDADO!$A$1:$EF$33,CONSOLIDADO!$X$1,0),"-")</f>
        <v>A</v>
      </c>
      <c r="E18" s="42" t="str">
        <f>IFERROR(VLOOKUP($C$6,CONSOLIDADO!$A$1:$EF$33,CONSOLIDADO!$Y$1,0),"-")</f>
        <v>A</v>
      </c>
      <c r="F18" s="43" t="str">
        <f>IFERROR(VLOOKUP($C$6,CONSOLIDADO!$A$1:$EF$33,CONSOLIDADO!$Z$1,0),"-")</f>
        <v>A</v>
      </c>
    </row>
    <row r="19" spans="2:6">
      <c r="B19" s="84"/>
      <c r="C19" s="9" t="s">
        <v>51</v>
      </c>
      <c r="D19" s="34" t="str">
        <f>IFERROR(VLOOKUP($C$6,CONSOLIDADO!$A$1:$EF$33,CONSOLIDADO!$AA$1,0),"-")</f>
        <v>A</v>
      </c>
      <c r="E19" s="34" t="str">
        <f>IFERROR(VLOOKUP($C$6,CONSOLIDADO!$A$1:$EF$33,CONSOLIDADO!$AB$1,0),"-")</f>
        <v>A</v>
      </c>
      <c r="F19" s="38" t="str">
        <f>IFERROR(VLOOKUP($C$6,CONSOLIDADO!$A$1:$EF$33,CONSOLIDADO!$AC$1,0),"-")</f>
        <v>A</v>
      </c>
    </row>
    <row r="20" spans="2:6" ht="15.75" thickBot="1">
      <c r="B20" s="84"/>
      <c r="C20" s="10" t="s">
        <v>130</v>
      </c>
      <c r="D20" s="35" t="str">
        <f>IFERROR(VLOOKUP($C$6,CONSOLIDADO!$A$1:$EF$33,CONSOLIDADO!$AD$1,0),"-")</f>
        <v>A</v>
      </c>
      <c r="E20" s="35" t="str">
        <f>IFERROR(VLOOKUP($C$6,CONSOLIDADO!$A$1:$EF$33,CONSOLIDADO!$AE$1,0),"-")</f>
        <v>A</v>
      </c>
      <c r="F20" s="39" t="str">
        <f>IFERROR(VLOOKUP($C$6,CONSOLIDADO!$A$1:$EF$33,CONSOLIDADO!$AF$1,0),"-")</f>
        <v>A</v>
      </c>
    </row>
    <row r="21" spans="2:6" ht="17.25" customHeight="1">
      <c r="B21" s="85" t="s">
        <v>145</v>
      </c>
      <c r="C21" s="7" t="s">
        <v>101</v>
      </c>
      <c r="D21" s="36" t="str">
        <f>IFERROR(VLOOKUP($C$6,CONSOLIDADO!$A$1:$EF$33,CONSOLIDADO!$AG$1,0),"-")</f>
        <v>A</v>
      </c>
      <c r="E21" s="36" t="str">
        <f>IFERROR(VLOOKUP($C$6,CONSOLIDADO!$A$1:$EF$33,CONSOLIDADO!$AH$1,0),"-")</f>
        <v>A</v>
      </c>
      <c r="F21" s="37" t="str">
        <f>IFERROR(VLOOKUP($C$6,CONSOLIDADO!$A$1:$EF$33,CONSOLIDADO!$AI$1,0),"-")</f>
        <v>A</v>
      </c>
    </row>
    <row r="22" spans="2:6" ht="18" customHeight="1" thickBot="1">
      <c r="B22" s="87"/>
      <c r="C22" s="11" t="s">
        <v>102</v>
      </c>
      <c r="D22" s="40" t="str">
        <f>IFERROR(VLOOKUP($C$6,CONSOLIDADO!$A$1:$EF$33,CONSOLIDADO!$AJ$1,0),"-")</f>
        <v>A</v>
      </c>
      <c r="E22" s="40" t="str">
        <f>IFERROR(VLOOKUP($C$6,CONSOLIDADO!$A$1:$EF$33,CONSOLIDADO!$AK$1,0),"-")</f>
        <v>B</v>
      </c>
      <c r="F22" s="41" t="str">
        <f>IFERROR(VLOOKUP($C$6,CONSOLIDADO!$A$1:$EF$33,CONSOLIDADO!$AL$1,0),"-")</f>
        <v>A</v>
      </c>
    </row>
    <row r="23" spans="2:6">
      <c r="B23" s="86" t="s">
        <v>57</v>
      </c>
      <c r="C23" s="7" t="s">
        <v>55</v>
      </c>
      <c r="D23" s="36" t="str">
        <f>IFERROR(VLOOKUP($C$6,CONSOLIDADO!$A$1:$EF$33,CONSOLIDADO!$AM$1,0),"-")</f>
        <v>A</v>
      </c>
      <c r="E23" s="36" t="str">
        <f>IFERROR(VLOOKUP($C$6,CONSOLIDADO!$A$1:$EF$33,CONSOLIDADO!$AN$1,0),"-")</f>
        <v>A</v>
      </c>
      <c r="F23" s="37" t="str">
        <f>IFERROR(VLOOKUP($C$6,CONSOLIDADO!$A$1:$EF$33,CONSOLIDADO!$AO$1,0),"-")</f>
        <v>A</v>
      </c>
    </row>
    <row r="24" spans="2:6" ht="15.75" thickBot="1">
      <c r="B24" s="87"/>
      <c r="C24" s="11" t="s">
        <v>56</v>
      </c>
      <c r="D24" s="40" t="str">
        <f>IFERROR(VLOOKUP($C$6,CONSOLIDADO!$A$1:$EF$33,CONSOLIDADO!$AP$1,0),"-")</f>
        <v>A</v>
      </c>
      <c r="E24" s="40" t="str">
        <f>IFERROR(VLOOKUP($C$6,CONSOLIDADO!$A$1:$EF$33,CONSOLIDADO!$AQ$1,0),"-")</f>
        <v>A</v>
      </c>
      <c r="F24" s="41" t="str">
        <f>IFERROR(VLOOKUP($C$6,CONSOLIDADO!$A$1:$EF$33,CONSOLIDADO!$AR$1,0),"-")</f>
        <v>A</v>
      </c>
    </row>
    <row r="25" spans="2:6">
      <c r="B25" s="85" t="s">
        <v>54</v>
      </c>
      <c r="C25" s="7" t="s">
        <v>52</v>
      </c>
      <c r="D25" s="36" t="str">
        <f>IFERROR(VLOOKUP($C$6,CONSOLIDADO!$A$1:$EF$33,CONSOLIDADO!$AS$1,0),"-")</f>
        <v>B</v>
      </c>
      <c r="E25" s="36" t="str">
        <f>IFERROR(VLOOKUP($C$6,CONSOLIDADO!$A$1:$EF$33,CONSOLIDADO!$AT$1,0),"-")</f>
        <v>B</v>
      </c>
      <c r="F25" s="37" t="str">
        <f>IFERROR(VLOOKUP($C$6,CONSOLIDADO!$A$1:$EF$33,CONSOLIDADO!$AU$1,0),"-")</f>
        <v>B</v>
      </c>
    </row>
    <row r="26" spans="2:6">
      <c r="B26" s="86"/>
      <c r="C26" s="9" t="s">
        <v>50</v>
      </c>
      <c r="D26" s="34" t="str">
        <f>IFERROR(VLOOKUP($C$6,CONSOLIDADO!$A$1:$EF$33,CONSOLIDADO!$AV$1,0),"-")</f>
        <v>B</v>
      </c>
      <c r="E26" s="34" t="str">
        <f>IFERROR(VLOOKUP($C$6,CONSOLIDADO!$A$1:$EF$33,CONSOLIDADO!$AW$1,0),"-")</f>
        <v>A</v>
      </c>
      <c r="F26" s="38" t="str">
        <f>IFERROR(VLOOKUP($C$6,CONSOLIDADO!$A$1:$EF$33,CONSOLIDADO!$AX$1,0),"-")</f>
        <v>A</v>
      </c>
    </row>
    <row r="27" spans="2:6" ht="15.75" thickBot="1">
      <c r="B27" s="87"/>
      <c r="C27" s="11" t="s">
        <v>53</v>
      </c>
      <c r="D27" s="40" t="str">
        <f>IFERROR(VLOOKUP($C$6,CONSOLIDADO!$A$1:$EF$33,CONSOLIDADO!$AY$1,0),"-")</f>
        <v>A</v>
      </c>
      <c r="E27" s="40" t="str">
        <f>IFERROR(VLOOKUP($C$6,CONSOLIDADO!$A$1:$EF$33,CONSOLIDADO!$AZ$1,0),"-")</f>
        <v>A</v>
      </c>
      <c r="F27" s="41" t="str">
        <f>IFERROR(VLOOKUP($C$6,CONSOLIDADO!$A$1:$EF$33,CONSOLIDADO!$BA$1,0),"-")</f>
        <v>A</v>
      </c>
    </row>
    <row r="28" spans="2:6" ht="15" customHeight="1">
      <c r="B28" s="85" t="s">
        <v>63</v>
      </c>
      <c r="C28" s="7" t="s">
        <v>62</v>
      </c>
      <c r="D28" s="36" t="str">
        <f>IFERROR(VLOOKUP($C$6,CONSOLIDADO!$A$1:$EF$33,CONSOLIDADO!$BB$1,0),"-")</f>
        <v>B</v>
      </c>
      <c r="E28" s="36" t="str">
        <f>IFERROR(VLOOKUP($C$6,CONSOLIDADO!$A$1:$EF$33,CONSOLIDADO!$BC$1,0),"-")</f>
        <v>A</v>
      </c>
      <c r="F28" s="37" t="str">
        <f>IFERROR(VLOOKUP($C$6,CONSOLIDADO!$A$1:$EF$33,CONSOLIDADO!$BD$1,0),"-")</f>
        <v>A</v>
      </c>
    </row>
    <row r="29" spans="2:6" ht="26.25">
      <c r="B29" s="86"/>
      <c r="C29" s="13" t="s">
        <v>143</v>
      </c>
      <c r="D29" s="42" t="str">
        <f>IFERROR(VLOOKUP($C$6,CONSOLIDADO!$A$1:$EF$33,CONSOLIDADO!$BE$1,0),"-")</f>
        <v>B</v>
      </c>
      <c r="E29" s="42" t="str">
        <f>IFERROR(VLOOKUP($C$6,CONSOLIDADO!$A$1:$EF$33,CONSOLIDADO!$BF$1,0),"-")</f>
        <v>C</v>
      </c>
      <c r="F29" s="43" t="str">
        <f>IFERROR(VLOOKUP($C$6,CONSOLIDADO!$A$1:$EF$33,CONSOLIDADO!$BG$1,0),"-")</f>
        <v>B</v>
      </c>
    </row>
    <row r="30" spans="2:6" ht="15.75" thickBot="1">
      <c r="B30" s="87"/>
      <c r="C30" s="11" t="s">
        <v>142</v>
      </c>
      <c r="D30" s="44" t="str">
        <f>IFERROR(VLOOKUP($C$6,CONSOLIDADO!$A$1:$EF$33,CONSOLIDADO!$BH$1,0),"-")</f>
        <v>A</v>
      </c>
      <c r="E30" s="44" t="str">
        <f>IFERROR(VLOOKUP($C$6,CONSOLIDADO!$A$1:$EF$33,CONSOLIDADO!$BI$1,0),"-")</f>
        <v>C</v>
      </c>
      <c r="F30" s="45" t="str">
        <f>IFERROR(VLOOKUP($C$6,CONSOLIDADO!$A$1:$EF$33,CONSOLIDADO!$BJ$1,0),"-")</f>
        <v>B</v>
      </c>
    </row>
    <row r="31" spans="2:6" ht="15" customHeight="1">
      <c r="B31" s="85" t="s">
        <v>125</v>
      </c>
      <c r="C31" s="7" t="s">
        <v>141</v>
      </c>
      <c r="D31" s="36" t="str">
        <f>IFERROR(VLOOKUP($C$6,CONSOLIDADO!$A$1:$EF$33,CONSOLIDADO!$BK$1,0),"-")</f>
        <v>B</v>
      </c>
      <c r="E31" s="36" t="str">
        <f>IFERROR(VLOOKUP($C$6,CONSOLIDADO!$A$1:$EF$33,CONSOLIDADO!$BL$1,0),"-")</f>
        <v>B</v>
      </c>
      <c r="F31" s="37" t="str">
        <f>IFERROR(VLOOKUP($C$6,CONSOLIDADO!$A$1:$EF$33,CONSOLIDADO!$BM$1,0),"-")</f>
        <v>B</v>
      </c>
    </row>
    <row r="32" spans="2:6">
      <c r="B32" s="86"/>
      <c r="C32" s="9" t="s">
        <v>140</v>
      </c>
      <c r="D32" s="42" t="str">
        <f>IFERROR(VLOOKUP($C$6,CONSOLIDADO!$A$1:$EF$33,CONSOLIDADO!$BN$1,0),"-")</f>
        <v>A</v>
      </c>
      <c r="E32" s="42" t="str">
        <f>IFERROR(VLOOKUP($C$6,CONSOLIDADO!$A$1:$EF$33,CONSOLIDADO!$BO$1,0),"-")</f>
        <v>A</v>
      </c>
      <c r="F32" s="43" t="str">
        <f>IFERROR(VLOOKUP($C$6,CONSOLIDADO!$A$1:$EF$33,CONSOLIDADO!$BP$1,0),"-")</f>
        <v>A</v>
      </c>
    </row>
    <row r="33" spans="2:6" ht="15.75" thickBot="1">
      <c r="B33" s="87"/>
      <c r="C33" s="11" t="s">
        <v>139</v>
      </c>
      <c r="D33" s="44" t="str">
        <f>IFERROR(VLOOKUP($C$6,CONSOLIDADO!$A$1:$EF$33,CONSOLIDADO!$BQ$1,0),"-")</f>
        <v>A</v>
      </c>
      <c r="E33" s="44" t="str">
        <f>IFERROR(VLOOKUP($C$6,CONSOLIDADO!$A$1:$EF$33,CONSOLIDADO!$BR$1,0),"-")</f>
        <v>A</v>
      </c>
      <c r="F33" s="45" t="str">
        <f>IFERROR(VLOOKUP($C$6,CONSOLIDADO!$A$1:$EF$33,CONSOLIDADO!$BS$1,0),"-")</f>
        <v>A</v>
      </c>
    </row>
    <row r="34" spans="2:6" ht="39">
      <c r="B34" s="85" t="s">
        <v>64</v>
      </c>
      <c r="C34" s="53" t="s">
        <v>136</v>
      </c>
      <c r="D34" s="42" t="str">
        <f>IFERROR(VLOOKUP($C$6,CONSOLIDADO!$A$1:$EF$33,CONSOLIDADO!$BT$1,0),"-")</f>
        <v>A</v>
      </c>
      <c r="E34" s="42" t="str">
        <f>IFERROR(VLOOKUP($C$6,CONSOLIDADO!$A$1:$EF$33,CONSOLIDADO!$BU$1,0),"-")</f>
        <v>A</v>
      </c>
      <c r="F34" s="43" t="str">
        <f>IFERROR(VLOOKUP($C$6,CONSOLIDADO!$A$1:$EF$33,CONSOLIDADO!$BV$1,0),"-")</f>
        <v>A</v>
      </c>
    </row>
    <row r="35" spans="2:6" ht="27" thickBot="1">
      <c r="B35" s="86"/>
      <c r="C35" s="14" t="s">
        <v>138</v>
      </c>
      <c r="D35" s="46" t="str">
        <f>IFERROR(VLOOKUP($C$6,CONSOLIDADO!$A$1:$EF$33,CONSOLIDADO!$BW$1,0),"-")</f>
        <v>A</v>
      </c>
      <c r="E35" s="46" t="str">
        <f>IFERROR(VLOOKUP($C$6,CONSOLIDADO!$A$1:$EF$33,CONSOLIDADO!$BX$1,0),"-")</f>
        <v>A</v>
      </c>
      <c r="F35" s="47" t="str">
        <f>IFERROR(VLOOKUP($C$6,CONSOLIDADO!$A$1:$EF$33,CONSOLIDADO!$BY$1,0),"-")</f>
        <v>A</v>
      </c>
    </row>
    <row r="36" spans="2:6" ht="24.75" customHeight="1" thickBot="1">
      <c r="B36" s="79" t="s">
        <v>104</v>
      </c>
      <c r="C36" s="80" t="s">
        <v>65</v>
      </c>
      <c r="D36" s="81" t="str">
        <f>IFERROR(VLOOKUP($C$6,CONSOLIDADO!$A$1:$EF$33,CONSOLIDADO!$BZ$1,0),"-")</f>
        <v>A</v>
      </c>
      <c r="E36" s="81" t="str">
        <f>IFERROR(VLOOKUP($C$6,CONSOLIDADO!$A$1:$EF$33,CONSOLIDADO!$CA$1,0),"-")</f>
        <v>A</v>
      </c>
      <c r="F36" s="82" t="str">
        <f>IFERROR(VLOOKUP($C$6,CONSOLIDADO!$A$1:$EF$33,CONSOLIDADO!$CB$1,0),"-")</f>
        <v>A</v>
      </c>
    </row>
    <row r="37" spans="2:6" ht="27" thickBot="1">
      <c r="B37" s="70" t="s">
        <v>126</v>
      </c>
      <c r="C37" s="54" t="s">
        <v>66</v>
      </c>
      <c r="D37" s="44" t="str">
        <f>IFERROR(VLOOKUP($C$6,CONSOLIDADO!$A$1:$EF$33,CONSOLIDADO!$CC$1,0),"-")</f>
        <v>A</v>
      </c>
      <c r="E37" s="44" t="str">
        <f>IFERROR(VLOOKUP($C$6,CONSOLIDADO!$A$1:$EF$33,CONSOLIDADO!$CD$1,0),"-")</f>
        <v>A</v>
      </c>
      <c r="F37" s="45" t="str">
        <f>IFERROR(VLOOKUP($C$6,CONSOLIDADO!$A$1:$EF$33,CONSOLIDADO!$CE$1,0),"-")</f>
        <v>A</v>
      </c>
    </row>
    <row r="38" spans="2:6" ht="34.5" thickBot="1">
      <c r="B38" s="51" t="s">
        <v>68</v>
      </c>
      <c r="C38" s="15" t="s">
        <v>67</v>
      </c>
      <c r="D38" s="48" t="str">
        <f>IFERROR(VLOOKUP($C$6,CONSOLIDADO!$A$1:$EF$33,CONSOLIDADO!$CF$1,0),"-")</f>
        <v>A</v>
      </c>
      <c r="E38" s="48" t="str">
        <f>IFERROR(VLOOKUP($C$6,CONSOLIDADO!$A$1:$EF$33,CONSOLIDADO!$CG$1,0),"-")</f>
        <v>A</v>
      </c>
      <c r="F38" s="49" t="str">
        <f>IFERROR(VLOOKUP($C$6,CONSOLIDADO!$A$1:$EF$33,CONSOLIDADO!$CH$1,0),"-")</f>
        <v>A</v>
      </c>
    </row>
    <row r="39" spans="2:6">
      <c r="B39" s="85" t="s">
        <v>71</v>
      </c>
      <c r="C39" s="96" t="s">
        <v>69</v>
      </c>
      <c r="D39" s="96"/>
      <c r="E39" s="99" t="str">
        <f>IFERROR(VLOOKUP($C$6,CONSOLIDADO!$A$1:$EF$33,CONSOLIDADO!$CI$1,0),"-")</f>
        <v>A</v>
      </c>
      <c r="F39" s="100"/>
    </row>
    <row r="40" spans="2:6" ht="15.75" thickBot="1">
      <c r="B40" s="87"/>
      <c r="C40" s="97" t="s">
        <v>70</v>
      </c>
      <c r="D40" s="97"/>
      <c r="E40" s="101" t="str">
        <f>IFERROR(VLOOKUP($C$6,CONSOLIDADO!$A$1:$EF$33,CONSOLIDADO!$CJ$1,0),"-")</f>
        <v>A</v>
      </c>
      <c r="F40" s="102"/>
    </row>
    <row r="41" spans="2:6" ht="15.75" thickBot="1"/>
    <row r="42" spans="2:6" ht="31.5" customHeight="1">
      <c r="B42" s="104" t="s">
        <v>48</v>
      </c>
      <c r="C42" s="105"/>
      <c r="D42" s="16" t="s">
        <v>72</v>
      </c>
      <c r="E42" s="17" t="s">
        <v>73</v>
      </c>
      <c r="F42" s="18" t="s">
        <v>74</v>
      </c>
    </row>
    <row r="43" spans="2:6" ht="18.75" customHeight="1">
      <c r="B43" s="19">
        <v>1</v>
      </c>
      <c r="C43" s="9" t="s">
        <v>80</v>
      </c>
      <c r="D43" s="34" t="str">
        <f>IFERROR(VLOOKUP($C$6,CONSOLIDADO!$A$1:$EF$33,CONSOLIDADO!$CK$1,0),"-")</f>
        <v>x</v>
      </c>
      <c r="E43" s="34">
        <f>IFERROR(VLOOKUP($C$6,CONSOLIDADO!$A$1:$EF$33,CONSOLIDADO!$CL$1,0),"-")</f>
        <v>0</v>
      </c>
      <c r="F43" s="38">
        <f>IFERROR(VLOOKUP($C$6,CONSOLIDADO!$A$1:$EF$33,CONSOLIDADO!$CM$1,0),"-")</f>
        <v>0</v>
      </c>
    </row>
    <row r="44" spans="2:6" ht="18.75" customHeight="1">
      <c r="B44" s="19">
        <v>2</v>
      </c>
      <c r="C44" s="9" t="s">
        <v>81</v>
      </c>
      <c r="D44" s="34" t="str">
        <f>IFERROR(VLOOKUP($C$6,CONSOLIDADO!$A$1:$EF$33,CONSOLIDADO!$CN$1,0),"-")</f>
        <v>x</v>
      </c>
      <c r="E44" s="34">
        <f>IFERROR(VLOOKUP($C$6,CONSOLIDADO!$A$1:$EF$33,CONSOLIDADO!$CO$1,0),"-")</f>
        <v>0</v>
      </c>
      <c r="F44" s="38">
        <f>IFERROR(VLOOKUP($C$6,CONSOLIDADO!$A$1:$EF$33,CONSOLIDADO!$CP$1,0),"-")</f>
        <v>0</v>
      </c>
    </row>
    <row r="45" spans="2:6" ht="18.75" customHeight="1">
      <c r="B45" s="19">
        <v>3</v>
      </c>
      <c r="C45" s="9" t="s">
        <v>82</v>
      </c>
      <c r="D45" s="34" t="str">
        <f>IFERROR(VLOOKUP($C$6,CONSOLIDADO!$A$1:$EF$33,CONSOLIDADO!$CQ$1,0),"-")</f>
        <v>x</v>
      </c>
      <c r="E45" s="34">
        <f>IFERROR(VLOOKUP($C$6,CONSOLIDADO!$A$1:$EF$33,CONSOLIDADO!$CR$1,0),"-")</f>
        <v>0</v>
      </c>
      <c r="F45" s="38">
        <f>IFERROR(VLOOKUP($C$6,CONSOLIDADO!$A$1:$EF$33,CONSOLIDADO!$CS$1,0),"-")</f>
        <v>0</v>
      </c>
    </row>
    <row r="46" spans="2:6" ht="27" customHeight="1">
      <c r="B46" s="19">
        <v>4</v>
      </c>
      <c r="C46" s="13" t="s">
        <v>83</v>
      </c>
      <c r="D46" s="34" t="str">
        <f>IFERROR(VLOOKUP($C$6,CONSOLIDADO!$A$1:$EF$33,CONSOLIDADO!$CT$1,0),"-")</f>
        <v>x</v>
      </c>
      <c r="E46" s="34">
        <f>IFERROR(VLOOKUP($C$6,CONSOLIDADO!$A$1:$EF$33,CONSOLIDADO!$CU$1,0),"-")</f>
        <v>0</v>
      </c>
      <c r="F46" s="38">
        <f>IFERROR(VLOOKUP($C$6,CONSOLIDADO!$A$1:$EF$33,CONSOLIDADO!$CV$1,0),"-")</f>
        <v>0</v>
      </c>
    </row>
    <row r="47" spans="2:6" ht="25.5" customHeight="1">
      <c r="B47" s="19">
        <v>5</v>
      </c>
      <c r="C47" s="13" t="s">
        <v>131</v>
      </c>
      <c r="D47" s="34" t="str">
        <f>IFERROR(VLOOKUP($C$6,CONSOLIDADO!$A$1:$EF$33,CONSOLIDADO!$CW$1,0),"-")</f>
        <v>x</v>
      </c>
      <c r="E47" s="34">
        <f>IFERROR(VLOOKUP($C$6,CONSOLIDADO!$A$1:$EF$33,CONSOLIDADO!$CX$1,0),"-")</f>
        <v>0</v>
      </c>
      <c r="F47" s="38">
        <f>IFERROR(VLOOKUP($C$6,CONSOLIDADO!$A$1:$EF$33,CONSOLIDADO!$CY$1,0),"-")</f>
        <v>0</v>
      </c>
    </row>
    <row r="48" spans="2:6" ht="18.75" customHeight="1">
      <c r="B48" s="19">
        <v>6</v>
      </c>
      <c r="C48" s="9" t="s">
        <v>132</v>
      </c>
      <c r="D48" s="34" t="str">
        <f>IFERROR(VLOOKUP($C$6,CONSOLIDADO!$A$1:$EF$33,CONSOLIDADO!$CZ$1,0),"-")</f>
        <v>x</v>
      </c>
      <c r="E48" s="34">
        <f>IFERROR(VLOOKUP($C$6,CONSOLIDADO!$A$1:$EF$33,CONSOLIDADO!$DA$1,0),"-")</f>
        <v>0</v>
      </c>
      <c r="F48" s="38">
        <f>IFERROR(VLOOKUP($C$6,CONSOLIDADO!$A$1:$EF$33,CONSOLIDADO!$DB$1,0),"-")</f>
        <v>0</v>
      </c>
    </row>
    <row r="49" spans="2:6" ht="18.75" customHeight="1">
      <c r="B49" s="19">
        <v>7</v>
      </c>
      <c r="C49" s="9" t="s">
        <v>133</v>
      </c>
      <c r="D49" s="34" t="str">
        <f>IFERROR(VLOOKUP($C$6,CONSOLIDADO!$A$1:$EF$33,CONSOLIDADO!$DC$1,0),"-")</f>
        <v>x</v>
      </c>
      <c r="E49" s="34">
        <f>IFERROR(VLOOKUP($C$6,CONSOLIDADO!$A$1:$EF$33,CONSOLIDADO!$DD$1,0),"-")</f>
        <v>0</v>
      </c>
      <c r="F49" s="38">
        <f>IFERROR(VLOOKUP($C$6,CONSOLIDADO!$A$1:$EF$33,CONSOLIDADO!$DE$1,0),"-")</f>
        <v>0</v>
      </c>
    </row>
    <row r="50" spans="2:6" ht="32.25" customHeight="1">
      <c r="B50" s="19">
        <v>8</v>
      </c>
      <c r="C50" s="20" t="s">
        <v>137</v>
      </c>
      <c r="D50" s="34" t="str">
        <f>IFERROR(VLOOKUP($C$6,CONSOLIDADO!$A$1:$EF$33,CONSOLIDADO!$DF$1,0),"-")</f>
        <v>x</v>
      </c>
      <c r="E50" s="34">
        <f>IFERROR(VLOOKUP($C$6,CONSOLIDADO!$A$1:$EF$33,CONSOLIDADO!$DG$1,0),"-")</f>
        <v>0</v>
      </c>
      <c r="F50" s="38">
        <f>IFERROR(VLOOKUP($C$6,CONSOLIDADO!$A$1:$EF$33,CONSOLIDADO!$DH$1,0),"-")</f>
        <v>0</v>
      </c>
    </row>
    <row r="51" spans="2:6" ht="18.75" customHeight="1">
      <c r="B51" s="21">
        <v>9</v>
      </c>
      <c r="C51" s="22" t="s">
        <v>134</v>
      </c>
      <c r="D51" s="34" t="str">
        <f>IFERROR(VLOOKUP($C$6,CONSOLIDADO!$A$1:$EF$33,CONSOLIDADO!$DI$1,0),"-")</f>
        <v>x</v>
      </c>
      <c r="E51" s="34">
        <f>IFERROR(VLOOKUP($C$6,CONSOLIDADO!$A$1:$EF$33,CONSOLIDADO!$DJ$1,0),"-")</f>
        <v>0</v>
      </c>
      <c r="F51" s="38">
        <f>IFERROR(VLOOKUP($C$6,CONSOLIDADO!$A$1:$EF$33,CONSOLIDADO!$DK$1,0),"-")</f>
        <v>0</v>
      </c>
    </row>
    <row r="52" spans="2:6" ht="18.75" customHeight="1" thickBot="1">
      <c r="B52" s="108" t="s">
        <v>75</v>
      </c>
      <c r="C52" s="109"/>
      <c r="D52" s="41" t="str">
        <f>IFERROR(VLOOKUP($C$6,CONSOLIDADO!$A$1:$EF$33,CONSOLIDADO!$DL$1,0),"-")</f>
        <v>A</v>
      </c>
      <c r="E52" s="106"/>
      <c r="F52" s="107"/>
    </row>
    <row r="53" spans="2:6" ht="18.75" customHeight="1">
      <c r="B53" s="23"/>
      <c r="C53" s="23"/>
    </row>
    <row r="54" spans="2:6">
      <c r="B54" s="23"/>
      <c r="C54" s="23"/>
    </row>
    <row r="56" spans="2:6">
      <c r="E56" s="24" t="s">
        <v>135</v>
      </c>
      <c r="F56" s="38">
        <f>IFERROR(VLOOKUP($C$6,CONSOLIDADO!$A$1:$EF$33,CONSOLIDADO!$DZ$1,0),"-")</f>
        <v>47</v>
      </c>
    </row>
    <row r="57" spans="2:6">
      <c r="E57" s="25" t="s">
        <v>90</v>
      </c>
      <c r="F57" s="52">
        <f>IFERROR(VLOOKUP($C$6,CONSOLIDADO!$A$1:$EF$33,CONSOLIDADO!$EA$1,0),"-")</f>
        <v>0.97872340425531912</v>
      </c>
    </row>
    <row r="58" spans="2:6">
      <c r="E58" s="25" t="s">
        <v>89</v>
      </c>
      <c r="F58" s="38">
        <f>IFERROR(VLOOKUP($C$6,CONSOLIDADO!$A$1:$EF$33,CONSOLIDADO!$EB$1,0),"-")</f>
        <v>44</v>
      </c>
    </row>
    <row r="59" spans="2:6">
      <c r="E59" s="25" t="s">
        <v>91</v>
      </c>
      <c r="F59" s="38">
        <f>IFERROR(VLOOKUP($C$6,CONSOLIDADO!$A$1:$EF$33,CONSOLIDADO!$EC$1,0),"-")</f>
        <v>1</v>
      </c>
    </row>
    <row r="60" spans="2:6">
      <c r="E60" s="25" t="s">
        <v>92</v>
      </c>
      <c r="F60" s="38">
        <f>IFERROR(VLOOKUP($C$6,CONSOLIDADO!$A$1:$EF$33,CONSOLIDADO!$ED$1,0),"-")</f>
        <v>1</v>
      </c>
    </row>
    <row r="61" spans="2:6">
      <c r="E61" s="25" t="s">
        <v>93</v>
      </c>
      <c r="F61" s="38">
        <f>IFERROR(VLOOKUP($C$6,CONSOLIDADO!$A$1:$EF$33,CONSOLIDADO!$EE$1,0),"-")</f>
        <v>1</v>
      </c>
    </row>
    <row r="65" spans="2:6" ht="31.5" customHeight="1">
      <c r="B65" s="110" t="s">
        <v>78</v>
      </c>
      <c r="C65" s="110"/>
      <c r="D65" s="26" t="s">
        <v>76</v>
      </c>
      <c r="E65" s="26" t="s">
        <v>49</v>
      </c>
      <c r="F65" s="26" t="s">
        <v>77</v>
      </c>
    </row>
    <row r="66" spans="2:6" ht="30" customHeight="1">
      <c r="B66" s="8">
        <v>1</v>
      </c>
      <c r="C66" s="13" t="s">
        <v>84</v>
      </c>
      <c r="D66" s="34" t="str">
        <f>IFERROR(VLOOKUP($C$6,CONSOLIDADO!$A$1:$EF$33,CONSOLIDADO!$DM$1,0),"-")</f>
        <v>x</v>
      </c>
      <c r="E66" s="34">
        <f>IFERROR(VLOOKUP($C$6,CONSOLIDADO!$A$1:$EF$33,CONSOLIDADO!$DN$1,0),"-")</f>
        <v>0</v>
      </c>
      <c r="F66" s="34">
        <f>IFERROR(VLOOKUP($C$6,CONSOLIDADO!$A$1:$EF$33,CONSOLIDADO!$DO$1,0),"-")</f>
        <v>0</v>
      </c>
    </row>
    <row r="67" spans="2:6" ht="30" customHeight="1">
      <c r="B67" s="8">
        <v>2</v>
      </c>
      <c r="C67" s="27" t="s">
        <v>85</v>
      </c>
      <c r="D67" s="34" t="str">
        <f>IFERROR(VLOOKUP($C$6,CONSOLIDADO!$A$1:$EF$33,CONSOLIDADO!$DP$1,0),"-")</f>
        <v>x</v>
      </c>
      <c r="E67" s="34">
        <f>IFERROR(VLOOKUP($C$6,CONSOLIDADO!$A$1:$EF$33,CONSOLIDADO!$DQ$1,0),"-")</f>
        <v>0</v>
      </c>
      <c r="F67" s="34">
        <f>IFERROR(VLOOKUP($C$6,CONSOLIDADO!$A$1:$EF$33,CONSOLIDADO!$DR$1,0),"-")</f>
        <v>0</v>
      </c>
    </row>
    <row r="68" spans="2:6" s="28" customFormat="1" ht="39">
      <c r="B68" s="29">
        <v>3</v>
      </c>
      <c r="C68" s="13" t="s">
        <v>86</v>
      </c>
      <c r="D68" s="34" t="str">
        <f>IFERROR(VLOOKUP($C$6,CONSOLIDADO!$A$1:$EF$33,CONSOLIDADO!$DS$1,0),"-")</f>
        <v>x</v>
      </c>
      <c r="E68" s="34">
        <f>IFERROR(VLOOKUP($C$6,CONSOLIDADO!$A$1:$EF$33,CONSOLIDADO!$DT$1,0),"-")</f>
        <v>0</v>
      </c>
      <c r="F68" s="34">
        <f>IFERROR(VLOOKUP($C$6,CONSOLIDADO!$A$1:$EF$33,CONSOLIDADO!$DU$1,0),"-")</f>
        <v>0</v>
      </c>
    </row>
    <row r="69" spans="2:6" ht="30.75" customHeight="1">
      <c r="B69" s="8">
        <v>4</v>
      </c>
      <c r="C69" s="13" t="s">
        <v>87</v>
      </c>
      <c r="D69" s="34" t="str">
        <f>IFERROR(VLOOKUP($C$6,CONSOLIDADO!$A$1:$EF$33,CONSOLIDADO!$DV$1,0),"-")</f>
        <v>x</v>
      </c>
      <c r="E69" s="34">
        <f>IFERROR(VLOOKUP($C$6,CONSOLIDADO!$A$1:$EF$33,CONSOLIDADO!$DW$1,0),"-")</f>
        <v>0</v>
      </c>
      <c r="F69" s="34">
        <f>IFERROR(VLOOKUP($C$6,CONSOLIDADO!$A$1:$EF$33,CONSOLIDADO!$DX$1,0),"-")</f>
        <v>0</v>
      </c>
    </row>
    <row r="70" spans="2:6">
      <c r="C70" s="30" t="s">
        <v>79</v>
      </c>
      <c r="D70" s="111" t="str">
        <f>IFERROR(VLOOKUP($C$6,CONSOLIDADO!$A$1:$EF$33,CONSOLIDADO!$DY$1,0),"-")</f>
        <v>A</v>
      </c>
      <c r="E70" s="111" t="str">
        <f>IFERROR(VLOOKUP($C$6,CONSOLIDADO!$A$1:$EF$33,CONSOLIDADO!#REF!,0),"-")</f>
        <v>-</v>
      </c>
      <c r="F70" s="31"/>
    </row>
    <row r="72" spans="2:6">
      <c r="B72" s="113" t="s">
        <v>88</v>
      </c>
      <c r="C72" s="113"/>
      <c r="D72" s="113"/>
      <c r="E72" s="113"/>
      <c r="F72" s="113"/>
    </row>
    <row r="73" spans="2:6">
      <c r="B73" s="103">
        <v>1</v>
      </c>
      <c r="C73" s="112" t="str">
        <f>IFERROR(VLOOKUP($C$6,CONSOLIDADO!$A$1:$EF$33,CONSOLIDADO!$EF$1,0),"-")</f>
        <v>El estudiante muestra iniciativa para la colaboración en actividades, debe de mantener reforzando lo que avanza en clase y sus tareas.</v>
      </c>
      <c r="D73" s="112"/>
      <c r="E73" s="112"/>
      <c r="F73" s="112"/>
    </row>
    <row r="74" spans="2:6">
      <c r="B74" s="103"/>
      <c r="C74" s="112"/>
      <c r="D74" s="112"/>
      <c r="E74" s="112"/>
      <c r="F74" s="112"/>
    </row>
    <row r="75" spans="2:6">
      <c r="B75" s="103"/>
      <c r="C75" s="112"/>
      <c r="D75" s="112"/>
      <c r="E75" s="112"/>
      <c r="F75" s="112"/>
    </row>
    <row r="76" spans="2:6">
      <c r="B76" s="32"/>
      <c r="C76" s="33"/>
      <c r="D76" s="33"/>
      <c r="E76" s="33"/>
      <c r="F76" s="33"/>
    </row>
    <row r="80" spans="2:6">
      <c r="B80" s="98" t="s">
        <v>96</v>
      </c>
      <c r="C80" s="98"/>
      <c r="D80" s="98"/>
      <c r="E80" s="98"/>
      <c r="F80" s="98"/>
    </row>
    <row r="81" spans="2:6">
      <c r="B81" s="98" t="s">
        <v>95</v>
      </c>
      <c r="C81" s="98"/>
      <c r="D81" s="98"/>
      <c r="E81" s="98"/>
      <c r="F81" s="98"/>
    </row>
  </sheetData>
  <mergeCells count="30">
    <mergeCell ref="B81:F81"/>
    <mergeCell ref="B42:C42"/>
    <mergeCell ref="E52:F52"/>
    <mergeCell ref="B52:C52"/>
    <mergeCell ref="B65:C65"/>
    <mergeCell ref="D70:E70"/>
    <mergeCell ref="C73:F75"/>
    <mergeCell ref="B72:F72"/>
    <mergeCell ref="B34:B35"/>
    <mergeCell ref="B39:B40"/>
    <mergeCell ref="C39:D39"/>
    <mergeCell ref="C40:D40"/>
    <mergeCell ref="B80:F80"/>
    <mergeCell ref="E39:F39"/>
    <mergeCell ref="E40:F40"/>
    <mergeCell ref="B73:B75"/>
    <mergeCell ref="A2:F2"/>
    <mergeCell ref="A3:F3"/>
    <mergeCell ref="D9:F9"/>
    <mergeCell ref="B9:B10"/>
    <mergeCell ref="C9:C10"/>
    <mergeCell ref="D5:E5"/>
    <mergeCell ref="B18:B20"/>
    <mergeCell ref="B31:B33"/>
    <mergeCell ref="B11:B14"/>
    <mergeCell ref="B15:B17"/>
    <mergeCell ref="B21:B22"/>
    <mergeCell ref="B25:B27"/>
    <mergeCell ref="B23:B24"/>
    <mergeCell ref="B28:B30"/>
  </mergeCells>
  <pageMargins left="0.7" right="0.7" top="0.75" bottom="0.75" header="0.3" footer="0.3"/>
  <pageSetup paperSize="9" scale="92" orientation="portrait" r:id="rId1"/>
  <rowBreaks count="1" manualBreakCount="1">
    <brk id="40" max="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CONSOLIDADO!$A$5:$A$33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K1000"/>
  <sheetViews>
    <sheetView view="pageBreakPreview" zoomScale="85" zoomScaleNormal="80" zoomScaleSheetLayoutView="85" workbookViewId="0">
      <pane xSplit="2" ySplit="3" topLeftCell="BK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baseColWidth="10" defaultColWidth="14.42578125" defaultRowHeight="15"/>
  <cols>
    <col min="1" max="1" width="4.7109375" customWidth="1"/>
    <col min="2" max="2" width="40.7109375" customWidth="1"/>
    <col min="3" max="23" width="4.5703125" customWidth="1"/>
    <col min="24" max="32" width="5.140625" customWidth="1"/>
    <col min="33" max="86" width="4.5703125" customWidth="1"/>
    <col min="87" max="87" width="5.85546875" customWidth="1"/>
    <col min="88" max="130" width="4.5703125" customWidth="1"/>
    <col min="131" max="131" width="6.42578125" customWidth="1"/>
    <col min="132" max="135" width="4.5703125" customWidth="1"/>
    <col min="136" max="136" width="97.7109375" customWidth="1"/>
    <col min="137" max="138" width="5.140625" customWidth="1"/>
    <col min="139" max="139" width="11.42578125" hidden="1" customWidth="1"/>
    <col min="140" max="141" width="10.7109375" hidden="1" customWidth="1"/>
  </cols>
  <sheetData>
    <row r="1" spans="1:141" ht="15.75" thickBot="1">
      <c r="A1" s="55"/>
      <c r="B1" s="55">
        <v>2</v>
      </c>
      <c r="C1" s="55">
        <v>3</v>
      </c>
      <c r="D1" s="55">
        <v>4</v>
      </c>
      <c r="E1" s="55">
        <v>5</v>
      </c>
      <c r="F1" s="55">
        <v>6</v>
      </c>
      <c r="G1" s="55">
        <v>7</v>
      </c>
      <c r="H1" s="55">
        <v>8</v>
      </c>
      <c r="I1" s="55">
        <v>9</v>
      </c>
      <c r="J1" s="55">
        <v>10</v>
      </c>
      <c r="K1" s="55">
        <v>11</v>
      </c>
      <c r="L1" s="55">
        <v>12</v>
      </c>
      <c r="M1" s="55">
        <v>13</v>
      </c>
      <c r="N1" s="55">
        <v>14</v>
      </c>
      <c r="O1" s="55">
        <v>15</v>
      </c>
      <c r="P1" s="55">
        <v>16</v>
      </c>
      <c r="Q1" s="55">
        <v>17</v>
      </c>
      <c r="R1" s="55">
        <v>18</v>
      </c>
      <c r="S1" s="55">
        <v>19</v>
      </c>
      <c r="T1" s="55">
        <v>20</v>
      </c>
      <c r="U1" s="55">
        <v>21</v>
      </c>
      <c r="V1" s="55">
        <v>22</v>
      </c>
      <c r="W1" s="55">
        <v>23</v>
      </c>
      <c r="X1" s="55">
        <v>24</v>
      </c>
      <c r="Y1" s="55">
        <v>25</v>
      </c>
      <c r="Z1" s="55">
        <v>26</v>
      </c>
      <c r="AA1" s="55">
        <v>27</v>
      </c>
      <c r="AB1" s="55">
        <v>28</v>
      </c>
      <c r="AC1" s="55">
        <v>29</v>
      </c>
      <c r="AD1" s="55">
        <v>30</v>
      </c>
      <c r="AE1" s="55">
        <v>31</v>
      </c>
      <c r="AF1" s="55">
        <v>32</v>
      </c>
      <c r="AG1" s="55">
        <v>33</v>
      </c>
      <c r="AH1" s="55">
        <v>34</v>
      </c>
      <c r="AI1" s="55">
        <v>35</v>
      </c>
      <c r="AJ1" s="55">
        <v>36</v>
      </c>
      <c r="AK1" s="55">
        <v>37</v>
      </c>
      <c r="AL1" s="55">
        <v>38</v>
      </c>
      <c r="AM1" s="55">
        <v>39</v>
      </c>
      <c r="AN1" s="55">
        <v>40</v>
      </c>
      <c r="AO1" s="55">
        <v>41</v>
      </c>
      <c r="AP1" s="55">
        <v>42</v>
      </c>
      <c r="AQ1" s="55">
        <v>43</v>
      </c>
      <c r="AR1" s="55">
        <v>44</v>
      </c>
      <c r="AS1" s="55">
        <v>45</v>
      </c>
      <c r="AT1" s="55">
        <v>46</v>
      </c>
      <c r="AU1" s="55">
        <v>47</v>
      </c>
      <c r="AV1" s="55">
        <v>48</v>
      </c>
      <c r="AW1" s="55">
        <v>49</v>
      </c>
      <c r="AX1" s="55">
        <v>50</v>
      </c>
      <c r="AY1" s="55">
        <v>51</v>
      </c>
      <c r="AZ1" s="55">
        <v>52</v>
      </c>
      <c r="BA1" s="55">
        <v>53</v>
      </c>
      <c r="BB1" s="55">
        <v>54</v>
      </c>
      <c r="BC1" s="55">
        <v>55</v>
      </c>
      <c r="BD1" s="55">
        <v>56</v>
      </c>
      <c r="BE1" s="55">
        <v>57</v>
      </c>
      <c r="BF1" s="55">
        <v>58</v>
      </c>
      <c r="BG1" s="55">
        <v>59</v>
      </c>
      <c r="BH1" s="55">
        <v>60</v>
      </c>
      <c r="BI1" s="55">
        <v>61</v>
      </c>
      <c r="BJ1" s="55">
        <v>62</v>
      </c>
      <c r="BK1" s="55">
        <v>63</v>
      </c>
      <c r="BL1" s="55">
        <v>64</v>
      </c>
      <c r="BM1" s="55">
        <v>65</v>
      </c>
      <c r="BN1" s="55">
        <v>66</v>
      </c>
      <c r="BO1" s="55">
        <v>67</v>
      </c>
      <c r="BP1" s="55">
        <v>68</v>
      </c>
      <c r="BQ1" s="55">
        <v>69</v>
      </c>
      <c r="BR1" s="55">
        <v>70</v>
      </c>
      <c r="BS1" s="55">
        <v>71</v>
      </c>
      <c r="BT1" s="55">
        <v>72</v>
      </c>
      <c r="BU1" s="55">
        <v>73</v>
      </c>
      <c r="BV1" s="55">
        <v>74</v>
      </c>
      <c r="BW1" s="55">
        <v>75</v>
      </c>
      <c r="BX1" s="55">
        <v>76</v>
      </c>
      <c r="BY1" s="55">
        <v>77</v>
      </c>
      <c r="BZ1" s="55">
        <v>78</v>
      </c>
      <c r="CA1" s="55">
        <v>79</v>
      </c>
      <c r="CB1" s="55">
        <v>80</v>
      </c>
      <c r="CC1" s="55">
        <v>81</v>
      </c>
      <c r="CD1" s="55">
        <v>82</v>
      </c>
      <c r="CE1" s="55">
        <v>83</v>
      </c>
      <c r="CF1" s="55">
        <v>84</v>
      </c>
      <c r="CG1" s="55">
        <v>85</v>
      </c>
      <c r="CH1" s="55">
        <v>86</v>
      </c>
      <c r="CI1" s="55">
        <v>87</v>
      </c>
      <c r="CJ1" s="55">
        <v>88</v>
      </c>
      <c r="CK1" s="55">
        <v>89</v>
      </c>
      <c r="CL1" s="55">
        <v>90</v>
      </c>
      <c r="CM1" s="55">
        <v>91</v>
      </c>
      <c r="CN1" s="55">
        <v>92</v>
      </c>
      <c r="CO1" s="55">
        <v>93</v>
      </c>
      <c r="CP1" s="55">
        <v>94</v>
      </c>
      <c r="CQ1" s="55">
        <v>95</v>
      </c>
      <c r="CR1" s="55">
        <v>96</v>
      </c>
      <c r="CS1" s="55">
        <v>97</v>
      </c>
      <c r="CT1" s="55">
        <v>98</v>
      </c>
      <c r="CU1" s="55">
        <v>99</v>
      </c>
      <c r="CV1" s="55">
        <v>100</v>
      </c>
      <c r="CW1" s="55">
        <v>101</v>
      </c>
      <c r="CX1" s="55">
        <v>102</v>
      </c>
      <c r="CY1" s="55">
        <v>103</v>
      </c>
      <c r="CZ1" s="55">
        <v>104</v>
      </c>
      <c r="DA1" s="55">
        <v>105</v>
      </c>
      <c r="DB1" s="55">
        <v>106</v>
      </c>
      <c r="DC1" s="55">
        <v>107</v>
      </c>
      <c r="DD1" s="55">
        <v>108</v>
      </c>
      <c r="DE1" s="55">
        <v>109</v>
      </c>
      <c r="DF1" s="55">
        <v>110</v>
      </c>
      <c r="DG1" s="55">
        <v>111</v>
      </c>
      <c r="DH1" s="55">
        <v>112</v>
      </c>
      <c r="DI1" s="55">
        <v>113</v>
      </c>
      <c r="DJ1" s="55">
        <v>114</v>
      </c>
      <c r="DK1" s="55">
        <v>115</v>
      </c>
      <c r="DL1" s="55">
        <v>116</v>
      </c>
      <c r="DM1" s="55">
        <v>117</v>
      </c>
      <c r="DN1" s="55">
        <v>118</v>
      </c>
      <c r="DO1" s="55">
        <v>119</v>
      </c>
      <c r="DP1" s="55">
        <v>120</v>
      </c>
      <c r="DQ1" s="55">
        <v>121</v>
      </c>
      <c r="DR1" s="55">
        <v>122</v>
      </c>
      <c r="DS1" s="55">
        <v>123</v>
      </c>
      <c r="DT1" s="55">
        <v>124</v>
      </c>
      <c r="DU1" s="55">
        <v>125</v>
      </c>
      <c r="DV1" s="55">
        <v>126</v>
      </c>
      <c r="DW1" s="55">
        <v>127</v>
      </c>
      <c r="DX1" s="55">
        <v>128</v>
      </c>
      <c r="DY1" s="55">
        <v>129</v>
      </c>
      <c r="DZ1" s="55">
        <v>130</v>
      </c>
      <c r="EA1" s="55">
        <v>131</v>
      </c>
      <c r="EB1" s="55">
        <v>132</v>
      </c>
      <c r="EC1" s="55">
        <v>133</v>
      </c>
      <c r="ED1" s="55">
        <v>134</v>
      </c>
      <c r="EE1" s="55">
        <v>135</v>
      </c>
      <c r="EF1" s="55">
        <v>136</v>
      </c>
    </row>
    <row r="2" spans="1:141">
      <c r="C2" s="114" t="s">
        <v>94</v>
      </c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  <c r="O2" s="114" t="s">
        <v>99</v>
      </c>
      <c r="P2" s="115"/>
      <c r="Q2" s="115"/>
      <c r="R2" s="115"/>
      <c r="S2" s="115"/>
      <c r="T2" s="115"/>
      <c r="U2" s="115"/>
      <c r="V2" s="115"/>
      <c r="W2" s="116"/>
      <c r="X2" s="114" t="s">
        <v>40</v>
      </c>
      <c r="Y2" s="115"/>
      <c r="Z2" s="115"/>
      <c r="AA2" s="115"/>
      <c r="AB2" s="115"/>
      <c r="AC2" s="115"/>
      <c r="AD2" s="115"/>
      <c r="AE2" s="115"/>
      <c r="AF2" s="116"/>
      <c r="AG2" s="114" t="s">
        <v>100</v>
      </c>
      <c r="AH2" s="115"/>
      <c r="AI2" s="115"/>
      <c r="AJ2" s="115"/>
      <c r="AK2" s="115"/>
      <c r="AL2" s="116"/>
      <c r="AM2" s="114" t="s">
        <v>42</v>
      </c>
      <c r="AN2" s="115"/>
      <c r="AO2" s="115"/>
      <c r="AP2" s="115"/>
      <c r="AQ2" s="115"/>
      <c r="AR2" s="116"/>
      <c r="AS2" s="114" t="s">
        <v>41</v>
      </c>
      <c r="AT2" s="115"/>
      <c r="AU2" s="115"/>
      <c r="AV2" s="115"/>
      <c r="AW2" s="115"/>
      <c r="AX2" s="115"/>
      <c r="AY2" s="115"/>
      <c r="AZ2" s="115"/>
      <c r="BA2" s="116"/>
      <c r="BB2" s="114" t="s">
        <v>43</v>
      </c>
      <c r="BC2" s="115"/>
      <c r="BD2" s="115"/>
      <c r="BE2" s="115"/>
      <c r="BF2" s="115"/>
      <c r="BG2" s="115"/>
      <c r="BH2" s="115"/>
      <c r="BI2" s="115"/>
      <c r="BJ2" s="116"/>
      <c r="BK2" s="114" t="s">
        <v>103</v>
      </c>
      <c r="BL2" s="115"/>
      <c r="BM2" s="115"/>
      <c r="BN2" s="115"/>
      <c r="BO2" s="115"/>
      <c r="BP2" s="115"/>
      <c r="BQ2" s="115"/>
      <c r="BR2" s="115"/>
      <c r="BS2" s="116"/>
      <c r="BT2" s="114" t="s">
        <v>44</v>
      </c>
      <c r="BU2" s="115"/>
      <c r="BV2" s="115"/>
      <c r="BW2" s="115"/>
      <c r="BX2" s="115"/>
      <c r="BY2" s="116"/>
      <c r="BZ2" s="114" t="s">
        <v>105</v>
      </c>
      <c r="CA2" s="115"/>
      <c r="CB2" s="116"/>
      <c r="CC2" s="114" t="s">
        <v>45</v>
      </c>
      <c r="CD2" s="115"/>
      <c r="CE2" s="116"/>
      <c r="CF2" s="114" t="s">
        <v>46</v>
      </c>
      <c r="CG2" s="115"/>
      <c r="CH2" s="116"/>
      <c r="CI2" s="118" t="s">
        <v>47</v>
      </c>
      <c r="CJ2" s="119"/>
      <c r="CK2" s="114" t="s">
        <v>106</v>
      </c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6"/>
      <c r="DM2" s="114" t="s">
        <v>107</v>
      </c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6"/>
      <c r="DZ2" s="114" t="s">
        <v>108</v>
      </c>
      <c r="EA2" s="115"/>
      <c r="EB2" s="115"/>
      <c r="EC2" s="115"/>
      <c r="ED2" s="115"/>
      <c r="EE2" s="116"/>
      <c r="EF2" s="72" t="s">
        <v>120</v>
      </c>
      <c r="EG2" s="117" t="s">
        <v>121</v>
      </c>
      <c r="EH2" s="116"/>
    </row>
    <row r="3" spans="1:141" ht="15.75" thickBot="1">
      <c r="A3" s="73" t="s">
        <v>10</v>
      </c>
      <c r="B3" s="74" t="s">
        <v>11</v>
      </c>
      <c r="C3" s="114" t="s">
        <v>109</v>
      </c>
      <c r="D3" s="115"/>
      <c r="E3" s="116"/>
      <c r="F3" s="114" t="s">
        <v>110</v>
      </c>
      <c r="G3" s="115"/>
      <c r="H3" s="116"/>
      <c r="I3" s="114" t="s">
        <v>111</v>
      </c>
      <c r="J3" s="115"/>
      <c r="K3" s="116"/>
      <c r="L3" s="114" t="s">
        <v>112</v>
      </c>
      <c r="M3" s="115"/>
      <c r="N3" s="116"/>
      <c r="O3" s="114" t="s">
        <v>109</v>
      </c>
      <c r="P3" s="115"/>
      <c r="Q3" s="116"/>
      <c r="R3" s="114" t="s">
        <v>110</v>
      </c>
      <c r="S3" s="115"/>
      <c r="T3" s="116"/>
      <c r="U3" s="114" t="s">
        <v>111</v>
      </c>
      <c r="V3" s="115"/>
      <c r="W3" s="116"/>
      <c r="X3" s="114" t="s">
        <v>109</v>
      </c>
      <c r="Y3" s="115"/>
      <c r="Z3" s="116"/>
      <c r="AA3" s="114" t="s">
        <v>110</v>
      </c>
      <c r="AB3" s="115"/>
      <c r="AC3" s="116"/>
      <c r="AD3" s="114" t="s">
        <v>111</v>
      </c>
      <c r="AE3" s="115"/>
      <c r="AF3" s="116"/>
      <c r="AG3" s="114" t="s">
        <v>109</v>
      </c>
      <c r="AH3" s="115"/>
      <c r="AI3" s="116"/>
      <c r="AJ3" s="114" t="s">
        <v>110</v>
      </c>
      <c r="AK3" s="115"/>
      <c r="AL3" s="116"/>
      <c r="AM3" s="114" t="s">
        <v>109</v>
      </c>
      <c r="AN3" s="115"/>
      <c r="AO3" s="116"/>
      <c r="AP3" s="114" t="s">
        <v>110</v>
      </c>
      <c r="AQ3" s="115"/>
      <c r="AR3" s="116"/>
      <c r="AS3" s="114" t="s">
        <v>109</v>
      </c>
      <c r="AT3" s="115"/>
      <c r="AU3" s="116"/>
      <c r="AV3" s="114" t="s">
        <v>110</v>
      </c>
      <c r="AW3" s="115"/>
      <c r="AX3" s="116"/>
      <c r="AY3" s="114" t="s">
        <v>111</v>
      </c>
      <c r="AZ3" s="115"/>
      <c r="BA3" s="116"/>
      <c r="BB3" s="114" t="s">
        <v>109</v>
      </c>
      <c r="BC3" s="115"/>
      <c r="BD3" s="116"/>
      <c r="BE3" s="114" t="s">
        <v>110</v>
      </c>
      <c r="BF3" s="115"/>
      <c r="BG3" s="116"/>
      <c r="BH3" s="114" t="s">
        <v>111</v>
      </c>
      <c r="BI3" s="115"/>
      <c r="BJ3" s="116"/>
      <c r="BK3" s="114" t="s">
        <v>109</v>
      </c>
      <c r="BL3" s="115"/>
      <c r="BM3" s="116"/>
      <c r="BN3" s="114" t="s">
        <v>110</v>
      </c>
      <c r="BO3" s="115"/>
      <c r="BP3" s="116"/>
      <c r="BQ3" s="114" t="s">
        <v>111</v>
      </c>
      <c r="BR3" s="115"/>
      <c r="BS3" s="116"/>
      <c r="BT3" s="114" t="s">
        <v>109</v>
      </c>
      <c r="BU3" s="115"/>
      <c r="BV3" s="116"/>
      <c r="BW3" s="114" t="s">
        <v>110</v>
      </c>
      <c r="BX3" s="115"/>
      <c r="BY3" s="116"/>
      <c r="BZ3" s="114" t="s">
        <v>109</v>
      </c>
      <c r="CA3" s="115"/>
      <c r="CB3" s="116"/>
      <c r="CC3" s="114" t="s">
        <v>109</v>
      </c>
      <c r="CD3" s="115"/>
      <c r="CE3" s="116"/>
      <c r="CF3" s="114" t="s">
        <v>109</v>
      </c>
      <c r="CG3" s="115"/>
      <c r="CH3" s="116"/>
      <c r="CI3" s="120"/>
      <c r="CJ3" s="121"/>
      <c r="CK3" s="114">
        <v>1</v>
      </c>
      <c r="CL3" s="115"/>
      <c r="CM3" s="116"/>
      <c r="CN3" s="124">
        <v>2</v>
      </c>
      <c r="CO3" s="115"/>
      <c r="CP3" s="116"/>
      <c r="CQ3" s="114">
        <v>3</v>
      </c>
      <c r="CR3" s="115"/>
      <c r="CS3" s="116"/>
      <c r="CT3" s="124">
        <v>4</v>
      </c>
      <c r="CU3" s="115"/>
      <c r="CV3" s="116"/>
      <c r="CW3" s="124">
        <v>5</v>
      </c>
      <c r="CX3" s="115"/>
      <c r="CY3" s="116"/>
      <c r="CZ3" s="114">
        <v>6</v>
      </c>
      <c r="DA3" s="115"/>
      <c r="DB3" s="116"/>
      <c r="DC3" s="124">
        <v>7</v>
      </c>
      <c r="DD3" s="115"/>
      <c r="DE3" s="116"/>
      <c r="DF3" s="114">
        <v>8</v>
      </c>
      <c r="DG3" s="115"/>
      <c r="DH3" s="116"/>
      <c r="DI3" s="114">
        <v>9</v>
      </c>
      <c r="DJ3" s="115"/>
      <c r="DK3" s="116"/>
      <c r="DL3" s="126" t="s">
        <v>113</v>
      </c>
      <c r="DM3" s="114">
        <v>1</v>
      </c>
      <c r="DN3" s="115"/>
      <c r="DO3" s="116"/>
      <c r="DP3" s="124">
        <v>2</v>
      </c>
      <c r="DQ3" s="115"/>
      <c r="DR3" s="116"/>
      <c r="DS3" s="114">
        <v>3</v>
      </c>
      <c r="DT3" s="115"/>
      <c r="DU3" s="116"/>
      <c r="DV3" s="124">
        <v>4</v>
      </c>
      <c r="DW3" s="115"/>
      <c r="DX3" s="116"/>
      <c r="DY3" s="75"/>
      <c r="DZ3" s="122" t="s">
        <v>114</v>
      </c>
      <c r="EA3" s="126" t="s">
        <v>115</v>
      </c>
      <c r="EB3" s="122" t="s">
        <v>49</v>
      </c>
      <c r="EC3" s="122" t="s">
        <v>116</v>
      </c>
      <c r="ED3" s="122" t="s">
        <v>117</v>
      </c>
      <c r="EE3" s="122" t="s">
        <v>118</v>
      </c>
      <c r="EF3" s="76"/>
      <c r="EG3" s="125" t="s">
        <v>122</v>
      </c>
      <c r="EH3" s="125" t="s">
        <v>123</v>
      </c>
    </row>
    <row r="4" spans="1:141">
      <c r="A4" s="73"/>
      <c r="B4" s="74"/>
      <c r="C4" s="77">
        <v>1</v>
      </c>
      <c r="D4" s="77">
        <v>2</v>
      </c>
      <c r="E4" s="77" t="s">
        <v>113</v>
      </c>
      <c r="F4" s="77">
        <v>1</v>
      </c>
      <c r="G4" s="77">
        <v>2</v>
      </c>
      <c r="H4" s="77" t="s">
        <v>113</v>
      </c>
      <c r="I4" s="77">
        <v>1</v>
      </c>
      <c r="J4" s="77">
        <v>2</v>
      </c>
      <c r="K4" s="77" t="s">
        <v>113</v>
      </c>
      <c r="L4" s="77">
        <v>1</v>
      </c>
      <c r="M4" s="77">
        <v>2</v>
      </c>
      <c r="N4" s="77" t="s">
        <v>113</v>
      </c>
      <c r="O4" s="77">
        <v>1</v>
      </c>
      <c r="P4" s="77">
        <v>2</v>
      </c>
      <c r="Q4" s="77" t="s">
        <v>113</v>
      </c>
      <c r="R4" s="77">
        <v>1</v>
      </c>
      <c r="S4" s="77">
        <v>2</v>
      </c>
      <c r="T4" s="77" t="s">
        <v>113</v>
      </c>
      <c r="U4" s="77">
        <v>1</v>
      </c>
      <c r="V4" s="77">
        <v>2</v>
      </c>
      <c r="W4" s="77" t="s">
        <v>113</v>
      </c>
      <c r="X4" s="77">
        <v>1</v>
      </c>
      <c r="Y4" s="77">
        <v>2</v>
      </c>
      <c r="Z4" s="77" t="s">
        <v>113</v>
      </c>
      <c r="AA4" s="77">
        <v>1</v>
      </c>
      <c r="AB4" s="77">
        <v>2</v>
      </c>
      <c r="AC4" s="77" t="s">
        <v>113</v>
      </c>
      <c r="AD4" s="77">
        <v>1</v>
      </c>
      <c r="AE4" s="77">
        <v>2</v>
      </c>
      <c r="AF4" s="77" t="s">
        <v>113</v>
      </c>
      <c r="AG4" s="77">
        <v>1</v>
      </c>
      <c r="AH4" s="77">
        <v>2</v>
      </c>
      <c r="AI4" s="77" t="s">
        <v>113</v>
      </c>
      <c r="AJ4" s="77">
        <v>1</v>
      </c>
      <c r="AK4" s="77">
        <v>2</v>
      </c>
      <c r="AL4" s="77" t="s">
        <v>113</v>
      </c>
      <c r="AM4" s="77">
        <v>1</v>
      </c>
      <c r="AN4" s="77">
        <v>2</v>
      </c>
      <c r="AO4" s="77" t="s">
        <v>113</v>
      </c>
      <c r="AP4" s="77">
        <v>1</v>
      </c>
      <c r="AQ4" s="77">
        <v>2</v>
      </c>
      <c r="AR4" s="77" t="s">
        <v>113</v>
      </c>
      <c r="AS4" s="77">
        <v>1</v>
      </c>
      <c r="AT4" s="77">
        <v>2</v>
      </c>
      <c r="AU4" s="77" t="s">
        <v>113</v>
      </c>
      <c r="AV4" s="77">
        <v>1</v>
      </c>
      <c r="AW4" s="77">
        <v>2</v>
      </c>
      <c r="AX4" s="77" t="s">
        <v>113</v>
      </c>
      <c r="AY4" s="77">
        <v>1</v>
      </c>
      <c r="AZ4" s="77">
        <v>2</v>
      </c>
      <c r="BA4" s="77" t="s">
        <v>113</v>
      </c>
      <c r="BB4" s="77">
        <v>1</v>
      </c>
      <c r="BC4" s="77">
        <v>2</v>
      </c>
      <c r="BD4" s="77" t="s">
        <v>113</v>
      </c>
      <c r="BE4" s="77">
        <v>1</v>
      </c>
      <c r="BF4" s="77">
        <v>2</v>
      </c>
      <c r="BG4" s="77" t="s">
        <v>113</v>
      </c>
      <c r="BH4" s="77">
        <v>1</v>
      </c>
      <c r="BI4" s="77">
        <v>2</v>
      </c>
      <c r="BJ4" s="77" t="s">
        <v>113</v>
      </c>
      <c r="BK4" s="77">
        <v>1</v>
      </c>
      <c r="BL4" s="77">
        <v>2</v>
      </c>
      <c r="BM4" s="77" t="s">
        <v>113</v>
      </c>
      <c r="BN4" s="77">
        <v>1</v>
      </c>
      <c r="BO4" s="77">
        <v>2</v>
      </c>
      <c r="BP4" s="77" t="s">
        <v>113</v>
      </c>
      <c r="BQ4" s="77">
        <v>1</v>
      </c>
      <c r="BR4" s="77">
        <v>2</v>
      </c>
      <c r="BS4" s="77" t="s">
        <v>113</v>
      </c>
      <c r="BT4" s="77">
        <v>1</v>
      </c>
      <c r="BU4" s="77">
        <v>2</v>
      </c>
      <c r="BV4" s="77" t="s">
        <v>113</v>
      </c>
      <c r="BW4" s="77">
        <v>1</v>
      </c>
      <c r="BX4" s="77">
        <v>2</v>
      </c>
      <c r="BY4" s="77" t="s">
        <v>113</v>
      </c>
      <c r="BZ4" s="77">
        <v>1</v>
      </c>
      <c r="CA4" s="77">
        <v>2</v>
      </c>
      <c r="CB4" s="77" t="s">
        <v>113</v>
      </c>
      <c r="CC4" s="77">
        <v>1</v>
      </c>
      <c r="CD4" s="77">
        <v>2</v>
      </c>
      <c r="CE4" s="77" t="s">
        <v>113</v>
      </c>
      <c r="CF4" s="77">
        <v>1</v>
      </c>
      <c r="CG4" s="77">
        <v>2</v>
      </c>
      <c r="CH4" s="77" t="s">
        <v>113</v>
      </c>
      <c r="CI4" s="77">
        <v>1</v>
      </c>
      <c r="CJ4" s="71">
        <v>2</v>
      </c>
      <c r="CK4" s="77" t="s">
        <v>76</v>
      </c>
      <c r="CL4" s="77" t="s">
        <v>49</v>
      </c>
      <c r="CM4" s="77" t="s">
        <v>77</v>
      </c>
      <c r="CN4" s="77" t="s">
        <v>76</v>
      </c>
      <c r="CO4" s="77" t="s">
        <v>49</v>
      </c>
      <c r="CP4" s="77" t="s">
        <v>77</v>
      </c>
      <c r="CQ4" s="77" t="s">
        <v>76</v>
      </c>
      <c r="CR4" s="77" t="s">
        <v>49</v>
      </c>
      <c r="CS4" s="77" t="s">
        <v>77</v>
      </c>
      <c r="CT4" s="77" t="s">
        <v>76</v>
      </c>
      <c r="CU4" s="77" t="s">
        <v>49</v>
      </c>
      <c r="CV4" s="77" t="s">
        <v>77</v>
      </c>
      <c r="CW4" s="77" t="s">
        <v>76</v>
      </c>
      <c r="CX4" s="77" t="s">
        <v>49</v>
      </c>
      <c r="CY4" s="77" t="s">
        <v>77</v>
      </c>
      <c r="CZ4" s="77" t="s">
        <v>76</v>
      </c>
      <c r="DA4" s="77" t="s">
        <v>49</v>
      </c>
      <c r="DB4" s="77" t="s">
        <v>77</v>
      </c>
      <c r="DC4" s="77" t="s">
        <v>76</v>
      </c>
      <c r="DD4" s="77" t="s">
        <v>49</v>
      </c>
      <c r="DE4" s="77" t="s">
        <v>77</v>
      </c>
      <c r="DF4" s="77" t="s">
        <v>76</v>
      </c>
      <c r="DG4" s="77" t="s">
        <v>49</v>
      </c>
      <c r="DH4" s="77" t="s">
        <v>77</v>
      </c>
      <c r="DI4" s="77" t="s">
        <v>76</v>
      </c>
      <c r="DJ4" s="77" t="s">
        <v>49</v>
      </c>
      <c r="DK4" s="77" t="s">
        <v>77</v>
      </c>
      <c r="DL4" s="123"/>
      <c r="DM4" s="77" t="s">
        <v>76</v>
      </c>
      <c r="DN4" s="77" t="s">
        <v>49</v>
      </c>
      <c r="DO4" s="77" t="s">
        <v>77</v>
      </c>
      <c r="DP4" s="77" t="s">
        <v>76</v>
      </c>
      <c r="DQ4" s="77" t="s">
        <v>49</v>
      </c>
      <c r="DR4" s="77" t="s">
        <v>77</v>
      </c>
      <c r="DS4" s="77" t="s">
        <v>76</v>
      </c>
      <c r="DT4" s="77" t="s">
        <v>49</v>
      </c>
      <c r="DU4" s="77" t="s">
        <v>77</v>
      </c>
      <c r="DV4" s="77" t="s">
        <v>76</v>
      </c>
      <c r="DW4" s="77" t="s">
        <v>49</v>
      </c>
      <c r="DX4" s="77" t="s">
        <v>77</v>
      </c>
      <c r="DY4" s="77" t="s">
        <v>113</v>
      </c>
      <c r="DZ4" s="123"/>
      <c r="EA4" s="123"/>
      <c r="EB4" s="123"/>
      <c r="EC4" s="123"/>
      <c r="ED4" s="123"/>
      <c r="EE4" s="123"/>
      <c r="EF4" s="78"/>
      <c r="EG4" s="123"/>
      <c r="EH4" s="123"/>
    </row>
    <row r="5" spans="1:141">
      <c r="A5" s="56" t="s">
        <v>12</v>
      </c>
      <c r="B5" s="57" t="str">
        <f>[1]MAT!C13</f>
        <v>AGUILAR DIAZ IAN EMANUEL</v>
      </c>
      <c r="C5" s="58" t="str">
        <f>[1]MAT!N13</f>
        <v>A</v>
      </c>
      <c r="D5" s="59" t="str">
        <f>[1]MAT!AH13</f>
        <v>A</v>
      </c>
      <c r="E5" s="59" t="str">
        <f>[1]MAT!AZ13</f>
        <v>A</v>
      </c>
      <c r="F5" s="59" t="str">
        <f>[1]MAT!R13</f>
        <v>C</v>
      </c>
      <c r="G5" s="59" t="str">
        <f>[1]MAT!AL13</f>
        <v>A</v>
      </c>
      <c r="H5" s="59" t="str">
        <f>[1]MAT!BA13</f>
        <v>B</v>
      </c>
      <c r="I5" s="59" t="str">
        <f>[1]MAT!V13</f>
        <v>B</v>
      </c>
      <c r="J5" s="59" t="str">
        <f>[1]MAT!AP13</f>
        <v>B</v>
      </c>
      <c r="K5" s="59" t="str">
        <f>[1]MAT!BB13</f>
        <v>B</v>
      </c>
      <c r="L5" s="59" t="str">
        <f>[1]MAT!Z13</f>
        <v>C</v>
      </c>
      <c r="M5" s="59" t="str">
        <f>[1]MAT!AT13</f>
        <v>C</v>
      </c>
      <c r="N5" s="59" t="str">
        <f>[1]MAT!BC13</f>
        <v>C</v>
      </c>
      <c r="O5" s="59" t="str">
        <f>[1]CSOC!N13</f>
        <v>A</v>
      </c>
      <c r="P5" s="59" t="str">
        <f>[1]CSOC!AH13</f>
        <v>A</v>
      </c>
      <c r="Q5" s="59" t="str">
        <f>[1]CSOC!AZ13</f>
        <v>A</v>
      </c>
      <c r="R5" s="59" t="str">
        <f>[1]CSOC!R13</f>
        <v>A</v>
      </c>
      <c r="S5" s="59" t="str">
        <f>[1]CSOC!AL13</f>
        <v>A</v>
      </c>
      <c r="T5" s="59" t="str">
        <f>[1]CSOC!BA13</f>
        <v>A</v>
      </c>
      <c r="U5" s="59" t="str">
        <f>[1]CSOC!V13</f>
        <v>A</v>
      </c>
      <c r="V5" s="59" t="str">
        <f>[1]CSOC!AP13</f>
        <v>B</v>
      </c>
      <c r="W5" s="59" t="str">
        <f>[1]CSOC!BB13</f>
        <v>A</v>
      </c>
      <c r="X5" s="59" t="str">
        <f>[1]EFIS!N13</f>
        <v>A</v>
      </c>
      <c r="Y5" s="59" t="str">
        <f>[1]EFIS!AH13</f>
        <v>A</v>
      </c>
      <c r="Z5" s="59" t="str">
        <f>[1]EFIS!AZ13</f>
        <v>A</v>
      </c>
      <c r="AA5" s="59" t="str">
        <f>[1]EFIS!R13</f>
        <v>A</v>
      </c>
      <c r="AB5" s="59" t="str">
        <f>[1]EFIS!AL13</f>
        <v>A</v>
      </c>
      <c r="AC5" s="59" t="str">
        <f>[1]EFIS!BA13</f>
        <v>A</v>
      </c>
      <c r="AD5" s="59" t="str">
        <f>[1]EFIS!V13</f>
        <v>A</v>
      </c>
      <c r="AE5" s="59" t="str">
        <f>[1]EFIS!AP13</f>
        <v>A</v>
      </c>
      <c r="AF5" s="59" t="str">
        <f>[1]EFIS!BB13</f>
        <v>A</v>
      </c>
      <c r="AG5" s="59" t="str">
        <f>[1]DPCC!N13</f>
        <v>A</v>
      </c>
      <c r="AH5" s="59" t="str">
        <f>[1]DPCC!AH13</f>
        <v>A</v>
      </c>
      <c r="AI5" s="59" t="str">
        <f>[1]DPCC!AZ13</f>
        <v>A</v>
      </c>
      <c r="AJ5" s="59" t="str">
        <f>[1]DPCC!R13</f>
        <v>A</v>
      </c>
      <c r="AK5" s="59" t="str">
        <f>[1]DPCC!AL13</f>
        <v>B</v>
      </c>
      <c r="AL5" s="59" t="str">
        <f>[1]DPCC!BA13</f>
        <v>A</v>
      </c>
      <c r="AM5" s="59" t="str">
        <f>[1]ARTE!N13</f>
        <v>A</v>
      </c>
      <c r="AN5" s="59" t="str">
        <f>[1]ARTE!AH13</f>
        <v>A</v>
      </c>
      <c r="AO5" s="59" t="str">
        <f>[1]ARTE!AZ13</f>
        <v>A</v>
      </c>
      <c r="AP5" s="59" t="str">
        <f>[1]ARTE!R13</f>
        <v>A</v>
      </c>
      <c r="AQ5" s="59" t="str">
        <f>[1]ARTE!AL13</f>
        <v>A</v>
      </c>
      <c r="AR5" s="59" t="str">
        <f>[1]ARTE!BA13</f>
        <v>A</v>
      </c>
      <c r="AS5" s="59" t="str">
        <f>[1]COMU!N13</f>
        <v>B</v>
      </c>
      <c r="AT5" s="59" t="str">
        <f>[1]COMU!AH13</f>
        <v>C</v>
      </c>
      <c r="AU5" s="59" t="str">
        <f>[1]COMU!AZ13</f>
        <v>B</v>
      </c>
      <c r="AV5" s="59" t="str">
        <f>[1]COMU!R13</f>
        <v>C</v>
      </c>
      <c r="AW5" s="59" t="str">
        <f>[1]COMU!AL13</f>
        <v>B</v>
      </c>
      <c r="AX5" s="59" t="str">
        <f>[1]COMU!BA13</f>
        <v>B</v>
      </c>
      <c r="AY5" s="59" t="str">
        <f>[1]COMU!V13</f>
        <v>B</v>
      </c>
      <c r="AZ5" s="59" t="str">
        <f>[1]COMU!AP13</f>
        <v>B</v>
      </c>
      <c r="BA5" s="59" t="str">
        <f>[1]COMU!BB13</f>
        <v>B</v>
      </c>
      <c r="BB5" s="59" t="str">
        <f>[1]CTEC!N13</f>
        <v>C</v>
      </c>
      <c r="BC5" s="59" t="str">
        <f>[1]CTEC!AH13</f>
        <v>B</v>
      </c>
      <c r="BD5" s="59" t="str">
        <f>[1]CTEC!AZ13</f>
        <v>B</v>
      </c>
      <c r="BE5" s="59" t="str">
        <f>[1]CTEC!R13</f>
        <v>B</v>
      </c>
      <c r="BF5" s="59" t="str">
        <f>[1]CTEC!AL13</f>
        <v>C</v>
      </c>
      <c r="BG5" s="59" t="str">
        <f>[1]CTEC!BA13</f>
        <v>B</v>
      </c>
      <c r="BH5" s="59" t="str">
        <f>[1]CTEC!V13</f>
        <v>C</v>
      </c>
      <c r="BI5" s="59" t="str">
        <f>[1]CTEC!AP13</f>
        <v>B</v>
      </c>
      <c r="BJ5" s="59" t="str">
        <f>[1]CTEC!BB13</f>
        <v>B</v>
      </c>
      <c r="BK5" s="59" t="str">
        <f>[1]ING!N13</f>
        <v>A</v>
      </c>
      <c r="BL5" s="59" t="str">
        <f>[1]ING!AH13</f>
        <v>A</v>
      </c>
      <c r="BM5" s="59" t="str">
        <f>[1]ING!AZ13</f>
        <v>A</v>
      </c>
      <c r="BN5" s="59" t="str">
        <f>[1]ING!R13</f>
        <v>A</v>
      </c>
      <c r="BO5" s="59" t="str">
        <f>[1]ING!AL13</f>
        <v>A</v>
      </c>
      <c r="BP5" s="59" t="str">
        <f>[1]ING!BA13</f>
        <v>A</v>
      </c>
      <c r="BQ5" s="59" t="str">
        <f>[1]ING!V13</f>
        <v>A</v>
      </c>
      <c r="BR5" s="59" t="str">
        <f>[1]ING!AP13</f>
        <v>A</v>
      </c>
      <c r="BS5" s="59" t="str">
        <f>[1]ING!BB13</f>
        <v>A</v>
      </c>
      <c r="BT5" s="59" t="str">
        <f>[1]REL!N13</f>
        <v>A</v>
      </c>
      <c r="BU5" s="59" t="str">
        <f>[1]REL!AH13</f>
        <v>A</v>
      </c>
      <c r="BV5" s="59" t="str">
        <f>[1]REL!AZ13</f>
        <v>A</v>
      </c>
      <c r="BW5" s="59" t="str">
        <f>[1]REL!R13</f>
        <v>A</v>
      </c>
      <c r="BX5" s="59" t="str">
        <f>[1]REL!AL13</f>
        <v>A</v>
      </c>
      <c r="BY5" s="59" t="str">
        <f>[1]REL!BA13</f>
        <v>A</v>
      </c>
      <c r="BZ5" s="59" t="str">
        <f>[1]EMPR!N13</f>
        <v>A</v>
      </c>
      <c r="CA5" s="59" t="str">
        <f>[1]EMPR!AH13</f>
        <v>A</v>
      </c>
      <c r="CB5" s="59" t="str">
        <f>[1]EMPR!AZ13</f>
        <v>A</v>
      </c>
      <c r="CC5" s="59" t="str">
        <f>[1]COMPU!N13</f>
        <v>A</v>
      </c>
      <c r="CD5" s="59" t="str">
        <f>[1]COMPU!AH13</f>
        <v>A</v>
      </c>
      <c r="CE5" s="59" t="str">
        <f>[1]COMPU!AZ13</f>
        <v>A</v>
      </c>
      <c r="CF5" s="59" t="str">
        <f>[1]ROBOTI!N13</f>
        <v>A</v>
      </c>
      <c r="CG5" s="59" t="str">
        <f>[1]ROBOTI!AH13</f>
        <v>A</v>
      </c>
      <c r="CH5" s="59" t="str">
        <f>[1]ROBOTI!AZ13</f>
        <v>A</v>
      </c>
      <c r="CI5" s="60" t="str">
        <f>[1]APREPER!AK11</f>
        <v>A</v>
      </c>
      <c r="CJ5" s="60" t="str">
        <f>[1]APREPER!AL11</f>
        <v>A</v>
      </c>
      <c r="CK5" s="60">
        <f>[1]APREPER!I11</f>
        <v>0</v>
      </c>
      <c r="CL5" s="60" t="str">
        <f>[1]APREPER!J11</f>
        <v>x</v>
      </c>
      <c r="CM5" s="60">
        <f>[1]APREPER!K11</f>
        <v>0</v>
      </c>
      <c r="CN5" s="60">
        <f>[1]APREPER!L11</f>
        <v>0</v>
      </c>
      <c r="CO5" s="60" t="str">
        <f>[1]APREPER!M11</f>
        <v>x</v>
      </c>
      <c r="CP5" s="60">
        <f>[1]APREPER!N11</f>
        <v>0</v>
      </c>
      <c r="CQ5" s="60">
        <f>[1]APREPER!O11</f>
        <v>0</v>
      </c>
      <c r="CR5" s="60" t="str">
        <f>[1]APREPER!P11</f>
        <v>x</v>
      </c>
      <c r="CS5" s="60">
        <f>[1]APREPER!Q11</f>
        <v>0</v>
      </c>
      <c r="CT5" s="60" t="str">
        <f>[1]APREPER!R11</f>
        <v>x</v>
      </c>
      <c r="CU5" s="60">
        <f>[1]APREPER!S11</f>
        <v>0</v>
      </c>
      <c r="CV5" s="60">
        <f>[1]APREPER!T11</f>
        <v>0</v>
      </c>
      <c r="CW5" s="60" t="str">
        <f>[1]APREPER!U11</f>
        <v>x</v>
      </c>
      <c r="CX5" s="60">
        <f>[1]APREPER!V11</f>
        <v>0</v>
      </c>
      <c r="CY5" s="60">
        <f>[1]APREPER!W11</f>
        <v>0</v>
      </c>
      <c r="CZ5" s="60">
        <f>[1]APREPER!X11</f>
        <v>0</v>
      </c>
      <c r="DA5" s="60" t="str">
        <f>[1]APREPER!Y11</f>
        <v>x</v>
      </c>
      <c r="DB5" s="60">
        <f>[1]APREPER!Z11</f>
        <v>0</v>
      </c>
      <c r="DC5" s="60" t="str">
        <f>[1]APREPER!AA11</f>
        <v>x</v>
      </c>
      <c r="DD5" s="60">
        <f>[1]APREPER!AB11</f>
        <v>0</v>
      </c>
      <c r="DE5" s="60">
        <f>[1]APREPER!AC11</f>
        <v>0</v>
      </c>
      <c r="DF5" s="60" t="str">
        <f>[1]APREPER!AD11</f>
        <v>x</v>
      </c>
      <c r="DG5" s="60">
        <f>[1]APREPER!AE11</f>
        <v>0</v>
      </c>
      <c r="DH5" s="60">
        <f>[1]APREPER!AF11</f>
        <v>0</v>
      </c>
      <c r="DI5" s="60">
        <f>[1]APREPER!AG11</f>
        <v>0</v>
      </c>
      <c r="DJ5" s="60" t="str">
        <f>[1]APREPER!AH11</f>
        <v>x</v>
      </c>
      <c r="DK5" s="60">
        <f>[1]APREPER!AI11</f>
        <v>0</v>
      </c>
      <c r="DL5" s="60" t="str">
        <f>[1]APREPER!AJ11</f>
        <v>B</v>
      </c>
      <c r="DM5" s="61">
        <f>[1]APREPPFF!I11</f>
        <v>0</v>
      </c>
      <c r="DN5" s="61" t="str">
        <f>[1]APREPPFF!J11</f>
        <v>x</v>
      </c>
      <c r="DO5" s="61">
        <f>[1]APREPPFF!K11</f>
        <v>0</v>
      </c>
      <c r="DP5" s="61" t="str">
        <f>[1]APREPPFF!L11</f>
        <v>x</v>
      </c>
      <c r="DQ5" s="61">
        <f>[1]APREPPFF!M11</f>
        <v>0</v>
      </c>
      <c r="DR5" s="61">
        <f>[1]APREPPFF!N11</f>
        <v>0</v>
      </c>
      <c r="DS5" s="61">
        <f>[1]APREPPFF!O11</f>
        <v>0</v>
      </c>
      <c r="DT5" s="61" t="str">
        <f>[1]APREPPFF!P11</f>
        <v>x</v>
      </c>
      <c r="DU5" s="61">
        <f>[1]APREPPFF!Q11</f>
        <v>0</v>
      </c>
      <c r="DV5" s="61">
        <f>[1]APREPPFF!R11</f>
        <v>0</v>
      </c>
      <c r="DW5" s="61" t="str">
        <f>[1]APREPPFF!S11</f>
        <v>x</v>
      </c>
      <c r="DX5" s="61">
        <f>[1]APREPPFF!T11</f>
        <v>0</v>
      </c>
      <c r="DY5" s="61" t="str">
        <f>[1]APREPPFF!U11</f>
        <v>B</v>
      </c>
      <c r="DZ5" s="60">
        <f>[1]ASISTEN!$BR$4</f>
        <v>47</v>
      </c>
      <c r="EA5" s="62">
        <f>[1]ASISTEN!BS13</f>
        <v>0.93617021276595747</v>
      </c>
      <c r="EB5" s="60">
        <f>[1]ASISTEN!BO13</f>
        <v>41</v>
      </c>
      <c r="EC5" s="63">
        <f>[1]ASISTEN!BP13</f>
        <v>3</v>
      </c>
      <c r="ED5" s="64">
        <f>[1]ASISTEN!BQ13</f>
        <v>0</v>
      </c>
      <c r="EE5" s="64">
        <f>[1]ASISTEN!BR13</f>
        <v>3</v>
      </c>
      <c r="EF5" s="64" t="str">
        <f>[1]APREPER!AM11</f>
        <v>El estudiante es tranquilo, correcto, muestra preocupación en su aprendizaje. Necesita reforzarse en las áreas de Ciencias, cumplir con un trabajo permanente en las actividades y seguimiento constante en casa.</v>
      </c>
      <c r="EG5" s="65">
        <f t="shared" ref="EG5:EG13" si="0">((EI5*3)+(EJ5*2)+(EK5*1))</f>
        <v>133</v>
      </c>
      <c r="EH5" s="65">
        <f t="shared" ref="EH5:EH13" si="1">RANK(EG5,$EG$5:$EG$32,0)</f>
        <v>9</v>
      </c>
      <c r="EI5" s="66">
        <f t="shared" ref="EI5:EI32" si="2">COUNTIF(B5:CI5,"AD")</f>
        <v>0</v>
      </c>
      <c r="EJ5" s="66">
        <f t="shared" ref="EJ5:EJ32" si="3">COUNTIF(B5:CI5,"A")</f>
        <v>57</v>
      </c>
      <c r="EK5" s="66">
        <f t="shared" ref="EK5:EK32" si="4">COUNTIF(B5:CI5,"B")</f>
        <v>19</v>
      </c>
    </row>
    <row r="6" spans="1:141">
      <c r="A6" s="56" t="s">
        <v>23</v>
      </c>
      <c r="B6" s="57" t="str">
        <f>[1]MAT!C14</f>
        <v>ARPAZA TORRES RODRIGO GONZALO</v>
      </c>
      <c r="C6" s="58" t="str">
        <f>[1]MAT!N14</f>
        <v>A</v>
      </c>
      <c r="D6" s="59" t="str">
        <f>[1]MAT!AH14</f>
        <v>A</v>
      </c>
      <c r="E6" s="59" t="str">
        <f>[1]MAT!AZ14</f>
        <v>A</v>
      </c>
      <c r="F6" s="59" t="str">
        <f>[1]MAT!R14</f>
        <v>B</v>
      </c>
      <c r="G6" s="59" t="str">
        <f>[1]MAT!AL14</f>
        <v>B</v>
      </c>
      <c r="H6" s="59" t="str">
        <f>[1]MAT!BA14</f>
        <v>B</v>
      </c>
      <c r="I6" s="59" t="str">
        <f>[1]MAT!V14</f>
        <v>A</v>
      </c>
      <c r="J6" s="59" t="str">
        <f>[1]MAT!AP14</f>
        <v>A</v>
      </c>
      <c r="K6" s="59" t="str">
        <f>[1]MAT!BB14</f>
        <v>A</v>
      </c>
      <c r="L6" s="59" t="str">
        <f>[1]MAT!Z14</f>
        <v>A</v>
      </c>
      <c r="M6" s="59" t="str">
        <f>[1]MAT!AT14</f>
        <v>A</v>
      </c>
      <c r="N6" s="59" t="str">
        <f>[1]MAT!BC14</f>
        <v>A</v>
      </c>
      <c r="O6" s="59" t="str">
        <f>[1]CSOC!N14</f>
        <v>A</v>
      </c>
      <c r="P6" s="59" t="str">
        <f>[1]CSOC!AH14</f>
        <v>A</v>
      </c>
      <c r="Q6" s="59" t="str">
        <f>[1]CSOC!AZ14</f>
        <v>A</v>
      </c>
      <c r="R6" s="59" t="str">
        <f>[1]CSOC!R14</f>
        <v>A</v>
      </c>
      <c r="S6" s="59" t="str">
        <f>[1]CSOC!AL14</f>
        <v>A</v>
      </c>
      <c r="T6" s="59" t="str">
        <f>[1]CSOC!BA14</f>
        <v>A</v>
      </c>
      <c r="U6" s="59" t="str">
        <f>[1]CSOC!V14</f>
        <v>A</v>
      </c>
      <c r="V6" s="59" t="str">
        <f>[1]CSOC!AP14</f>
        <v>B</v>
      </c>
      <c r="W6" s="59" t="str">
        <f>[1]CSOC!BB14</f>
        <v>A</v>
      </c>
      <c r="X6" s="59" t="str">
        <f>[1]EFIS!N14</f>
        <v>A</v>
      </c>
      <c r="Y6" s="59" t="str">
        <f>[1]EFIS!AH14</f>
        <v>A</v>
      </c>
      <c r="Z6" s="59" t="str">
        <f>[1]EFIS!AZ14</f>
        <v>A</v>
      </c>
      <c r="AA6" s="59" t="str">
        <f>[1]EFIS!R14</f>
        <v>A</v>
      </c>
      <c r="AB6" s="59" t="str">
        <f>[1]EFIS!AL14</f>
        <v>A</v>
      </c>
      <c r="AC6" s="59" t="str">
        <f>[1]EFIS!BA14</f>
        <v>A</v>
      </c>
      <c r="AD6" s="59" t="str">
        <f>[1]EFIS!V14</f>
        <v>A</v>
      </c>
      <c r="AE6" s="59" t="str">
        <f>[1]EFIS!AP14</f>
        <v>A</v>
      </c>
      <c r="AF6" s="59" t="str">
        <f>[1]EFIS!BB14</f>
        <v>A</v>
      </c>
      <c r="AG6" s="59" t="str">
        <f>[1]DPCC!N14</f>
        <v>A</v>
      </c>
      <c r="AH6" s="59" t="str">
        <f>[1]DPCC!AH14</f>
        <v>A</v>
      </c>
      <c r="AI6" s="59" t="str">
        <f>[1]DPCC!AZ14</f>
        <v>A</v>
      </c>
      <c r="AJ6" s="59" t="str">
        <f>[1]DPCC!R14</f>
        <v>A</v>
      </c>
      <c r="AK6" s="59" t="str">
        <f>[1]DPCC!AL14</f>
        <v>B</v>
      </c>
      <c r="AL6" s="59" t="str">
        <f>[1]DPCC!BA14</f>
        <v>A</v>
      </c>
      <c r="AM6" s="59" t="str">
        <f>[1]ARTE!N14</f>
        <v>A</v>
      </c>
      <c r="AN6" s="59" t="str">
        <f>[1]ARTE!AH14</f>
        <v>A</v>
      </c>
      <c r="AO6" s="59" t="str">
        <f>[1]ARTE!AZ14</f>
        <v>A</v>
      </c>
      <c r="AP6" s="59" t="str">
        <f>[1]ARTE!R14</f>
        <v>A</v>
      </c>
      <c r="AQ6" s="59" t="str">
        <f>[1]ARTE!AL14</f>
        <v>A</v>
      </c>
      <c r="AR6" s="59" t="str">
        <f>[1]ARTE!BA14</f>
        <v>A</v>
      </c>
      <c r="AS6" s="59" t="str">
        <f>[1]COMU!N14</f>
        <v>B</v>
      </c>
      <c r="AT6" s="59" t="str">
        <f>[1]COMU!AH14</f>
        <v>B</v>
      </c>
      <c r="AU6" s="59" t="str">
        <f>[1]COMU!AZ14</f>
        <v>B</v>
      </c>
      <c r="AV6" s="59" t="str">
        <f>[1]COMU!R14</f>
        <v>B</v>
      </c>
      <c r="AW6" s="59" t="str">
        <f>[1]COMU!AL14</f>
        <v>B</v>
      </c>
      <c r="AX6" s="59" t="str">
        <f>[1]COMU!BA14</f>
        <v>B</v>
      </c>
      <c r="AY6" s="59" t="str">
        <f>[1]COMU!V14</f>
        <v>B</v>
      </c>
      <c r="AZ6" s="59" t="str">
        <f>[1]COMU!AP14</f>
        <v>B</v>
      </c>
      <c r="BA6" s="59" t="str">
        <f>[1]COMU!BB14</f>
        <v>B</v>
      </c>
      <c r="BB6" s="59" t="str">
        <f>[1]CTEC!N14</f>
        <v>A</v>
      </c>
      <c r="BC6" s="59" t="str">
        <f>[1]CTEC!AH14</f>
        <v>A</v>
      </c>
      <c r="BD6" s="59" t="str">
        <f>[1]CTEC!AZ14</f>
        <v>A</v>
      </c>
      <c r="BE6" s="59" t="str">
        <f>[1]CTEC!R14</f>
        <v>B</v>
      </c>
      <c r="BF6" s="59" t="str">
        <f>[1]CTEC!AL14</f>
        <v>B</v>
      </c>
      <c r="BG6" s="59" t="str">
        <f>[1]CTEC!BA14</f>
        <v>B</v>
      </c>
      <c r="BH6" s="59" t="str">
        <f>[1]CTEC!V14</f>
        <v>B</v>
      </c>
      <c r="BI6" s="59" t="str">
        <f>[1]CTEC!AP14</f>
        <v>B</v>
      </c>
      <c r="BJ6" s="59" t="str">
        <f>[1]CTEC!BB14</f>
        <v>B</v>
      </c>
      <c r="BK6" s="59" t="str">
        <f>[1]ING!N14</f>
        <v>B</v>
      </c>
      <c r="BL6" s="59" t="str">
        <f>[1]ING!AH14</f>
        <v>B</v>
      </c>
      <c r="BM6" s="59" t="str">
        <f>[1]ING!AZ14</f>
        <v>B</v>
      </c>
      <c r="BN6" s="59" t="str">
        <f>[1]ING!R14</f>
        <v>A</v>
      </c>
      <c r="BO6" s="59" t="str">
        <f>[1]ING!AL14</f>
        <v>A</v>
      </c>
      <c r="BP6" s="59" t="str">
        <f>[1]ING!BA14</f>
        <v>A</v>
      </c>
      <c r="BQ6" s="59" t="str">
        <f>[1]ING!V14</f>
        <v>A</v>
      </c>
      <c r="BR6" s="59" t="str">
        <f>[1]ING!AP14</f>
        <v>A</v>
      </c>
      <c r="BS6" s="59" t="str">
        <f>[1]ING!BB14</f>
        <v>A</v>
      </c>
      <c r="BT6" s="59" t="str">
        <f>[1]REL!N14</f>
        <v>A</v>
      </c>
      <c r="BU6" s="59" t="str">
        <f>[1]REL!AH14</f>
        <v>A</v>
      </c>
      <c r="BV6" s="59" t="str">
        <f>[1]REL!AZ14</f>
        <v>A</v>
      </c>
      <c r="BW6" s="59" t="str">
        <f>[1]REL!R14</f>
        <v>A</v>
      </c>
      <c r="BX6" s="59" t="str">
        <f>[1]REL!AL14</f>
        <v>A</v>
      </c>
      <c r="BY6" s="59" t="str">
        <f>[1]REL!BA14</f>
        <v>A</v>
      </c>
      <c r="BZ6" s="59" t="str">
        <f>[1]EMPR!N14</f>
        <v>A</v>
      </c>
      <c r="CA6" s="59" t="str">
        <f>[1]EMPR!AH14</f>
        <v>A</v>
      </c>
      <c r="CB6" s="59" t="str">
        <f>[1]EMPR!AZ14</f>
        <v>A</v>
      </c>
      <c r="CC6" s="59" t="str">
        <f>[1]COMPU!N14</f>
        <v>A</v>
      </c>
      <c r="CD6" s="59" t="str">
        <f>[1]COMPU!AH14</f>
        <v>A</v>
      </c>
      <c r="CE6" s="59" t="str">
        <f>[1]COMPU!AZ14</f>
        <v>A</v>
      </c>
      <c r="CF6" s="59" t="str">
        <f>[1]ROBOTI!N14</f>
        <v>A</v>
      </c>
      <c r="CG6" s="59" t="str">
        <f>[1]ROBOTI!AH14</f>
        <v>A</v>
      </c>
      <c r="CH6" s="59" t="str">
        <f>[1]ROBOTI!AZ14</f>
        <v>A</v>
      </c>
      <c r="CI6" s="60" t="str">
        <f>[1]APREPER!AK12</f>
        <v>A</v>
      </c>
      <c r="CJ6" s="60" t="str">
        <f>[1]APREPER!AL12</f>
        <v>A</v>
      </c>
      <c r="CK6" s="60">
        <f>[1]APREPER!I12</f>
        <v>0</v>
      </c>
      <c r="CL6" s="60" t="str">
        <f>[1]APREPER!J12</f>
        <v>x</v>
      </c>
      <c r="CM6" s="60">
        <f>[1]APREPER!K12</f>
        <v>0</v>
      </c>
      <c r="CN6" s="60">
        <f>[1]APREPER!L12</f>
        <v>0</v>
      </c>
      <c r="CO6" s="60" t="str">
        <f>[1]APREPER!M12</f>
        <v>x</v>
      </c>
      <c r="CP6" s="60">
        <f>[1]APREPER!N12</f>
        <v>0</v>
      </c>
      <c r="CQ6" s="60">
        <f>[1]APREPER!O12</f>
        <v>0</v>
      </c>
      <c r="CR6" s="60" t="str">
        <f>[1]APREPER!P12</f>
        <v>x</v>
      </c>
      <c r="CS6" s="60">
        <f>[1]APREPER!Q12</f>
        <v>0</v>
      </c>
      <c r="CT6" s="60" t="str">
        <f>[1]APREPER!R12</f>
        <v>x</v>
      </c>
      <c r="CU6" s="60">
        <f>[1]APREPER!S12</f>
        <v>0</v>
      </c>
      <c r="CV6" s="60">
        <f>[1]APREPER!T12</f>
        <v>0</v>
      </c>
      <c r="CW6" s="60" t="str">
        <f>[1]APREPER!U12</f>
        <v>x</v>
      </c>
      <c r="CX6" s="60">
        <f>[1]APREPER!V12</f>
        <v>0</v>
      </c>
      <c r="CY6" s="60">
        <f>[1]APREPER!W12</f>
        <v>0</v>
      </c>
      <c r="CZ6" s="60">
        <f>[1]APREPER!X12</f>
        <v>0</v>
      </c>
      <c r="DA6" s="60" t="str">
        <f>[1]APREPER!Y12</f>
        <v>x</v>
      </c>
      <c r="DB6" s="60">
        <f>[1]APREPER!Z12</f>
        <v>0</v>
      </c>
      <c r="DC6" s="60" t="str">
        <f>[1]APREPER!AA12</f>
        <v>x</v>
      </c>
      <c r="DD6" s="60">
        <f>[1]APREPER!AB12</f>
        <v>0</v>
      </c>
      <c r="DE6" s="60">
        <f>[1]APREPER!AC12</f>
        <v>0</v>
      </c>
      <c r="DF6" s="60" t="str">
        <f>[1]APREPER!AD12</f>
        <v>x</v>
      </c>
      <c r="DG6" s="60">
        <f>[1]APREPER!AE12</f>
        <v>0</v>
      </c>
      <c r="DH6" s="60">
        <f>[1]APREPER!AF12</f>
        <v>0</v>
      </c>
      <c r="DI6" s="60">
        <f>[1]APREPER!AG12</f>
        <v>0</v>
      </c>
      <c r="DJ6" s="60" t="str">
        <f>[1]APREPER!AH12</f>
        <v>x</v>
      </c>
      <c r="DK6" s="60">
        <f>[1]APREPER!AI12</f>
        <v>0</v>
      </c>
      <c r="DL6" s="60" t="str">
        <f>[1]APREPER!AJ12</f>
        <v>B</v>
      </c>
      <c r="DM6" s="61">
        <f>[1]APREPPFF!I12</f>
        <v>0</v>
      </c>
      <c r="DN6" s="61" t="str">
        <f>[1]APREPPFF!J12</f>
        <v>x</v>
      </c>
      <c r="DO6" s="61">
        <f>[1]APREPPFF!K12</f>
        <v>0</v>
      </c>
      <c r="DP6" s="61" t="str">
        <f>[1]APREPPFF!L12</f>
        <v>x</v>
      </c>
      <c r="DQ6" s="61">
        <f>[1]APREPPFF!M12</f>
        <v>0</v>
      </c>
      <c r="DR6" s="61">
        <f>[1]APREPPFF!N12</f>
        <v>0</v>
      </c>
      <c r="DS6" s="61">
        <f>[1]APREPPFF!O12</f>
        <v>0</v>
      </c>
      <c r="DT6" s="61">
        <f>[1]APREPPFF!P12</f>
        <v>0</v>
      </c>
      <c r="DU6" s="61" t="str">
        <f>[1]APREPPFF!Q12</f>
        <v>x</v>
      </c>
      <c r="DV6" s="61">
        <f>[1]APREPPFF!R12</f>
        <v>0</v>
      </c>
      <c r="DW6" s="61" t="str">
        <f>[1]APREPPFF!S12</f>
        <v>x</v>
      </c>
      <c r="DX6" s="61">
        <f>[1]APREPPFF!T12</f>
        <v>0</v>
      </c>
      <c r="DY6" s="61" t="str">
        <f>[1]APREPPFF!U12</f>
        <v>B</v>
      </c>
      <c r="DZ6" s="60">
        <f>[1]ASISTEN!$BR$4</f>
        <v>47</v>
      </c>
      <c r="EA6" s="62">
        <f>[1]ASISTEN!BS14</f>
        <v>1</v>
      </c>
      <c r="EB6" s="60">
        <f>[1]ASISTEN!BO14</f>
        <v>42</v>
      </c>
      <c r="EC6" s="63">
        <f>[1]ASISTEN!BP14</f>
        <v>5</v>
      </c>
      <c r="ED6" s="64">
        <f>[1]ASISTEN!BQ14</f>
        <v>0</v>
      </c>
      <c r="EE6" s="64">
        <f>[1]ASISTEN!BR14</f>
        <v>0</v>
      </c>
      <c r="EF6" s="64" t="str">
        <f>[1]APREPER!AM12</f>
        <v>El estudiante demuestra disposición para aprender. Presenta dificultades en las áreas de comunicación, por lo que necesita reforzar sus hábitos de estudio y mayor monitoreo. Se recomienda un acompañamiento constante.</v>
      </c>
      <c r="EG6" s="65">
        <f t="shared" si="0"/>
        <v>147</v>
      </c>
      <c r="EH6" s="65">
        <f t="shared" si="1"/>
        <v>5</v>
      </c>
      <c r="EI6" s="66">
        <f t="shared" si="2"/>
        <v>0</v>
      </c>
      <c r="EJ6" s="66">
        <f t="shared" si="3"/>
        <v>62</v>
      </c>
      <c r="EK6" s="66">
        <f t="shared" si="4"/>
        <v>23</v>
      </c>
    </row>
    <row r="7" spans="1:141">
      <c r="A7" s="56" t="s">
        <v>24</v>
      </c>
      <c r="B7" s="57" t="str">
        <f>[1]MAT!C15</f>
        <v>CHACON MEDINA MIGUEL ANGEL</v>
      </c>
      <c r="C7" s="58" t="str">
        <f>[1]MAT!N15</f>
        <v>A</v>
      </c>
      <c r="D7" s="59" t="str">
        <f>[1]MAT!AH15</f>
        <v>A</v>
      </c>
      <c r="E7" s="59" t="str">
        <f>[1]MAT!AZ15</f>
        <v>A</v>
      </c>
      <c r="F7" s="59" t="str">
        <f>[1]MAT!R15</f>
        <v>A</v>
      </c>
      <c r="G7" s="59" t="str">
        <f>[1]MAT!AL15</f>
        <v>B</v>
      </c>
      <c r="H7" s="59" t="str">
        <f>[1]MAT!BA15</f>
        <v>A</v>
      </c>
      <c r="I7" s="59" t="str">
        <f>[1]MAT!V15</f>
        <v>A</v>
      </c>
      <c r="J7" s="59" t="str">
        <f>[1]MAT!AP15</f>
        <v>B</v>
      </c>
      <c r="K7" s="59" t="str">
        <f>[1]MAT!BB15</f>
        <v>A</v>
      </c>
      <c r="L7" s="59" t="str">
        <f>[1]MAT!Z15</f>
        <v>B</v>
      </c>
      <c r="M7" s="59" t="str">
        <f>[1]MAT!AT15</f>
        <v>A</v>
      </c>
      <c r="N7" s="59" t="str">
        <f>[1]MAT!BC15</f>
        <v>A</v>
      </c>
      <c r="O7" s="59" t="str">
        <f>[1]CSOC!N15</f>
        <v>A</v>
      </c>
      <c r="P7" s="59" t="str">
        <f>[1]CSOC!AH15</f>
        <v>A</v>
      </c>
      <c r="Q7" s="59" t="str">
        <f>[1]CSOC!AZ15</f>
        <v>A</v>
      </c>
      <c r="R7" s="59" t="str">
        <f>[1]CSOC!R15</f>
        <v>A</v>
      </c>
      <c r="S7" s="59" t="str">
        <f>[1]CSOC!AL15</f>
        <v>A</v>
      </c>
      <c r="T7" s="59" t="str">
        <f>[1]CSOC!BA15</f>
        <v>A</v>
      </c>
      <c r="U7" s="59" t="str">
        <f>[1]CSOC!V15</f>
        <v>A</v>
      </c>
      <c r="V7" s="59" t="str">
        <f>[1]CSOC!AP15</f>
        <v>B</v>
      </c>
      <c r="W7" s="59" t="str">
        <f>[1]CSOC!BB15</f>
        <v>A</v>
      </c>
      <c r="X7" s="59" t="str">
        <f>[1]EFIS!N15</f>
        <v>A</v>
      </c>
      <c r="Y7" s="59" t="str">
        <f>[1]EFIS!AH15</f>
        <v>A</v>
      </c>
      <c r="Z7" s="59" t="str">
        <f>[1]EFIS!AZ15</f>
        <v>A</v>
      </c>
      <c r="AA7" s="59" t="str">
        <f>[1]EFIS!R15</f>
        <v>A</v>
      </c>
      <c r="AB7" s="59" t="str">
        <f>[1]EFIS!AL15</f>
        <v>A</v>
      </c>
      <c r="AC7" s="59" t="str">
        <f>[1]EFIS!BA15</f>
        <v>A</v>
      </c>
      <c r="AD7" s="59" t="str">
        <f>[1]EFIS!V15</f>
        <v>A</v>
      </c>
      <c r="AE7" s="59" t="str">
        <f>[1]EFIS!AP15</f>
        <v>A</v>
      </c>
      <c r="AF7" s="59" t="str">
        <f>[1]EFIS!BB15</f>
        <v>A</v>
      </c>
      <c r="AG7" s="59" t="str">
        <f>[1]DPCC!N15</f>
        <v>A</v>
      </c>
      <c r="AH7" s="59" t="str">
        <f>[1]DPCC!AH15</f>
        <v>A</v>
      </c>
      <c r="AI7" s="59" t="str">
        <f>[1]DPCC!AZ15</f>
        <v>A</v>
      </c>
      <c r="AJ7" s="59" t="str">
        <f>[1]DPCC!R15</f>
        <v>A</v>
      </c>
      <c r="AK7" s="59" t="str">
        <f>[1]DPCC!AL15</f>
        <v>B</v>
      </c>
      <c r="AL7" s="59" t="str">
        <f>[1]DPCC!BA15</f>
        <v>A</v>
      </c>
      <c r="AM7" s="59" t="str">
        <f>[1]ARTE!N15</f>
        <v>A</v>
      </c>
      <c r="AN7" s="59" t="str">
        <f>[1]ARTE!AH15</f>
        <v>A</v>
      </c>
      <c r="AO7" s="59" t="str">
        <f>[1]ARTE!AZ15</f>
        <v>A</v>
      </c>
      <c r="AP7" s="59" t="str">
        <f>[1]ARTE!R15</f>
        <v>A</v>
      </c>
      <c r="AQ7" s="59" t="str">
        <f>[1]ARTE!AL15</f>
        <v>A</v>
      </c>
      <c r="AR7" s="59" t="str">
        <f>[1]ARTE!BA15</f>
        <v>A</v>
      </c>
      <c r="AS7" s="59" t="str">
        <f>[1]COMU!N15</f>
        <v>A</v>
      </c>
      <c r="AT7" s="59" t="str">
        <f>[1]COMU!AH15</f>
        <v>B</v>
      </c>
      <c r="AU7" s="59" t="str">
        <f>[1]COMU!AZ15</f>
        <v>A</v>
      </c>
      <c r="AV7" s="59" t="str">
        <f>[1]COMU!R15</f>
        <v>A</v>
      </c>
      <c r="AW7" s="59" t="str">
        <f>[1]COMU!AL15</f>
        <v>A</v>
      </c>
      <c r="AX7" s="59" t="str">
        <f>[1]COMU!BA15</f>
        <v>A</v>
      </c>
      <c r="AY7" s="59" t="str">
        <f>[1]COMU!V15</f>
        <v>A</v>
      </c>
      <c r="AZ7" s="59" t="str">
        <f>[1]COMU!AP15</f>
        <v>A</v>
      </c>
      <c r="BA7" s="59" t="str">
        <f>[1]COMU!BB15</f>
        <v>A</v>
      </c>
      <c r="BB7" s="59" t="str">
        <f>[1]CTEC!N15</f>
        <v>A</v>
      </c>
      <c r="BC7" s="59" t="str">
        <f>[1]CTEC!AH15</f>
        <v>A</v>
      </c>
      <c r="BD7" s="59" t="str">
        <f>[1]CTEC!AZ15</f>
        <v>A</v>
      </c>
      <c r="BE7" s="59" t="str">
        <f>[1]CTEC!R15</f>
        <v>A</v>
      </c>
      <c r="BF7" s="59" t="str">
        <f>[1]CTEC!AL15</f>
        <v>B</v>
      </c>
      <c r="BG7" s="59" t="str">
        <f>[1]CTEC!BA15</f>
        <v>A</v>
      </c>
      <c r="BH7" s="59" t="str">
        <f>[1]CTEC!V15</f>
        <v>B</v>
      </c>
      <c r="BI7" s="59" t="str">
        <f>[1]CTEC!AP15</f>
        <v>B</v>
      </c>
      <c r="BJ7" s="59" t="str">
        <f>[1]CTEC!BB15</f>
        <v>B</v>
      </c>
      <c r="BK7" s="59" t="str">
        <f>[1]ING!N15</f>
        <v>A</v>
      </c>
      <c r="BL7" s="59" t="str">
        <f>[1]ING!AH15</f>
        <v>B</v>
      </c>
      <c r="BM7" s="59" t="str">
        <f>[1]ING!AZ15</f>
        <v>A</v>
      </c>
      <c r="BN7" s="59" t="str">
        <f>[1]ING!R15</f>
        <v>A</v>
      </c>
      <c r="BO7" s="59" t="str">
        <f>[1]ING!AL15</f>
        <v>A</v>
      </c>
      <c r="BP7" s="59" t="str">
        <f>[1]ING!BA15</f>
        <v>A</v>
      </c>
      <c r="BQ7" s="59" t="str">
        <f>[1]ING!V15</f>
        <v>A</v>
      </c>
      <c r="BR7" s="59" t="str">
        <f>[1]ING!AP15</f>
        <v>A</v>
      </c>
      <c r="BS7" s="59" t="str">
        <f>[1]ING!BB15</f>
        <v>A</v>
      </c>
      <c r="BT7" s="59" t="str">
        <f>[1]REL!N15</f>
        <v>AD</v>
      </c>
      <c r="BU7" s="59" t="str">
        <f>[1]REL!AH15</f>
        <v>A</v>
      </c>
      <c r="BV7" s="59" t="str">
        <f>[1]REL!AZ15</f>
        <v>AD</v>
      </c>
      <c r="BW7" s="59" t="str">
        <f>[1]REL!R15</f>
        <v>A</v>
      </c>
      <c r="BX7" s="59" t="str">
        <f>[1]REL!AL15</f>
        <v>A</v>
      </c>
      <c r="BY7" s="59" t="str">
        <f>[1]REL!BA15</f>
        <v>A</v>
      </c>
      <c r="BZ7" s="59" t="str">
        <f>[1]EMPR!N15</f>
        <v>A</v>
      </c>
      <c r="CA7" s="59" t="str">
        <f>[1]EMPR!AH15</f>
        <v>A</v>
      </c>
      <c r="CB7" s="59" t="str">
        <f>[1]EMPR!AZ15</f>
        <v>A</v>
      </c>
      <c r="CC7" s="59" t="str">
        <f>[1]COMPU!N15</f>
        <v>A</v>
      </c>
      <c r="CD7" s="59" t="str">
        <f>[1]COMPU!AH15</f>
        <v>A</v>
      </c>
      <c r="CE7" s="59" t="str">
        <f>[1]COMPU!AZ15</f>
        <v>A</v>
      </c>
      <c r="CF7" s="59" t="str">
        <f>[1]ROBOTI!N15</f>
        <v>A</v>
      </c>
      <c r="CG7" s="59" t="str">
        <f>[1]ROBOTI!AH15</f>
        <v>A</v>
      </c>
      <c r="CH7" s="59" t="str">
        <f>[1]ROBOTI!AZ15</f>
        <v>A</v>
      </c>
      <c r="CI7" s="60" t="str">
        <f>[1]APREPER!AK13</f>
        <v>A</v>
      </c>
      <c r="CJ7" s="60" t="str">
        <f>[1]APREPER!AL13</f>
        <v>A</v>
      </c>
      <c r="CK7" s="60" t="str">
        <f>[1]APREPER!I13</f>
        <v>x</v>
      </c>
      <c r="CL7" s="60">
        <f>[1]APREPER!J13</f>
        <v>0</v>
      </c>
      <c r="CM7" s="60">
        <f>[1]APREPER!K13</f>
        <v>0</v>
      </c>
      <c r="CN7" s="60" t="str">
        <f>[1]APREPER!L13</f>
        <v>x</v>
      </c>
      <c r="CO7" s="60">
        <f>[1]APREPER!M13</f>
        <v>0</v>
      </c>
      <c r="CP7" s="60">
        <f>[1]APREPER!N13</f>
        <v>0</v>
      </c>
      <c r="CQ7" s="60" t="str">
        <f>[1]APREPER!O13</f>
        <v>x</v>
      </c>
      <c r="CR7" s="60">
        <f>[1]APREPER!P13</f>
        <v>0</v>
      </c>
      <c r="CS7" s="60">
        <f>[1]APREPER!Q13</f>
        <v>0</v>
      </c>
      <c r="CT7" s="60" t="str">
        <f>[1]APREPER!R13</f>
        <v>x</v>
      </c>
      <c r="CU7" s="60">
        <f>[1]APREPER!S13</f>
        <v>0</v>
      </c>
      <c r="CV7" s="60">
        <f>[1]APREPER!T13</f>
        <v>0</v>
      </c>
      <c r="CW7" s="60" t="str">
        <f>[1]APREPER!U13</f>
        <v>x</v>
      </c>
      <c r="CX7" s="60">
        <f>[1]APREPER!V13</f>
        <v>0</v>
      </c>
      <c r="CY7" s="60">
        <f>[1]APREPER!W13</f>
        <v>0</v>
      </c>
      <c r="CZ7" s="60" t="str">
        <f>[1]APREPER!X13</f>
        <v>x</v>
      </c>
      <c r="DA7" s="60">
        <f>[1]APREPER!Y13</f>
        <v>0</v>
      </c>
      <c r="DB7" s="60">
        <f>[1]APREPER!Z13</f>
        <v>0</v>
      </c>
      <c r="DC7" s="60" t="str">
        <f>[1]APREPER!AA13</f>
        <v>x</v>
      </c>
      <c r="DD7" s="60">
        <f>[1]APREPER!AB13</f>
        <v>0</v>
      </c>
      <c r="DE7" s="60">
        <f>[1]APREPER!AC13</f>
        <v>0</v>
      </c>
      <c r="DF7" s="60" t="str">
        <f>[1]APREPER!AD13</f>
        <v>x</v>
      </c>
      <c r="DG7" s="60">
        <f>[1]APREPER!AE13</f>
        <v>0</v>
      </c>
      <c r="DH7" s="60">
        <f>[1]APREPER!AF13</f>
        <v>0</v>
      </c>
      <c r="DI7" s="60" t="str">
        <f>[1]APREPER!AG13</f>
        <v>x</v>
      </c>
      <c r="DJ7" s="60">
        <f>[1]APREPER!AH13</f>
        <v>0</v>
      </c>
      <c r="DK7" s="60">
        <f>[1]APREPER!AI13</f>
        <v>0</v>
      </c>
      <c r="DL7" s="60" t="str">
        <f>[1]APREPER!AJ13</f>
        <v>A</v>
      </c>
      <c r="DM7" s="61" t="str">
        <f>[1]APREPPFF!I13</f>
        <v>x</v>
      </c>
      <c r="DN7" s="61">
        <f>[1]APREPPFF!J13</f>
        <v>0</v>
      </c>
      <c r="DO7" s="61">
        <f>[1]APREPPFF!K13</f>
        <v>0</v>
      </c>
      <c r="DP7" s="61" t="str">
        <f>[1]APREPPFF!L13</f>
        <v>x</v>
      </c>
      <c r="DQ7" s="61">
        <f>[1]APREPPFF!M13</f>
        <v>0</v>
      </c>
      <c r="DR7" s="61">
        <f>[1]APREPPFF!N13</f>
        <v>0</v>
      </c>
      <c r="DS7" s="61" t="str">
        <f>[1]APREPPFF!O13</f>
        <v>x</v>
      </c>
      <c r="DT7" s="61">
        <f>[1]APREPPFF!P13</f>
        <v>0</v>
      </c>
      <c r="DU7" s="61">
        <f>[1]APREPPFF!Q13</f>
        <v>0</v>
      </c>
      <c r="DV7" s="61" t="str">
        <f>[1]APREPPFF!R13</f>
        <v>x</v>
      </c>
      <c r="DW7" s="61">
        <f>[1]APREPPFF!S13</f>
        <v>0</v>
      </c>
      <c r="DX7" s="61">
        <f>[1]APREPPFF!T13</f>
        <v>0</v>
      </c>
      <c r="DY7" s="61" t="str">
        <f>[1]APREPPFF!U13</f>
        <v>A</v>
      </c>
      <c r="DZ7" s="60">
        <f>[1]ASISTEN!$BR$4</f>
        <v>47</v>
      </c>
      <c r="EA7" s="62">
        <f>[1]ASISTEN!BS15</f>
        <v>1</v>
      </c>
      <c r="EB7" s="60">
        <f>[1]ASISTEN!BO15</f>
        <v>47</v>
      </c>
      <c r="EC7" s="63">
        <f>[1]ASISTEN!BP15</f>
        <v>0</v>
      </c>
      <c r="ED7" s="64">
        <f>[1]ASISTEN!BQ15</f>
        <v>0</v>
      </c>
      <c r="EE7" s="64">
        <f>[1]ASISTEN!BR15</f>
        <v>0</v>
      </c>
      <c r="EF7" s="64" t="str">
        <f>[1]APREPER!AM13</f>
        <v>El estudiante demuestra un buen desempeño académico, es responsable, participativo y organizado. Se sugiere continuar con el mismo compromiso para mantener y fortalecer sus aprendizajes.</v>
      </c>
      <c r="EG7" s="65">
        <f t="shared" si="0"/>
        <v>161</v>
      </c>
      <c r="EH7" s="65">
        <f t="shared" si="1"/>
        <v>2</v>
      </c>
      <c r="EI7" s="66">
        <f t="shared" si="2"/>
        <v>2</v>
      </c>
      <c r="EJ7" s="66">
        <f t="shared" si="3"/>
        <v>72</v>
      </c>
      <c r="EK7" s="66">
        <f t="shared" si="4"/>
        <v>11</v>
      </c>
    </row>
    <row r="8" spans="1:141">
      <c r="A8" s="56" t="s">
        <v>25</v>
      </c>
      <c r="B8" s="57" t="str">
        <f>[1]MAT!C16</f>
        <v>CONDORI GOMEZ JOHANNA NIKOL</v>
      </c>
      <c r="C8" s="58" t="str">
        <f>[1]MAT!N16</f>
        <v>B</v>
      </c>
      <c r="D8" s="59" t="str">
        <f>[1]MAT!AH16</f>
        <v>A</v>
      </c>
      <c r="E8" s="59" t="str">
        <f>[1]MAT!AZ16</f>
        <v>A</v>
      </c>
      <c r="F8" s="59" t="str">
        <f>[1]MAT!R16</f>
        <v>B</v>
      </c>
      <c r="G8" s="59" t="str">
        <f>[1]MAT!AL16</f>
        <v>A</v>
      </c>
      <c r="H8" s="59" t="str">
        <f>[1]MAT!BA16</f>
        <v>A</v>
      </c>
      <c r="I8" s="59" t="str">
        <f>[1]MAT!V16</f>
        <v>B</v>
      </c>
      <c r="J8" s="59" t="str">
        <f>[1]MAT!AP16</f>
        <v>B</v>
      </c>
      <c r="K8" s="59" t="str">
        <f>[1]MAT!BB16</f>
        <v>B</v>
      </c>
      <c r="L8" s="59" t="str">
        <f>[1]MAT!Z16</f>
        <v>B</v>
      </c>
      <c r="M8" s="59" t="str">
        <f>[1]MAT!AT16</f>
        <v>B</v>
      </c>
      <c r="N8" s="59" t="str">
        <f>[1]MAT!BC16</f>
        <v>B</v>
      </c>
      <c r="O8" s="59" t="str">
        <f>[1]CSOC!N16</f>
        <v>A</v>
      </c>
      <c r="P8" s="59" t="str">
        <f>[1]CSOC!AH16</f>
        <v>A</v>
      </c>
      <c r="Q8" s="59" t="str">
        <f>[1]CSOC!AZ16</f>
        <v>A</v>
      </c>
      <c r="R8" s="59" t="str">
        <f>[1]CSOC!R16</f>
        <v>A</v>
      </c>
      <c r="S8" s="59" t="str">
        <f>[1]CSOC!AL16</f>
        <v>A</v>
      </c>
      <c r="T8" s="59" t="str">
        <f>[1]CSOC!BA16</f>
        <v>A</v>
      </c>
      <c r="U8" s="59" t="str">
        <f>[1]CSOC!V16</f>
        <v>A</v>
      </c>
      <c r="V8" s="59" t="str">
        <f>[1]CSOC!AP16</f>
        <v>B</v>
      </c>
      <c r="W8" s="59" t="str">
        <f>[1]CSOC!BB16</f>
        <v>A</v>
      </c>
      <c r="X8" s="59" t="str">
        <f>[1]EFIS!N16</f>
        <v>A</v>
      </c>
      <c r="Y8" s="59" t="str">
        <f>[1]EFIS!AH16</f>
        <v>A</v>
      </c>
      <c r="Z8" s="59" t="str">
        <f>[1]EFIS!AZ16</f>
        <v>A</v>
      </c>
      <c r="AA8" s="59" t="str">
        <f>[1]EFIS!R16</f>
        <v>A</v>
      </c>
      <c r="AB8" s="59" t="str">
        <f>[1]EFIS!AL16</f>
        <v>A</v>
      </c>
      <c r="AC8" s="59" t="str">
        <f>[1]EFIS!BA16</f>
        <v>A</v>
      </c>
      <c r="AD8" s="59" t="str">
        <f>[1]EFIS!V16</f>
        <v>A</v>
      </c>
      <c r="AE8" s="59" t="str">
        <f>[1]EFIS!AP16</f>
        <v>A</v>
      </c>
      <c r="AF8" s="59" t="str">
        <f>[1]EFIS!BB16</f>
        <v>A</v>
      </c>
      <c r="AG8" s="59" t="str">
        <f>[1]DPCC!N16</f>
        <v>A</v>
      </c>
      <c r="AH8" s="59" t="str">
        <f>[1]DPCC!AH16</f>
        <v>A</v>
      </c>
      <c r="AI8" s="59" t="str">
        <f>[1]DPCC!AZ16</f>
        <v>A</v>
      </c>
      <c r="AJ8" s="59" t="str">
        <f>[1]DPCC!R16</f>
        <v>A</v>
      </c>
      <c r="AK8" s="59" t="str">
        <f>[1]DPCC!AL16</f>
        <v>A</v>
      </c>
      <c r="AL8" s="59" t="str">
        <f>[1]DPCC!BA16</f>
        <v>A</v>
      </c>
      <c r="AM8" s="59" t="str">
        <f>[1]ARTE!N16</f>
        <v>A</v>
      </c>
      <c r="AN8" s="59" t="str">
        <f>[1]ARTE!AH16</f>
        <v>A</v>
      </c>
      <c r="AO8" s="59" t="str">
        <f>[1]ARTE!AZ16</f>
        <v>A</v>
      </c>
      <c r="AP8" s="59" t="str">
        <f>[1]ARTE!R16</f>
        <v>A</v>
      </c>
      <c r="AQ8" s="59" t="str">
        <f>[1]ARTE!AL16</f>
        <v>A</v>
      </c>
      <c r="AR8" s="59" t="str">
        <f>[1]ARTE!BA16</f>
        <v>A</v>
      </c>
      <c r="AS8" s="59" t="str">
        <f>[1]COMU!N16</f>
        <v>A</v>
      </c>
      <c r="AT8" s="59" t="str">
        <f>[1]COMU!AH16</f>
        <v>B</v>
      </c>
      <c r="AU8" s="59" t="str">
        <f>[1]COMU!AZ16</f>
        <v>A</v>
      </c>
      <c r="AV8" s="59" t="str">
        <f>[1]COMU!R16</f>
        <v>A</v>
      </c>
      <c r="AW8" s="59" t="str">
        <f>[1]COMU!AL16</f>
        <v>A</v>
      </c>
      <c r="AX8" s="59" t="str">
        <f>[1]COMU!BA16</f>
        <v>A</v>
      </c>
      <c r="AY8" s="59" t="str">
        <f>[1]COMU!V16</f>
        <v>A</v>
      </c>
      <c r="AZ8" s="59" t="str">
        <f>[1]COMU!AP16</f>
        <v>A</v>
      </c>
      <c r="BA8" s="59" t="str">
        <f>[1]COMU!BB16</f>
        <v>A</v>
      </c>
      <c r="BB8" s="59" t="str">
        <f>[1]CTEC!N16</f>
        <v>A</v>
      </c>
      <c r="BC8" s="59" t="str">
        <f>[1]CTEC!AH16</f>
        <v>A</v>
      </c>
      <c r="BD8" s="59" t="str">
        <f>[1]CTEC!AZ16</f>
        <v>A</v>
      </c>
      <c r="BE8" s="59" t="str">
        <f>[1]CTEC!R16</f>
        <v>A</v>
      </c>
      <c r="BF8" s="59" t="str">
        <f>[1]CTEC!AL16</f>
        <v>B</v>
      </c>
      <c r="BG8" s="59" t="str">
        <f>[1]CTEC!BA16</f>
        <v>A</v>
      </c>
      <c r="BH8" s="59" t="str">
        <f>[1]CTEC!V16</f>
        <v>B</v>
      </c>
      <c r="BI8" s="59" t="str">
        <f>[1]CTEC!AP16</f>
        <v>B</v>
      </c>
      <c r="BJ8" s="59" t="str">
        <f>[1]CTEC!BB16</f>
        <v>B</v>
      </c>
      <c r="BK8" s="59" t="str">
        <f>[1]ING!N16</f>
        <v>A</v>
      </c>
      <c r="BL8" s="59" t="str">
        <f>[1]ING!AH16</f>
        <v>A</v>
      </c>
      <c r="BM8" s="59" t="str">
        <f>[1]ING!AZ16</f>
        <v>A</v>
      </c>
      <c r="BN8" s="59" t="str">
        <f>[1]ING!R16</f>
        <v>A</v>
      </c>
      <c r="BO8" s="59" t="str">
        <f>[1]ING!AL16</f>
        <v>A</v>
      </c>
      <c r="BP8" s="59" t="str">
        <f>[1]ING!BA16</f>
        <v>A</v>
      </c>
      <c r="BQ8" s="59" t="str">
        <f>[1]ING!V16</f>
        <v>A</v>
      </c>
      <c r="BR8" s="59" t="str">
        <f>[1]ING!AP16</f>
        <v>A</v>
      </c>
      <c r="BS8" s="59" t="str">
        <f>[1]ING!BB16</f>
        <v>A</v>
      </c>
      <c r="BT8" s="59" t="str">
        <f>[1]REL!N16</f>
        <v>A</v>
      </c>
      <c r="BU8" s="59" t="str">
        <f>[1]REL!AH16</f>
        <v>A</v>
      </c>
      <c r="BV8" s="59" t="str">
        <f>[1]REL!AZ16</f>
        <v>A</v>
      </c>
      <c r="BW8" s="59" t="str">
        <f>[1]REL!R16</f>
        <v>A</v>
      </c>
      <c r="BX8" s="59" t="str">
        <f>[1]REL!AL16</f>
        <v>A</v>
      </c>
      <c r="BY8" s="59" t="str">
        <f>[1]REL!BA16</f>
        <v>A</v>
      </c>
      <c r="BZ8" s="59" t="str">
        <f>[1]EMPR!N16</f>
        <v>A</v>
      </c>
      <c r="CA8" s="59" t="str">
        <f>[1]EMPR!AH16</f>
        <v>A</v>
      </c>
      <c r="CB8" s="59" t="str">
        <f>[1]EMPR!AZ16</f>
        <v>A</v>
      </c>
      <c r="CC8" s="59" t="str">
        <f>[1]COMPU!N16</f>
        <v>A</v>
      </c>
      <c r="CD8" s="59" t="str">
        <f>[1]COMPU!AH16</f>
        <v>A</v>
      </c>
      <c r="CE8" s="59" t="str">
        <f>[1]COMPU!AZ16</f>
        <v>A</v>
      </c>
      <c r="CF8" s="59" t="str">
        <f>[1]ROBOTI!N16</f>
        <v>A</v>
      </c>
      <c r="CG8" s="59" t="str">
        <f>[1]ROBOTI!AH16</f>
        <v>A</v>
      </c>
      <c r="CH8" s="59" t="str">
        <f>[1]ROBOTI!AZ16</f>
        <v>A</v>
      </c>
      <c r="CI8" s="60" t="str">
        <f>[1]APREPER!AK14</f>
        <v>A</v>
      </c>
      <c r="CJ8" s="60" t="str">
        <f>[1]APREPER!AL14</f>
        <v>A</v>
      </c>
      <c r="CK8" s="60" t="str">
        <f>[1]APREPER!I14</f>
        <v>x</v>
      </c>
      <c r="CL8" s="60">
        <f>[1]APREPER!J14</f>
        <v>0</v>
      </c>
      <c r="CM8" s="60">
        <f>[1]APREPER!K14</f>
        <v>0</v>
      </c>
      <c r="CN8" s="60">
        <f>[1]APREPER!L14</f>
        <v>0</v>
      </c>
      <c r="CO8" s="60" t="str">
        <f>[1]APREPER!M14</f>
        <v>x</v>
      </c>
      <c r="CP8" s="60">
        <f>[1]APREPER!N14</f>
        <v>0</v>
      </c>
      <c r="CQ8" s="60" t="str">
        <f>[1]APREPER!O14</f>
        <v>x</v>
      </c>
      <c r="CR8" s="60">
        <f>[1]APREPER!P14</f>
        <v>0</v>
      </c>
      <c r="CS8" s="60">
        <f>[1]APREPER!Q14</f>
        <v>0</v>
      </c>
      <c r="CT8" s="60" t="str">
        <f>[1]APREPER!R14</f>
        <v>x</v>
      </c>
      <c r="CU8" s="60">
        <f>[1]APREPER!S14</f>
        <v>0</v>
      </c>
      <c r="CV8" s="60">
        <f>[1]APREPER!T14</f>
        <v>0</v>
      </c>
      <c r="CW8" s="60" t="str">
        <f>[1]APREPER!U14</f>
        <v>x</v>
      </c>
      <c r="CX8" s="60">
        <f>[1]APREPER!V14</f>
        <v>0</v>
      </c>
      <c r="CY8" s="60">
        <f>[1]APREPER!W14</f>
        <v>0</v>
      </c>
      <c r="CZ8" s="60">
        <f>[1]APREPER!X14</f>
        <v>0</v>
      </c>
      <c r="DA8" s="60" t="str">
        <f>[1]APREPER!Y14</f>
        <v>x</v>
      </c>
      <c r="DB8" s="60">
        <f>[1]APREPER!Z14</f>
        <v>0</v>
      </c>
      <c r="DC8" s="60" t="str">
        <f>[1]APREPER!AA14</f>
        <v>x</v>
      </c>
      <c r="DD8" s="60">
        <f>[1]APREPER!AB14</f>
        <v>0</v>
      </c>
      <c r="DE8" s="60">
        <f>[1]APREPER!AC14</f>
        <v>0</v>
      </c>
      <c r="DF8" s="60" t="str">
        <f>[1]APREPER!AD14</f>
        <v>x</v>
      </c>
      <c r="DG8" s="60">
        <f>[1]APREPER!AE14</f>
        <v>0</v>
      </c>
      <c r="DH8" s="60">
        <f>[1]APREPER!AF14</f>
        <v>0</v>
      </c>
      <c r="DI8" s="60" t="str">
        <f>[1]APREPER!AG14</f>
        <v>x</v>
      </c>
      <c r="DJ8" s="60">
        <f>[1]APREPER!AH14</f>
        <v>0</v>
      </c>
      <c r="DK8" s="60">
        <f>[1]APREPER!AI14</f>
        <v>0</v>
      </c>
      <c r="DL8" s="60" t="str">
        <f>[1]APREPER!AJ14</f>
        <v>A</v>
      </c>
      <c r="DM8" s="61">
        <f>[1]APREPPFF!I14</f>
        <v>0</v>
      </c>
      <c r="DN8" s="61" t="str">
        <f>[1]APREPPFF!J14</f>
        <v>x</v>
      </c>
      <c r="DO8" s="61">
        <f>[1]APREPPFF!K14</f>
        <v>0</v>
      </c>
      <c r="DP8" s="61" t="str">
        <f>[1]APREPPFF!L14</f>
        <v>x</v>
      </c>
      <c r="DQ8" s="61">
        <f>[1]APREPPFF!M14</f>
        <v>0</v>
      </c>
      <c r="DR8" s="61">
        <f>[1]APREPPFF!N14</f>
        <v>0</v>
      </c>
      <c r="DS8" s="61" t="str">
        <f>[1]APREPPFF!O14</f>
        <v>x</v>
      </c>
      <c r="DT8" s="61">
        <f>[1]APREPPFF!P14</f>
        <v>0</v>
      </c>
      <c r="DU8" s="61">
        <f>[1]APREPPFF!Q14</f>
        <v>0</v>
      </c>
      <c r="DV8" s="61" t="str">
        <f>[1]APREPPFF!R14</f>
        <v>x</v>
      </c>
      <c r="DW8" s="61">
        <f>[1]APREPPFF!S14</f>
        <v>0</v>
      </c>
      <c r="DX8" s="61">
        <f>[1]APREPPFF!T14</f>
        <v>0</v>
      </c>
      <c r="DY8" s="61" t="str">
        <f>[1]APREPPFF!U14</f>
        <v>A</v>
      </c>
      <c r="DZ8" s="60">
        <f>[1]ASISTEN!$BR$4</f>
        <v>47</v>
      </c>
      <c r="EA8" s="62">
        <f>[1]ASISTEN!BS16</f>
        <v>1</v>
      </c>
      <c r="EB8" s="60">
        <f>[1]ASISTEN!BO16</f>
        <v>42</v>
      </c>
      <c r="EC8" s="63">
        <f>[1]ASISTEN!BP16</f>
        <v>5</v>
      </c>
      <c r="ED8" s="64">
        <f>[1]ASISTEN!BQ16</f>
        <v>0</v>
      </c>
      <c r="EE8" s="64">
        <f>[1]ASISTEN!BR16</f>
        <v>0</v>
      </c>
      <c r="EF8" s="64" t="str">
        <f>[1]APREPER!AM14</f>
        <v>Tienes una excelente capacidad de análisis, sus respuestas son bien fundamentadas. Necesita prepararse para sus evaluaciones.</v>
      </c>
      <c r="EG8" s="65">
        <f t="shared" si="0"/>
        <v>156</v>
      </c>
      <c r="EH8" s="65">
        <f t="shared" si="1"/>
        <v>3</v>
      </c>
      <c r="EI8" s="66">
        <f t="shared" si="2"/>
        <v>0</v>
      </c>
      <c r="EJ8" s="66">
        <f t="shared" si="3"/>
        <v>71</v>
      </c>
      <c r="EK8" s="66">
        <f t="shared" si="4"/>
        <v>14</v>
      </c>
    </row>
    <row r="9" spans="1:141">
      <c r="A9" s="56" t="s">
        <v>26</v>
      </c>
      <c r="B9" s="57" t="str">
        <f>[1]MAT!C17</f>
        <v>FLORES MAQUERA DHANA LUCIANA</v>
      </c>
      <c r="C9" s="58" t="str">
        <f>[1]MAT!N17</f>
        <v>B</v>
      </c>
      <c r="D9" s="59" t="str">
        <f>[1]MAT!AH17</f>
        <v>A</v>
      </c>
      <c r="E9" s="59" t="str">
        <f>[1]MAT!AZ17</f>
        <v>A</v>
      </c>
      <c r="F9" s="59" t="str">
        <f>[1]MAT!R17</f>
        <v>B</v>
      </c>
      <c r="G9" s="59" t="str">
        <f>[1]MAT!AL17</f>
        <v>B</v>
      </c>
      <c r="H9" s="59" t="str">
        <f>[1]MAT!BA17</f>
        <v>B</v>
      </c>
      <c r="I9" s="59" t="str">
        <f>[1]MAT!V17</f>
        <v>A</v>
      </c>
      <c r="J9" s="59" t="str">
        <f>[1]MAT!AP17</f>
        <v>B</v>
      </c>
      <c r="K9" s="59" t="str">
        <f>[1]MAT!BB17</f>
        <v>A</v>
      </c>
      <c r="L9" s="59" t="str">
        <f>[1]MAT!Z17</f>
        <v>A</v>
      </c>
      <c r="M9" s="59" t="str">
        <f>[1]MAT!AT17</f>
        <v>B</v>
      </c>
      <c r="N9" s="59" t="str">
        <f>[1]MAT!BC17</f>
        <v>A</v>
      </c>
      <c r="O9" s="59" t="str">
        <f>[1]CSOC!N17</f>
        <v>A</v>
      </c>
      <c r="P9" s="59" t="str">
        <f>[1]CSOC!AH17</f>
        <v>A</v>
      </c>
      <c r="Q9" s="59" t="str">
        <f>[1]CSOC!AZ17</f>
        <v>A</v>
      </c>
      <c r="R9" s="59" t="str">
        <f>[1]CSOC!R17</f>
        <v>A</v>
      </c>
      <c r="S9" s="59" t="str">
        <f>[1]CSOC!AL17</f>
        <v>A</v>
      </c>
      <c r="T9" s="59" t="str">
        <f>[1]CSOC!BA17</f>
        <v>A</v>
      </c>
      <c r="U9" s="59" t="str">
        <f>[1]CSOC!V17</f>
        <v>A</v>
      </c>
      <c r="V9" s="59" t="str">
        <f>[1]CSOC!AP17</f>
        <v>B</v>
      </c>
      <c r="W9" s="59" t="str">
        <f>[1]CSOC!BB17</f>
        <v>A</v>
      </c>
      <c r="X9" s="59" t="str">
        <f>[1]EFIS!N17</f>
        <v>A</v>
      </c>
      <c r="Y9" s="59" t="str">
        <f>[1]EFIS!AH17</f>
        <v>A</v>
      </c>
      <c r="Z9" s="59" t="str">
        <f>[1]EFIS!AZ17</f>
        <v>A</v>
      </c>
      <c r="AA9" s="59" t="str">
        <f>[1]EFIS!R17</f>
        <v>A</v>
      </c>
      <c r="AB9" s="59" t="str">
        <f>[1]EFIS!AL17</f>
        <v>A</v>
      </c>
      <c r="AC9" s="59" t="str">
        <f>[1]EFIS!BA17</f>
        <v>A</v>
      </c>
      <c r="AD9" s="59" t="str">
        <f>[1]EFIS!V17</f>
        <v>A</v>
      </c>
      <c r="AE9" s="59" t="str">
        <f>[1]EFIS!AP17</f>
        <v>A</v>
      </c>
      <c r="AF9" s="59" t="str">
        <f>[1]EFIS!BB17</f>
        <v>A</v>
      </c>
      <c r="AG9" s="59" t="str">
        <f>[1]DPCC!N17</f>
        <v>A</v>
      </c>
      <c r="AH9" s="59" t="str">
        <f>[1]DPCC!AH17</f>
        <v>A</v>
      </c>
      <c r="AI9" s="59" t="str">
        <f>[1]DPCC!AZ17</f>
        <v>A</v>
      </c>
      <c r="AJ9" s="59" t="str">
        <f>[1]DPCC!R17</f>
        <v>A</v>
      </c>
      <c r="AK9" s="59" t="str">
        <f>[1]DPCC!AL17</f>
        <v>A</v>
      </c>
      <c r="AL9" s="59" t="str">
        <f>[1]DPCC!BA17</f>
        <v>A</v>
      </c>
      <c r="AM9" s="59" t="str">
        <f>[1]ARTE!N17</f>
        <v>A</v>
      </c>
      <c r="AN9" s="59" t="str">
        <f>[1]ARTE!AH17</f>
        <v>A</v>
      </c>
      <c r="AO9" s="59" t="str">
        <f>[1]ARTE!AZ17</f>
        <v>A</v>
      </c>
      <c r="AP9" s="59" t="str">
        <f>[1]ARTE!R17</f>
        <v>A</v>
      </c>
      <c r="AQ9" s="59" t="str">
        <f>[1]ARTE!AL17</f>
        <v>A</v>
      </c>
      <c r="AR9" s="59" t="str">
        <f>[1]ARTE!BA17</f>
        <v>A</v>
      </c>
      <c r="AS9" s="59" t="str">
        <f>[1]COMU!N17</f>
        <v>A</v>
      </c>
      <c r="AT9" s="59" t="str">
        <f>[1]COMU!AH17</f>
        <v>B</v>
      </c>
      <c r="AU9" s="59" t="str">
        <f>[1]COMU!AZ17</f>
        <v>A</v>
      </c>
      <c r="AV9" s="59" t="str">
        <f>[1]COMU!R17</f>
        <v>A</v>
      </c>
      <c r="AW9" s="59" t="str">
        <f>[1]COMU!AL17</f>
        <v>A</v>
      </c>
      <c r="AX9" s="59" t="str">
        <f>[1]COMU!BA17</f>
        <v>A</v>
      </c>
      <c r="AY9" s="59" t="str">
        <f>[1]COMU!V17</f>
        <v>A</v>
      </c>
      <c r="AZ9" s="59" t="str">
        <f>[1]COMU!AP17</f>
        <v>A</v>
      </c>
      <c r="BA9" s="59" t="str">
        <f>[1]COMU!BB17</f>
        <v>A</v>
      </c>
      <c r="BB9" s="59" t="str">
        <f>[1]CTEC!N17</f>
        <v>B</v>
      </c>
      <c r="BC9" s="59" t="str">
        <f>[1]CTEC!AH17</f>
        <v>A</v>
      </c>
      <c r="BD9" s="59" t="str">
        <f>[1]CTEC!AZ17</f>
        <v>A</v>
      </c>
      <c r="BE9" s="59" t="str">
        <f>[1]CTEC!R17</f>
        <v>B</v>
      </c>
      <c r="BF9" s="59" t="str">
        <f>[1]CTEC!AL17</f>
        <v>B</v>
      </c>
      <c r="BG9" s="59" t="str">
        <f>[1]CTEC!BA17</f>
        <v>B</v>
      </c>
      <c r="BH9" s="59" t="str">
        <f>[1]CTEC!V17</f>
        <v>A</v>
      </c>
      <c r="BI9" s="59" t="str">
        <f>[1]CTEC!AP17</f>
        <v>B</v>
      </c>
      <c r="BJ9" s="59" t="str">
        <f>[1]CTEC!BB17</f>
        <v>A</v>
      </c>
      <c r="BK9" s="59" t="str">
        <f>[1]ING!N17</f>
        <v>A</v>
      </c>
      <c r="BL9" s="59" t="str">
        <f>[1]ING!AH17</f>
        <v>A</v>
      </c>
      <c r="BM9" s="59" t="str">
        <f>[1]ING!AZ17</f>
        <v>A</v>
      </c>
      <c r="BN9" s="59" t="str">
        <f>[1]ING!R17</f>
        <v>A</v>
      </c>
      <c r="BO9" s="59" t="str">
        <f>[1]ING!AL17</f>
        <v>A</v>
      </c>
      <c r="BP9" s="59" t="str">
        <f>[1]ING!BA17</f>
        <v>A</v>
      </c>
      <c r="BQ9" s="59" t="str">
        <f>[1]ING!V17</f>
        <v>A</v>
      </c>
      <c r="BR9" s="59" t="str">
        <f>[1]ING!AP17</f>
        <v>A</v>
      </c>
      <c r="BS9" s="59" t="str">
        <f>[1]ING!BB17</f>
        <v>A</v>
      </c>
      <c r="BT9" s="59" t="str">
        <f>[1]REL!N17</f>
        <v>A</v>
      </c>
      <c r="BU9" s="59" t="str">
        <f>[1]REL!AH17</f>
        <v>A</v>
      </c>
      <c r="BV9" s="59" t="str">
        <f>[1]REL!AZ17</f>
        <v>A</v>
      </c>
      <c r="BW9" s="59" t="str">
        <f>[1]REL!R17</f>
        <v>A</v>
      </c>
      <c r="BX9" s="59" t="str">
        <f>[1]REL!AL17</f>
        <v>B</v>
      </c>
      <c r="BY9" s="59" t="str">
        <f>[1]REL!BA17</f>
        <v>A</v>
      </c>
      <c r="BZ9" s="59" t="str">
        <f>[1]EMPR!N17</f>
        <v>A</v>
      </c>
      <c r="CA9" s="59" t="str">
        <f>[1]EMPR!AH17</f>
        <v>A</v>
      </c>
      <c r="CB9" s="59" t="str">
        <f>[1]EMPR!AZ17</f>
        <v>A</v>
      </c>
      <c r="CC9" s="59" t="str">
        <f>[1]COMPU!N17</f>
        <v>A</v>
      </c>
      <c r="CD9" s="59" t="str">
        <f>[1]COMPU!AH17</f>
        <v>A</v>
      </c>
      <c r="CE9" s="59" t="str">
        <f>[1]COMPU!AZ17</f>
        <v>A</v>
      </c>
      <c r="CF9" s="59" t="str">
        <f>[1]ROBOTI!N17</f>
        <v>A</v>
      </c>
      <c r="CG9" s="59" t="str">
        <f>[1]ROBOTI!AH17</f>
        <v>A</v>
      </c>
      <c r="CH9" s="59" t="str">
        <f>[1]ROBOTI!AZ17</f>
        <v>A</v>
      </c>
      <c r="CI9" s="60" t="str">
        <f>[1]APREPER!AK15</f>
        <v>A</v>
      </c>
      <c r="CJ9" s="60" t="str">
        <f>[1]APREPER!AL15</f>
        <v>A</v>
      </c>
      <c r="CK9" s="60">
        <f>[1]APREPER!I15</f>
        <v>0</v>
      </c>
      <c r="CL9" s="60" t="str">
        <f>[1]APREPER!J15</f>
        <v>x</v>
      </c>
      <c r="CM9" s="60">
        <f>[1]APREPER!K15</f>
        <v>0</v>
      </c>
      <c r="CN9" s="60">
        <f>[1]APREPER!L15</f>
        <v>0</v>
      </c>
      <c r="CO9" s="60" t="str">
        <f>[1]APREPER!M15</f>
        <v>x</v>
      </c>
      <c r="CP9" s="60">
        <f>[1]APREPER!N15</f>
        <v>0</v>
      </c>
      <c r="CQ9" s="60" t="str">
        <f>[1]APREPER!O15</f>
        <v>x</v>
      </c>
      <c r="CR9" s="60">
        <f>[1]APREPER!P15</f>
        <v>0</v>
      </c>
      <c r="CS9" s="60">
        <f>[1]APREPER!Q15</f>
        <v>0</v>
      </c>
      <c r="CT9" s="60" t="str">
        <f>[1]APREPER!R15</f>
        <v>x</v>
      </c>
      <c r="CU9" s="60">
        <f>[1]APREPER!S15</f>
        <v>0</v>
      </c>
      <c r="CV9" s="60">
        <f>[1]APREPER!T15</f>
        <v>0</v>
      </c>
      <c r="CW9" s="60" t="str">
        <f>[1]APREPER!U15</f>
        <v>x</v>
      </c>
      <c r="CX9" s="60">
        <f>[1]APREPER!V15</f>
        <v>0</v>
      </c>
      <c r="CY9" s="60">
        <f>[1]APREPER!W15</f>
        <v>0</v>
      </c>
      <c r="CZ9" s="60">
        <f>[1]APREPER!X15</f>
        <v>0</v>
      </c>
      <c r="DA9" s="60" t="str">
        <f>[1]APREPER!Y15</f>
        <v>x</v>
      </c>
      <c r="DB9" s="60">
        <f>[1]APREPER!Z15</f>
        <v>0</v>
      </c>
      <c r="DC9" s="60" t="str">
        <f>[1]APREPER!AA15</f>
        <v>x</v>
      </c>
      <c r="DD9" s="60">
        <f>[1]APREPER!AB15</f>
        <v>0</v>
      </c>
      <c r="DE9" s="60">
        <f>[1]APREPER!AC15</f>
        <v>0</v>
      </c>
      <c r="DF9" s="60" t="str">
        <f>[1]APREPER!AD15</f>
        <v>x</v>
      </c>
      <c r="DG9" s="60">
        <f>[1]APREPER!AE15</f>
        <v>0</v>
      </c>
      <c r="DH9" s="60">
        <f>[1]APREPER!AF15</f>
        <v>0</v>
      </c>
      <c r="DI9" s="60" t="str">
        <f>[1]APREPER!AG15</f>
        <v>x</v>
      </c>
      <c r="DJ9" s="60">
        <f>[1]APREPER!AH15</f>
        <v>0</v>
      </c>
      <c r="DK9" s="60">
        <f>[1]APREPER!AI15</f>
        <v>0</v>
      </c>
      <c r="DL9" s="60" t="str">
        <f>[1]APREPER!AJ15</f>
        <v>A</v>
      </c>
      <c r="DM9" s="61">
        <f>[1]APREPPFF!I15</f>
        <v>0</v>
      </c>
      <c r="DN9" s="61" t="str">
        <f>[1]APREPPFF!J15</f>
        <v>x</v>
      </c>
      <c r="DO9" s="61">
        <f>[1]APREPPFF!K15</f>
        <v>0</v>
      </c>
      <c r="DP9" s="61">
        <f>[1]APREPPFF!L15</f>
        <v>0</v>
      </c>
      <c r="DQ9" s="61" t="str">
        <f>[1]APREPPFF!M15</f>
        <v>x</v>
      </c>
      <c r="DR9" s="61">
        <f>[1]APREPPFF!N15</f>
        <v>0</v>
      </c>
      <c r="DS9" s="61">
        <f>[1]APREPPFF!O15</f>
        <v>0</v>
      </c>
      <c r="DT9" s="61" t="str">
        <f>[1]APREPPFF!P15</f>
        <v>x</v>
      </c>
      <c r="DU9" s="61">
        <f>[1]APREPPFF!Q15</f>
        <v>0</v>
      </c>
      <c r="DV9" s="61">
        <f>[1]APREPPFF!R15</f>
        <v>0</v>
      </c>
      <c r="DW9" s="61" t="str">
        <f>[1]APREPPFF!S15</f>
        <v>x</v>
      </c>
      <c r="DX9" s="61">
        <f>[1]APREPPFF!T15</f>
        <v>0</v>
      </c>
      <c r="DY9" s="61" t="str">
        <f>[1]APREPPFF!U15</f>
        <v>B</v>
      </c>
      <c r="DZ9" s="60">
        <f>[1]ASISTEN!$BR$4</f>
        <v>47</v>
      </c>
      <c r="EA9" s="62">
        <f>[1]ASISTEN!BS17</f>
        <v>0.97872340425531912</v>
      </c>
      <c r="EB9" s="60">
        <f>[1]ASISTEN!BO17</f>
        <v>43</v>
      </c>
      <c r="EC9" s="63">
        <f>[1]ASISTEN!BP17</f>
        <v>2</v>
      </c>
      <c r="ED9" s="64">
        <f>[1]ASISTEN!BQ17</f>
        <v>1</v>
      </c>
      <c r="EE9" s="64">
        <f>[1]ASISTEN!BR17</f>
        <v>1</v>
      </c>
      <c r="EF9" s="64" t="str">
        <f>[1]APREPER!AM15</f>
        <v>Es muy colaborativa, a ayudar a tus compañeros, se destaca la creatividad en sus trabajos. Tiene que reforzar en las áreas de ciencia y matemáticas</v>
      </c>
      <c r="EG9" s="65">
        <f t="shared" si="0"/>
        <v>156</v>
      </c>
      <c r="EH9" s="65">
        <f t="shared" si="1"/>
        <v>3</v>
      </c>
      <c r="EI9" s="66">
        <f t="shared" si="2"/>
        <v>0</v>
      </c>
      <c r="EJ9" s="66">
        <f t="shared" si="3"/>
        <v>71</v>
      </c>
      <c r="EK9" s="66">
        <f t="shared" si="4"/>
        <v>14</v>
      </c>
    </row>
    <row r="10" spans="1:141">
      <c r="A10" s="56" t="s">
        <v>27</v>
      </c>
      <c r="B10" s="57" t="str">
        <f>[1]MAT!C18</f>
        <v>MARÍN AQUINO BETZABETH EDALID</v>
      </c>
      <c r="C10" s="58" t="str">
        <f>[1]MAT!N18</f>
        <v>B</v>
      </c>
      <c r="D10" s="59" t="str">
        <f>[1]MAT!AH18</f>
        <v>A</v>
      </c>
      <c r="E10" s="59" t="str">
        <f>[1]MAT!AZ18</f>
        <v>A</v>
      </c>
      <c r="F10" s="59" t="str">
        <f>[1]MAT!R18</f>
        <v>B</v>
      </c>
      <c r="G10" s="59" t="str">
        <f>[1]MAT!AL18</f>
        <v>B</v>
      </c>
      <c r="H10" s="59" t="str">
        <f>[1]MAT!BA18</f>
        <v>B</v>
      </c>
      <c r="I10" s="59" t="str">
        <f>[1]MAT!V18</f>
        <v>B</v>
      </c>
      <c r="J10" s="59" t="str">
        <f>[1]MAT!AP18</f>
        <v>A</v>
      </c>
      <c r="K10" s="59" t="str">
        <f>[1]MAT!BB18</f>
        <v>A</v>
      </c>
      <c r="L10" s="59" t="str">
        <f>[1]MAT!Z18</f>
        <v>A</v>
      </c>
      <c r="M10" s="59" t="str">
        <f>[1]MAT!AT18</f>
        <v>B</v>
      </c>
      <c r="N10" s="59" t="str">
        <f>[1]MAT!BC18</f>
        <v>A</v>
      </c>
      <c r="O10" s="59" t="str">
        <f>[1]CSOC!N18</f>
        <v>A</v>
      </c>
      <c r="P10" s="59" t="str">
        <f>[1]CSOC!AH18</f>
        <v>A</v>
      </c>
      <c r="Q10" s="59" t="str">
        <f>[1]CSOC!AZ18</f>
        <v>A</v>
      </c>
      <c r="R10" s="59" t="str">
        <f>[1]CSOC!R18</f>
        <v>A</v>
      </c>
      <c r="S10" s="59" t="str">
        <f>[1]CSOC!AL18</f>
        <v>A</v>
      </c>
      <c r="T10" s="59" t="str">
        <f>[1]CSOC!BA18</f>
        <v>A</v>
      </c>
      <c r="U10" s="59" t="str">
        <f>[1]CSOC!V18</f>
        <v>A</v>
      </c>
      <c r="V10" s="59" t="str">
        <f>[1]CSOC!AP18</f>
        <v>B</v>
      </c>
      <c r="W10" s="59" t="str">
        <f>[1]CSOC!BB18</f>
        <v>A</v>
      </c>
      <c r="X10" s="59" t="str">
        <f>[1]EFIS!N18</f>
        <v>A</v>
      </c>
      <c r="Y10" s="59" t="str">
        <f>[1]EFIS!AH18</f>
        <v>A</v>
      </c>
      <c r="Z10" s="59" t="str">
        <f>[1]EFIS!AZ18</f>
        <v>A</v>
      </c>
      <c r="AA10" s="59" t="str">
        <f>[1]EFIS!R18</f>
        <v>A</v>
      </c>
      <c r="AB10" s="59" t="str">
        <f>[1]EFIS!AL18</f>
        <v>A</v>
      </c>
      <c r="AC10" s="59" t="str">
        <f>[1]EFIS!BA18</f>
        <v>A</v>
      </c>
      <c r="AD10" s="59" t="str">
        <f>[1]EFIS!V18</f>
        <v>A</v>
      </c>
      <c r="AE10" s="59" t="str">
        <f>[1]EFIS!AP18</f>
        <v>A</v>
      </c>
      <c r="AF10" s="59" t="str">
        <f>[1]EFIS!BB18</f>
        <v>A</v>
      </c>
      <c r="AG10" s="59" t="str">
        <f>[1]DPCC!N18</f>
        <v>A</v>
      </c>
      <c r="AH10" s="59" t="str">
        <f>[1]DPCC!AH18</f>
        <v>A</v>
      </c>
      <c r="AI10" s="59" t="str">
        <f>[1]DPCC!AZ18</f>
        <v>A</v>
      </c>
      <c r="AJ10" s="59" t="str">
        <f>[1]DPCC!R18</f>
        <v>A</v>
      </c>
      <c r="AK10" s="59" t="str">
        <f>[1]DPCC!AL18</f>
        <v>A</v>
      </c>
      <c r="AL10" s="59" t="str">
        <f>[1]DPCC!BA18</f>
        <v>A</v>
      </c>
      <c r="AM10" s="59" t="str">
        <f>[1]ARTE!N18</f>
        <v>A</v>
      </c>
      <c r="AN10" s="59" t="str">
        <f>[1]ARTE!AH18</f>
        <v>A</v>
      </c>
      <c r="AO10" s="59" t="str">
        <f>[1]ARTE!AZ18</f>
        <v>A</v>
      </c>
      <c r="AP10" s="59" t="str">
        <f>[1]ARTE!R18</f>
        <v>A</v>
      </c>
      <c r="AQ10" s="59" t="str">
        <f>[1]ARTE!AL18</f>
        <v>A</v>
      </c>
      <c r="AR10" s="59" t="str">
        <f>[1]ARTE!BA18</f>
        <v>A</v>
      </c>
      <c r="AS10" s="59" t="str">
        <f>[1]COMU!N18</f>
        <v>A</v>
      </c>
      <c r="AT10" s="59" t="str">
        <f>[1]COMU!AH18</f>
        <v>B</v>
      </c>
      <c r="AU10" s="59" t="str">
        <f>[1]COMU!AZ18</f>
        <v>A</v>
      </c>
      <c r="AV10" s="59" t="str">
        <f>[1]COMU!R18</f>
        <v>A</v>
      </c>
      <c r="AW10" s="59" t="str">
        <f>[1]COMU!AL18</f>
        <v>A</v>
      </c>
      <c r="AX10" s="59" t="str">
        <f>[1]COMU!BA18</f>
        <v>A</v>
      </c>
      <c r="AY10" s="59" t="str">
        <f>[1]COMU!V18</f>
        <v>A</v>
      </c>
      <c r="AZ10" s="59" t="str">
        <f>[1]COMU!AP18</f>
        <v>A</v>
      </c>
      <c r="BA10" s="59" t="str">
        <f>[1]COMU!BB18</f>
        <v>A</v>
      </c>
      <c r="BB10" s="59" t="str">
        <f>[1]CTEC!N18</f>
        <v>B</v>
      </c>
      <c r="BC10" s="59" t="str">
        <f>[1]CTEC!AH18</f>
        <v>A</v>
      </c>
      <c r="BD10" s="59" t="str">
        <f>[1]CTEC!AZ18</f>
        <v>A</v>
      </c>
      <c r="BE10" s="59" t="str">
        <f>[1]CTEC!R18</f>
        <v>B</v>
      </c>
      <c r="BF10" s="59" t="str">
        <f>[1]CTEC!AL18</f>
        <v>A</v>
      </c>
      <c r="BG10" s="59" t="str">
        <f>[1]CTEC!BA18</f>
        <v>A</v>
      </c>
      <c r="BH10" s="59" t="str">
        <f>[1]CTEC!V18</f>
        <v>B</v>
      </c>
      <c r="BI10" s="59" t="str">
        <f>[1]CTEC!AP18</f>
        <v>A</v>
      </c>
      <c r="BJ10" s="59" t="str">
        <f>[1]CTEC!BB18</f>
        <v>A</v>
      </c>
      <c r="BK10" s="59" t="str">
        <f>[1]ING!N18</f>
        <v>A</v>
      </c>
      <c r="BL10" s="59" t="str">
        <f>[1]ING!AH18</f>
        <v>B</v>
      </c>
      <c r="BM10" s="59" t="str">
        <f>[1]ING!AZ18</f>
        <v>A</v>
      </c>
      <c r="BN10" s="59" t="str">
        <f>[1]ING!R18</f>
        <v>A</v>
      </c>
      <c r="BO10" s="59" t="str">
        <f>[1]ING!AL18</f>
        <v>A</v>
      </c>
      <c r="BP10" s="59" t="str">
        <f>[1]ING!BA18</f>
        <v>A</v>
      </c>
      <c r="BQ10" s="59" t="str">
        <f>[1]ING!V18</f>
        <v>A</v>
      </c>
      <c r="BR10" s="59" t="str">
        <f>[1]ING!AP18</f>
        <v>A</v>
      </c>
      <c r="BS10" s="59" t="str">
        <f>[1]ING!BB18</f>
        <v>A</v>
      </c>
      <c r="BT10" s="59" t="str">
        <f>[1]REL!N18</f>
        <v/>
      </c>
      <c r="BU10" s="59" t="str">
        <f>[1]REL!AH18</f>
        <v/>
      </c>
      <c r="BV10" s="59" t="str">
        <f>[1]REL!AZ18</f>
        <v/>
      </c>
      <c r="BW10" s="59" t="str">
        <f>[1]REL!R18</f>
        <v/>
      </c>
      <c r="BX10" s="59" t="str">
        <f>[1]REL!AL18</f>
        <v/>
      </c>
      <c r="BY10" s="59" t="str">
        <f>[1]REL!BA18</f>
        <v/>
      </c>
      <c r="BZ10" s="59" t="str">
        <f>[1]EMPR!N18</f>
        <v>A</v>
      </c>
      <c r="CA10" s="59" t="str">
        <f>[1]EMPR!AH18</f>
        <v>A</v>
      </c>
      <c r="CB10" s="59" t="str">
        <f>[1]EMPR!AZ18</f>
        <v>A</v>
      </c>
      <c r="CC10" s="59" t="str">
        <f>[1]COMPU!N18</f>
        <v>A</v>
      </c>
      <c r="CD10" s="59" t="str">
        <f>[1]COMPU!AH18</f>
        <v>A</v>
      </c>
      <c r="CE10" s="59" t="str">
        <f>[1]COMPU!AZ18</f>
        <v>A</v>
      </c>
      <c r="CF10" s="59" t="str">
        <f>[1]ROBOTI!N18</f>
        <v>A</v>
      </c>
      <c r="CG10" s="59" t="str">
        <f>[1]ROBOTI!AH18</f>
        <v>A</v>
      </c>
      <c r="CH10" s="59" t="str">
        <f>[1]ROBOTI!AZ18</f>
        <v>A</v>
      </c>
      <c r="CI10" s="60" t="str">
        <f>[1]APREPER!AK16</f>
        <v>A</v>
      </c>
      <c r="CJ10" s="60" t="str">
        <f>[1]APREPER!AL16</f>
        <v>A</v>
      </c>
      <c r="CK10" s="60" t="str">
        <f>[1]APREPER!I16</f>
        <v>X</v>
      </c>
      <c r="CL10" s="60">
        <f>[1]APREPER!J16</f>
        <v>0</v>
      </c>
      <c r="CM10" s="60">
        <f>[1]APREPER!K16</f>
        <v>0</v>
      </c>
      <c r="CN10" s="60">
        <f>[1]APREPER!L16</f>
        <v>0</v>
      </c>
      <c r="CO10" s="60" t="str">
        <f>[1]APREPER!M16</f>
        <v>x</v>
      </c>
      <c r="CP10" s="60">
        <f>[1]APREPER!N16</f>
        <v>0</v>
      </c>
      <c r="CQ10" s="60" t="str">
        <f>[1]APREPER!O16</f>
        <v>x</v>
      </c>
      <c r="CR10" s="60">
        <f>[1]APREPER!P16</f>
        <v>0</v>
      </c>
      <c r="CS10" s="60">
        <f>[1]APREPER!Q16</f>
        <v>0</v>
      </c>
      <c r="CT10" s="60" t="str">
        <f>[1]APREPER!R16</f>
        <v>x</v>
      </c>
      <c r="CU10" s="60">
        <f>[1]APREPER!S16</f>
        <v>0</v>
      </c>
      <c r="CV10" s="60">
        <f>[1]APREPER!T16</f>
        <v>0</v>
      </c>
      <c r="CW10" s="60" t="str">
        <f>[1]APREPER!U16</f>
        <v>x</v>
      </c>
      <c r="CX10" s="60">
        <f>[1]APREPER!V16</f>
        <v>0</v>
      </c>
      <c r="CY10" s="60">
        <f>[1]APREPER!W16</f>
        <v>0</v>
      </c>
      <c r="CZ10" s="60">
        <f>[1]APREPER!X16</f>
        <v>0</v>
      </c>
      <c r="DA10" s="60" t="str">
        <f>[1]APREPER!Y16</f>
        <v>x</v>
      </c>
      <c r="DB10" s="60">
        <f>[1]APREPER!Z16</f>
        <v>0</v>
      </c>
      <c r="DC10" s="60" t="str">
        <f>[1]APREPER!AA16</f>
        <v>x</v>
      </c>
      <c r="DD10" s="60">
        <f>[1]APREPER!AB16</f>
        <v>0</v>
      </c>
      <c r="DE10" s="60">
        <f>[1]APREPER!AC16</f>
        <v>0</v>
      </c>
      <c r="DF10" s="60" t="str">
        <f>[1]APREPER!AD16</f>
        <v>x</v>
      </c>
      <c r="DG10" s="60">
        <f>[1]APREPER!AE16</f>
        <v>0</v>
      </c>
      <c r="DH10" s="60">
        <f>[1]APREPER!AF16</f>
        <v>0</v>
      </c>
      <c r="DI10" s="60" t="str">
        <f>[1]APREPER!AG16</f>
        <v>x</v>
      </c>
      <c r="DJ10" s="60">
        <f>[1]APREPER!AH16</f>
        <v>0</v>
      </c>
      <c r="DK10" s="60">
        <f>[1]APREPER!AI16</f>
        <v>0</v>
      </c>
      <c r="DL10" s="60" t="str">
        <f>[1]APREPER!AJ16</f>
        <v>A</v>
      </c>
      <c r="DM10" s="61" t="str">
        <f>[1]APREPPFF!I16</f>
        <v>x</v>
      </c>
      <c r="DN10" s="61">
        <f>[1]APREPPFF!J16</f>
        <v>0</v>
      </c>
      <c r="DO10" s="61">
        <f>[1]APREPPFF!K16</f>
        <v>0</v>
      </c>
      <c r="DP10" s="61">
        <f>[1]APREPPFF!L16</f>
        <v>0</v>
      </c>
      <c r="DQ10" s="61" t="str">
        <f>[1]APREPPFF!M16</f>
        <v>x</v>
      </c>
      <c r="DR10" s="61">
        <f>[1]APREPPFF!N16</f>
        <v>0</v>
      </c>
      <c r="DS10" s="61" t="str">
        <f>[1]APREPPFF!O16</f>
        <v>X</v>
      </c>
      <c r="DT10" s="61">
        <f>[1]APREPPFF!P16</f>
        <v>0</v>
      </c>
      <c r="DU10" s="61">
        <f>[1]APREPPFF!Q16</f>
        <v>0</v>
      </c>
      <c r="DV10" s="61" t="str">
        <f>[1]APREPPFF!R16</f>
        <v>X</v>
      </c>
      <c r="DW10" s="61">
        <f>[1]APREPPFF!S16</f>
        <v>0</v>
      </c>
      <c r="DX10" s="61">
        <f>[1]APREPPFF!T16</f>
        <v>0</v>
      </c>
      <c r="DY10" s="61" t="str">
        <f>[1]APREPPFF!U16</f>
        <v>A</v>
      </c>
      <c r="DZ10" s="60">
        <f>[1]ASISTEN!$BR$4</f>
        <v>47</v>
      </c>
      <c r="EA10" s="62">
        <f>[1]ASISTEN!BS18</f>
        <v>1</v>
      </c>
      <c r="EB10" s="60">
        <f>[1]ASISTEN!BO18</f>
        <v>43</v>
      </c>
      <c r="EC10" s="63">
        <f>[1]ASISTEN!BP18</f>
        <v>3</v>
      </c>
      <c r="ED10" s="64">
        <f>[1]ASISTEN!BQ18</f>
        <v>1</v>
      </c>
      <c r="EE10" s="64">
        <f>[1]ASISTEN!BR18</f>
        <v>0</v>
      </c>
      <c r="EF10" s="64" t="str">
        <f>[1]APREPER!AM16</f>
        <v>Tiene una excelente capacidad de análisis, muestra preocupación en su aprendizaje. Necesita prepararse para sus evaluaciones.</v>
      </c>
      <c r="EG10" s="65">
        <f t="shared" si="0"/>
        <v>146</v>
      </c>
      <c r="EH10" s="65">
        <f t="shared" si="1"/>
        <v>6</v>
      </c>
      <c r="EI10" s="66">
        <f t="shared" si="2"/>
        <v>0</v>
      </c>
      <c r="EJ10" s="66">
        <f t="shared" si="3"/>
        <v>67</v>
      </c>
      <c r="EK10" s="66">
        <f t="shared" si="4"/>
        <v>12</v>
      </c>
    </row>
    <row r="11" spans="1:141">
      <c r="A11" s="56" t="s">
        <v>28</v>
      </c>
      <c r="B11" s="57" t="str">
        <f>[1]MAT!C19</f>
        <v>PACO JIMENEZ YAMILE VALENTINA</v>
      </c>
      <c r="C11" s="58" t="str">
        <f>[1]MAT!N19</f>
        <v>A</v>
      </c>
      <c r="D11" s="59" t="str">
        <f>[1]MAT!AH19</f>
        <v>A</v>
      </c>
      <c r="E11" s="59" t="str">
        <f>[1]MAT!AZ19</f>
        <v>A</v>
      </c>
      <c r="F11" s="59" t="str">
        <f>[1]MAT!R19</f>
        <v>A</v>
      </c>
      <c r="G11" s="59" t="str">
        <f>[1]MAT!AL19</f>
        <v>A</v>
      </c>
      <c r="H11" s="59" t="str">
        <f>[1]MAT!BA19</f>
        <v>A</v>
      </c>
      <c r="I11" s="59" t="str">
        <f>[1]MAT!V19</f>
        <v>A</v>
      </c>
      <c r="J11" s="59" t="str">
        <f>[1]MAT!AP19</f>
        <v>A</v>
      </c>
      <c r="K11" s="59" t="str">
        <f>[1]MAT!BB19</f>
        <v>A</v>
      </c>
      <c r="L11" s="59" t="str">
        <f>[1]MAT!Z19</f>
        <v>A</v>
      </c>
      <c r="M11" s="59" t="str">
        <f>[1]MAT!AT19</f>
        <v>B</v>
      </c>
      <c r="N11" s="59" t="str">
        <f>[1]MAT!BC19</f>
        <v>A</v>
      </c>
      <c r="O11" s="59" t="str">
        <f>[1]CSOC!N19</f>
        <v>A</v>
      </c>
      <c r="P11" s="59" t="str">
        <f>[1]CSOC!AH19</f>
        <v>A</v>
      </c>
      <c r="Q11" s="59" t="str">
        <f>[1]CSOC!AZ19</f>
        <v>A</v>
      </c>
      <c r="R11" s="59" t="str">
        <f>[1]CSOC!R19</f>
        <v>A</v>
      </c>
      <c r="S11" s="59" t="str">
        <f>[1]CSOC!AL19</f>
        <v>A</v>
      </c>
      <c r="T11" s="59" t="str">
        <f>[1]CSOC!BA19</f>
        <v>A</v>
      </c>
      <c r="U11" s="59" t="str">
        <f>[1]CSOC!V19</f>
        <v>A</v>
      </c>
      <c r="V11" s="59" t="str">
        <f>[1]CSOC!AP19</f>
        <v>B</v>
      </c>
      <c r="W11" s="59" t="str">
        <f>[1]CSOC!BB19</f>
        <v>A</v>
      </c>
      <c r="X11" s="59" t="str">
        <f>[1]EFIS!N19</f>
        <v>A</v>
      </c>
      <c r="Y11" s="59" t="str">
        <f>[1]EFIS!AH19</f>
        <v>A</v>
      </c>
      <c r="Z11" s="59" t="str">
        <f>[1]EFIS!AZ19</f>
        <v>A</v>
      </c>
      <c r="AA11" s="59" t="str">
        <f>[1]EFIS!R19</f>
        <v>A</v>
      </c>
      <c r="AB11" s="59" t="str">
        <f>[1]EFIS!AL19</f>
        <v>A</v>
      </c>
      <c r="AC11" s="59" t="str">
        <f>[1]EFIS!BA19</f>
        <v>A</v>
      </c>
      <c r="AD11" s="59" t="str">
        <f>[1]EFIS!V19</f>
        <v>A</v>
      </c>
      <c r="AE11" s="59" t="str">
        <f>[1]EFIS!AP19</f>
        <v>A</v>
      </c>
      <c r="AF11" s="59" t="str">
        <f>[1]EFIS!BB19</f>
        <v>A</v>
      </c>
      <c r="AG11" s="59" t="str">
        <f>[1]DPCC!N19</f>
        <v>A</v>
      </c>
      <c r="AH11" s="59" t="str">
        <f>[1]DPCC!AH19</f>
        <v>A</v>
      </c>
      <c r="AI11" s="59" t="str">
        <f>[1]DPCC!AZ19</f>
        <v>A</v>
      </c>
      <c r="AJ11" s="59" t="str">
        <f>[1]DPCC!R19</f>
        <v>A</v>
      </c>
      <c r="AK11" s="59" t="str">
        <f>[1]DPCC!AL19</f>
        <v>A</v>
      </c>
      <c r="AL11" s="59" t="str">
        <f>[1]DPCC!BA19</f>
        <v>A</v>
      </c>
      <c r="AM11" s="59" t="str">
        <f>[1]ARTE!N19</f>
        <v>A</v>
      </c>
      <c r="AN11" s="59" t="str">
        <f>[1]ARTE!AH19</f>
        <v>A</v>
      </c>
      <c r="AO11" s="59" t="str">
        <f>[1]ARTE!AZ19</f>
        <v>A</v>
      </c>
      <c r="AP11" s="59" t="str">
        <f>[1]ARTE!R19</f>
        <v>A</v>
      </c>
      <c r="AQ11" s="59" t="str">
        <f>[1]ARTE!AL19</f>
        <v>A</v>
      </c>
      <c r="AR11" s="59" t="str">
        <f>[1]ARTE!BA19</f>
        <v>A</v>
      </c>
      <c r="AS11" s="59" t="str">
        <f>[1]COMU!N19</f>
        <v>A</v>
      </c>
      <c r="AT11" s="59" t="str">
        <f>[1]COMU!AH19</f>
        <v>A</v>
      </c>
      <c r="AU11" s="59" t="str">
        <f>[1]COMU!AZ19</f>
        <v>A</v>
      </c>
      <c r="AV11" s="59" t="str">
        <f>[1]COMU!R19</f>
        <v>A</v>
      </c>
      <c r="AW11" s="59" t="str">
        <f>[1]COMU!AL19</f>
        <v>A</v>
      </c>
      <c r="AX11" s="59" t="str">
        <f>[1]COMU!BA19</f>
        <v>A</v>
      </c>
      <c r="AY11" s="59" t="str">
        <f>[1]COMU!V19</f>
        <v>A</v>
      </c>
      <c r="AZ11" s="59" t="str">
        <f>[1]COMU!AP19</f>
        <v>A</v>
      </c>
      <c r="BA11" s="59" t="str">
        <f>[1]COMU!BB19</f>
        <v>A</v>
      </c>
      <c r="BB11" s="59" t="str">
        <f>[1]CTEC!N19</f>
        <v>A</v>
      </c>
      <c r="BC11" s="59" t="str">
        <f>[1]CTEC!AH19</f>
        <v>A</v>
      </c>
      <c r="BD11" s="59" t="str">
        <f>[1]CTEC!AZ19</f>
        <v>A</v>
      </c>
      <c r="BE11" s="59" t="str">
        <f>[1]CTEC!R19</f>
        <v>A</v>
      </c>
      <c r="BF11" s="59" t="str">
        <f>[1]CTEC!AL19</f>
        <v>A</v>
      </c>
      <c r="BG11" s="59" t="str">
        <f>[1]CTEC!BA19</f>
        <v>A</v>
      </c>
      <c r="BH11" s="59" t="str">
        <f>[1]CTEC!V19</f>
        <v>A</v>
      </c>
      <c r="BI11" s="59" t="str">
        <f>[1]CTEC!AP19</f>
        <v>A</v>
      </c>
      <c r="BJ11" s="59" t="str">
        <f>[1]CTEC!BB19</f>
        <v>A</v>
      </c>
      <c r="BK11" s="59" t="str">
        <f>[1]ING!N19</f>
        <v>A</v>
      </c>
      <c r="BL11" s="59" t="str">
        <f>[1]ING!AH19</f>
        <v>A</v>
      </c>
      <c r="BM11" s="59" t="str">
        <f>[1]ING!AZ19</f>
        <v>A</v>
      </c>
      <c r="BN11" s="59" t="str">
        <f>[1]ING!R19</f>
        <v>A</v>
      </c>
      <c r="BO11" s="59" t="str">
        <f>[1]ING!AL19</f>
        <v>A</v>
      </c>
      <c r="BP11" s="59" t="str">
        <f>[1]ING!BA19</f>
        <v>A</v>
      </c>
      <c r="BQ11" s="59" t="str">
        <f>[1]ING!V19</f>
        <v>A</v>
      </c>
      <c r="BR11" s="59" t="str">
        <f>[1]ING!AP19</f>
        <v>A</v>
      </c>
      <c r="BS11" s="59" t="str">
        <f>[1]ING!BB19</f>
        <v>A</v>
      </c>
      <c r="BT11" s="59" t="str">
        <f>[1]REL!N19</f>
        <v>A</v>
      </c>
      <c r="BU11" s="59" t="str">
        <f>[1]REL!AH19</f>
        <v>A</v>
      </c>
      <c r="BV11" s="59" t="str">
        <f>[1]REL!AZ19</f>
        <v>A</v>
      </c>
      <c r="BW11" s="59" t="str">
        <f>[1]REL!R19</f>
        <v>A</v>
      </c>
      <c r="BX11" s="59" t="str">
        <f>[1]REL!AL19</f>
        <v>A</v>
      </c>
      <c r="BY11" s="59" t="str">
        <f>[1]REL!BA19</f>
        <v>A</v>
      </c>
      <c r="BZ11" s="59" t="str">
        <f>[1]EMPR!N19</f>
        <v>A</v>
      </c>
      <c r="CA11" s="59" t="str">
        <f>[1]EMPR!AH19</f>
        <v>A</v>
      </c>
      <c r="CB11" s="59" t="str">
        <f>[1]EMPR!AZ19</f>
        <v>A</v>
      </c>
      <c r="CC11" s="59" t="str">
        <f>[1]COMPU!N19</f>
        <v>A</v>
      </c>
      <c r="CD11" s="59" t="str">
        <f>[1]COMPU!AH19</f>
        <v>A</v>
      </c>
      <c r="CE11" s="59" t="str">
        <f>[1]COMPU!AZ19</f>
        <v>A</v>
      </c>
      <c r="CF11" s="59" t="str">
        <f>[1]ROBOTI!N19</f>
        <v>A</v>
      </c>
      <c r="CG11" s="59" t="str">
        <f>[1]ROBOTI!AH19</f>
        <v>A</v>
      </c>
      <c r="CH11" s="59" t="str">
        <f>[1]ROBOTI!AZ19</f>
        <v>A</v>
      </c>
      <c r="CI11" s="60" t="str">
        <f>[1]APREPER!AK17</f>
        <v>A</v>
      </c>
      <c r="CJ11" s="60" t="str">
        <f>[1]APREPER!AL17</f>
        <v>A</v>
      </c>
      <c r="CK11" s="60" t="str">
        <f>[1]APREPER!I17</f>
        <v>x</v>
      </c>
      <c r="CL11" s="60">
        <f>[1]APREPER!J17</f>
        <v>0</v>
      </c>
      <c r="CM11" s="60">
        <f>[1]APREPER!K17</f>
        <v>0</v>
      </c>
      <c r="CN11" s="60" t="str">
        <f>[1]APREPER!L17</f>
        <v>x</v>
      </c>
      <c r="CO11" s="60">
        <f>[1]APREPER!M17</f>
        <v>0</v>
      </c>
      <c r="CP11" s="60">
        <f>[1]APREPER!N17</f>
        <v>0</v>
      </c>
      <c r="CQ11" s="60" t="str">
        <f>[1]APREPER!O17</f>
        <v>x</v>
      </c>
      <c r="CR11" s="60">
        <f>[1]APREPER!P17</f>
        <v>0</v>
      </c>
      <c r="CS11" s="60">
        <f>[1]APREPER!Q17</f>
        <v>0</v>
      </c>
      <c r="CT11" s="60" t="str">
        <f>[1]APREPER!R17</f>
        <v>x</v>
      </c>
      <c r="CU11" s="60">
        <f>[1]APREPER!S17</f>
        <v>0</v>
      </c>
      <c r="CV11" s="60">
        <f>[1]APREPER!T17</f>
        <v>0</v>
      </c>
      <c r="CW11" s="60" t="str">
        <f>[1]APREPER!U17</f>
        <v>x</v>
      </c>
      <c r="CX11" s="60">
        <f>[1]APREPER!V17</f>
        <v>0</v>
      </c>
      <c r="CY11" s="60">
        <f>[1]APREPER!W17</f>
        <v>0</v>
      </c>
      <c r="CZ11" s="60" t="str">
        <f>[1]APREPER!X17</f>
        <v>x</v>
      </c>
      <c r="DA11" s="60">
        <f>[1]APREPER!Y17</f>
        <v>0</v>
      </c>
      <c r="DB11" s="60">
        <f>[1]APREPER!Z17</f>
        <v>0</v>
      </c>
      <c r="DC11" s="60" t="str">
        <f>[1]APREPER!AA17</f>
        <v>x</v>
      </c>
      <c r="DD11" s="60">
        <f>[1]APREPER!AB17</f>
        <v>0</v>
      </c>
      <c r="DE11" s="60">
        <f>[1]APREPER!AC17</f>
        <v>0</v>
      </c>
      <c r="DF11" s="60" t="str">
        <f>[1]APREPER!AD17</f>
        <v>x</v>
      </c>
      <c r="DG11" s="60">
        <f>[1]APREPER!AE17</f>
        <v>0</v>
      </c>
      <c r="DH11" s="60">
        <f>[1]APREPER!AF17</f>
        <v>0</v>
      </c>
      <c r="DI11" s="60" t="str">
        <f>[1]APREPER!AG17</f>
        <v>x</v>
      </c>
      <c r="DJ11" s="60">
        <f>[1]APREPER!AH17</f>
        <v>0</v>
      </c>
      <c r="DK11" s="60">
        <f>[1]APREPER!AI17</f>
        <v>0</v>
      </c>
      <c r="DL11" s="60" t="str">
        <f>[1]APREPER!AJ17</f>
        <v>A</v>
      </c>
      <c r="DM11" s="61" t="str">
        <f>[1]APREPPFF!I17</f>
        <v>x</v>
      </c>
      <c r="DN11" s="61">
        <f>[1]APREPPFF!J17</f>
        <v>0</v>
      </c>
      <c r="DO11" s="61">
        <f>[1]APREPPFF!K17</f>
        <v>0</v>
      </c>
      <c r="DP11" s="61" t="str">
        <f>[1]APREPPFF!L17</f>
        <v>x</v>
      </c>
      <c r="DQ11" s="61">
        <f>[1]APREPPFF!M17</f>
        <v>0</v>
      </c>
      <c r="DR11" s="61">
        <f>[1]APREPPFF!N17</f>
        <v>0</v>
      </c>
      <c r="DS11" s="61" t="str">
        <f>[1]APREPPFF!O17</f>
        <v>X</v>
      </c>
      <c r="DT11" s="61">
        <f>[1]APREPPFF!P17</f>
        <v>0</v>
      </c>
      <c r="DU11" s="61">
        <f>[1]APREPPFF!Q17</f>
        <v>0</v>
      </c>
      <c r="DV11" s="61" t="str">
        <f>[1]APREPPFF!R17</f>
        <v>x</v>
      </c>
      <c r="DW11" s="61">
        <f>[1]APREPPFF!S17</f>
        <v>0</v>
      </c>
      <c r="DX11" s="61">
        <f>[1]APREPPFF!T17</f>
        <v>0</v>
      </c>
      <c r="DY11" s="61" t="str">
        <f>[1]APREPPFF!U17</f>
        <v>A</v>
      </c>
      <c r="DZ11" s="60">
        <f>[1]ASISTEN!$BR$4</f>
        <v>47</v>
      </c>
      <c r="EA11" s="62">
        <f>[1]ASISTEN!BS19</f>
        <v>1</v>
      </c>
      <c r="EB11" s="60">
        <f>[1]ASISTEN!BO19</f>
        <v>47</v>
      </c>
      <c r="EC11" s="63">
        <f>[1]ASISTEN!BP19</f>
        <v>0</v>
      </c>
      <c r="ED11" s="64">
        <f>[1]ASISTEN!BQ19</f>
        <v>0</v>
      </c>
      <c r="EE11" s="64">
        <f>[1]ASISTEN!BR19</f>
        <v>0</v>
      </c>
      <c r="EF11" s="64" t="str">
        <f>[1]APREPER!AM17</f>
        <v>Estudiante que participa siempre en clase; muestra responsabilidad en lo que se le encomienda, aunque a veces suele confiarse demasiado. Se le aconseja que no desista en su lucha por alcanzar sus objetivos</v>
      </c>
      <c r="EG11" s="65">
        <f t="shared" si="0"/>
        <v>168</v>
      </c>
      <c r="EH11" s="65">
        <f t="shared" si="1"/>
        <v>1</v>
      </c>
      <c r="EI11" s="66">
        <f t="shared" si="2"/>
        <v>0</v>
      </c>
      <c r="EJ11" s="66">
        <f t="shared" si="3"/>
        <v>83</v>
      </c>
      <c r="EK11" s="66">
        <f t="shared" si="4"/>
        <v>2</v>
      </c>
    </row>
    <row r="12" spans="1:141">
      <c r="A12" s="56" t="s">
        <v>29</v>
      </c>
      <c r="B12" s="57" t="str">
        <f>[1]MAT!C20</f>
        <v>ROMERO TELLEZ VALESKA LARISSA</v>
      </c>
      <c r="C12" s="58" t="str">
        <f>[1]MAT!N20</f>
        <v>B</v>
      </c>
      <c r="D12" s="59" t="str">
        <f>[1]MAT!AH20</f>
        <v>A</v>
      </c>
      <c r="E12" s="59" t="str">
        <f>[1]MAT!AZ20</f>
        <v>A</v>
      </c>
      <c r="F12" s="59" t="str">
        <f>[1]MAT!R20</f>
        <v>B</v>
      </c>
      <c r="G12" s="59" t="str">
        <f>[1]MAT!AL20</f>
        <v>A</v>
      </c>
      <c r="H12" s="59" t="str">
        <f>[1]MAT!BA20</f>
        <v>A</v>
      </c>
      <c r="I12" s="59" t="str">
        <f>[1]MAT!V20</f>
        <v>B</v>
      </c>
      <c r="J12" s="59" t="str">
        <f>[1]MAT!AP20</f>
        <v>B</v>
      </c>
      <c r="K12" s="59" t="str">
        <f>[1]MAT!BB20</f>
        <v>B</v>
      </c>
      <c r="L12" s="59" t="str">
        <f>[1]MAT!Z20</f>
        <v>A</v>
      </c>
      <c r="M12" s="59" t="str">
        <f>[1]MAT!AT20</f>
        <v>A</v>
      </c>
      <c r="N12" s="59" t="str">
        <f>[1]MAT!BC20</f>
        <v>A</v>
      </c>
      <c r="O12" s="59" t="str">
        <f>[1]CSOC!N20</f>
        <v>A</v>
      </c>
      <c r="P12" s="59" t="str">
        <f>[1]CSOC!AH20</f>
        <v>A</v>
      </c>
      <c r="Q12" s="59" t="str">
        <f>[1]CSOC!AZ20</f>
        <v>A</v>
      </c>
      <c r="R12" s="59" t="str">
        <f>[1]CSOC!R20</f>
        <v>A</v>
      </c>
      <c r="S12" s="59" t="str">
        <f>[1]CSOC!AL20</f>
        <v>B</v>
      </c>
      <c r="T12" s="59" t="str">
        <f>[1]CSOC!BA20</f>
        <v>A</v>
      </c>
      <c r="U12" s="59" t="str">
        <f>[1]CSOC!V20</f>
        <v>B</v>
      </c>
      <c r="V12" s="59" t="str">
        <f>[1]CSOC!AP20</f>
        <v>B</v>
      </c>
      <c r="W12" s="59" t="str">
        <f>[1]CSOC!BB20</f>
        <v>B</v>
      </c>
      <c r="X12" s="59" t="str">
        <f>[1]EFIS!N20</f>
        <v>A</v>
      </c>
      <c r="Y12" s="59" t="str">
        <f>[1]EFIS!AH20</f>
        <v>A</v>
      </c>
      <c r="Z12" s="59" t="str">
        <f>[1]EFIS!AZ20</f>
        <v>A</v>
      </c>
      <c r="AA12" s="59" t="str">
        <f>[1]EFIS!R20</f>
        <v>A</v>
      </c>
      <c r="AB12" s="59" t="str">
        <f>[1]EFIS!AL20</f>
        <v>A</v>
      </c>
      <c r="AC12" s="59" t="str">
        <f>[1]EFIS!BA20</f>
        <v>A</v>
      </c>
      <c r="AD12" s="59" t="str">
        <f>[1]EFIS!V20</f>
        <v>A</v>
      </c>
      <c r="AE12" s="59" t="str">
        <f>[1]EFIS!AP20</f>
        <v>A</v>
      </c>
      <c r="AF12" s="59" t="str">
        <f>[1]EFIS!BB20</f>
        <v>A</v>
      </c>
      <c r="AG12" s="59" t="str">
        <f>[1]DPCC!N20</f>
        <v>A</v>
      </c>
      <c r="AH12" s="59" t="str">
        <f>[1]DPCC!AH20</f>
        <v>A</v>
      </c>
      <c r="AI12" s="59" t="str">
        <f>[1]DPCC!AZ20</f>
        <v>A</v>
      </c>
      <c r="AJ12" s="59" t="str">
        <f>[1]DPCC!R20</f>
        <v>A</v>
      </c>
      <c r="AK12" s="59" t="str">
        <f>[1]DPCC!AL20</f>
        <v>B</v>
      </c>
      <c r="AL12" s="59" t="str">
        <f>[1]DPCC!BA20</f>
        <v>A</v>
      </c>
      <c r="AM12" s="59" t="str">
        <f>[1]ARTE!N20</f>
        <v>A</v>
      </c>
      <c r="AN12" s="59" t="str">
        <f>[1]ARTE!AH20</f>
        <v>A</v>
      </c>
      <c r="AO12" s="59" t="str">
        <f>[1]ARTE!AZ20</f>
        <v>A</v>
      </c>
      <c r="AP12" s="59" t="str">
        <f>[1]ARTE!R20</f>
        <v>A</v>
      </c>
      <c r="AQ12" s="59" t="str">
        <f>[1]ARTE!AL20</f>
        <v>A</v>
      </c>
      <c r="AR12" s="59" t="str">
        <f>[1]ARTE!BA20</f>
        <v>A</v>
      </c>
      <c r="AS12" s="59" t="str">
        <f>[1]COMU!N20</f>
        <v>B</v>
      </c>
      <c r="AT12" s="59" t="str">
        <f>[1]COMU!AH20</f>
        <v>C</v>
      </c>
      <c r="AU12" s="59" t="str">
        <f>[1]COMU!AZ20</f>
        <v>B</v>
      </c>
      <c r="AV12" s="59" t="str">
        <f>[1]COMU!R20</f>
        <v>B</v>
      </c>
      <c r="AW12" s="59" t="str">
        <f>[1]COMU!AL20</f>
        <v>B</v>
      </c>
      <c r="AX12" s="59" t="str">
        <f>[1]COMU!BA20</f>
        <v>B</v>
      </c>
      <c r="AY12" s="59" t="str">
        <f>[1]COMU!V20</f>
        <v>B</v>
      </c>
      <c r="AZ12" s="59" t="str">
        <f>[1]COMU!AP20</f>
        <v>B</v>
      </c>
      <c r="BA12" s="59" t="str">
        <f>[1]COMU!BB20</f>
        <v>B</v>
      </c>
      <c r="BB12" s="59" t="str">
        <f>[1]CTEC!N20</f>
        <v>A</v>
      </c>
      <c r="BC12" s="59" t="str">
        <f>[1]CTEC!AH20</f>
        <v>B</v>
      </c>
      <c r="BD12" s="59" t="str">
        <f>[1]CTEC!AZ20</f>
        <v>A</v>
      </c>
      <c r="BE12" s="59" t="str">
        <f>[1]CTEC!R20</f>
        <v>A</v>
      </c>
      <c r="BF12" s="59" t="str">
        <f>[1]CTEC!AL20</f>
        <v>B</v>
      </c>
      <c r="BG12" s="59" t="str">
        <f>[1]CTEC!BA20</f>
        <v>A</v>
      </c>
      <c r="BH12" s="59" t="str">
        <f>[1]CTEC!V20</f>
        <v>B</v>
      </c>
      <c r="BI12" s="59" t="str">
        <f>[1]CTEC!AP20</f>
        <v>B</v>
      </c>
      <c r="BJ12" s="59" t="str">
        <f>[1]CTEC!BB20</f>
        <v>B</v>
      </c>
      <c r="BK12" s="59" t="str">
        <f>[1]ING!N20</f>
        <v>B</v>
      </c>
      <c r="BL12" s="59" t="str">
        <f>[1]ING!AH20</f>
        <v>A</v>
      </c>
      <c r="BM12" s="59" t="str">
        <f>[1]ING!AZ20</f>
        <v>A</v>
      </c>
      <c r="BN12" s="59" t="str">
        <f>[1]ING!R20</f>
        <v>A</v>
      </c>
      <c r="BO12" s="59" t="str">
        <f>[1]ING!AL20</f>
        <v>A</v>
      </c>
      <c r="BP12" s="59" t="str">
        <f>[1]ING!BA20</f>
        <v>A</v>
      </c>
      <c r="BQ12" s="59" t="str">
        <f>[1]ING!V20</f>
        <v>A</v>
      </c>
      <c r="BR12" s="59" t="str">
        <f>[1]ING!AP20</f>
        <v>A</v>
      </c>
      <c r="BS12" s="59" t="str">
        <f>[1]ING!BB20</f>
        <v>A</v>
      </c>
      <c r="BT12" s="59" t="str">
        <f>[1]REL!N20</f>
        <v>A</v>
      </c>
      <c r="BU12" s="59" t="str">
        <f>[1]REL!AH20</f>
        <v>A</v>
      </c>
      <c r="BV12" s="59" t="str">
        <f>[1]REL!AZ20</f>
        <v>A</v>
      </c>
      <c r="BW12" s="59" t="str">
        <f>[1]REL!R20</f>
        <v>A</v>
      </c>
      <c r="BX12" s="59" t="str">
        <f>[1]REL!AL20</f>
        <v>A</v>
      </c>
      <c r="BY12" s="59" t="str">
        <f>[1]REL!BA20</f>
        <v>A</v>
      </c>
      <c r="BZ12" s="59" t="str">
        <f>[1]EMPR!N20</f>
        <v>A</v>
      </c>
      <c r="CA12" s="59" t="str">
        <f>[1]EMPR!AH20</f>
        <v>A</v>
      </c>
      <c r="CB12" s="59" t="str">
        <f>[1]EMPR!AZ20</f>
        <v>A</v>
      </c>
      <c r="CC12" s="59" t="str">
        <f>[1]COMPU!N20</f>
        <v>A</v>
      </c>
      <c r="CD12" s="59" t="str">
        <f>[1]COMPU!AH20</f>
        <v>A</v>
      </c>
      <c r="CE12" s="59" t="str">
        <f>[1]COMPU!AZ20</f>
        <v>A</v>
      </c>
      <c r="CF12" s="59" t="str">
        <f>[1]ROBOTI!N20</f>
        <v>A</v>
      </c>
      <c r="CG12" s="59" t="str">
        <f>[1]ROBOTI!AH20</f>
        <v>A</v>
      </c>
      <c r="CH12" s="59" t="str">
        <f>[1]ROBOTI!AZ20</f>
        <v>A</v>
      </c>
      <c r="CI12" s="60" t="str">
        <f>[1]APREPER!AK18</f>
        <v>A</v>
      </c>
      <c r="CJ12" s="60" t="str">
        <f>[1]APREPER!AL18</f>
        <v>A</v>
      </c>
      <c r="CK12" s="60">
        <f>[1]APREPER!I18</f>
        <v>0</v>
      </c>
      <c r="CL12" s="60" t="str">
        <f>[1]APREPER!J18</f>
        <v>x</v>
      </c>
      <c r="CM12" s="60">
        <f>[1]APREPER!K18</f>
        <v>0</v>
      </c>
      <c r="CN12" s="60">
        <f>[1]APREPER!L18</f>
        <v>0</v>
      </c>
      <c r="CO12" s="60" t="str">
        <f>[1]APREPER!M18</f>
        <v>x</v>
      </c>
      <c r="CP12" s="60">
        <f>[1]APREPER!N18</f>
        <v>0</v>
      </c>
      <c r="CQ12" s="60">
        <f>[1]APREPER!O18</f>
        <v>0</v>
      </c>
      <c r="CR12" s="60" t="str">
        <f>[1]APREPER!P18</f>
        <v>x</v>
      </c>
      <c r="CS12" s="60">
        <f>[1]APREPER!Q18</f>
        <v>0</v>
      </c>
      <c r="CT12" s="60" t="str">
        <f>[1]APREPER!R18</f>
        <v>x</v>
      </c>
      <c r="CU12" s="60">
        <f>[1]APREPER!S18</f>
        <v>0</v>
      </c>
      <c r="CV12" s="60">
        <f>[1]APREPER!T18</f>
        <v>0</v>
      </c>
      <c r="CW12" s="60" t="str">
        <f>[1]APREPER!U18</f>
        <v>x</v>
      </c>
      <c r="CX12" s="60">
        <f>[1]APREPER!V18</f>
        <v>0</v>
      </c>
      <c r="CY12" s="60">
        <f>[1]APREPER!W18</f>
        <v>0</v>
      </c>
      <c r="CZ12" s="60">
        <f>[1]APREPER!X18</f>
        <v>0</v>
      </c>
      <c r="DA12" s="60" t="str">
        <f>[1]APREPER!Y18</f>
        <v>x</v>
      </c>
      <c r="DB12" s="60">
        <f>[1]APREPER!Z18</f>
        <v>0</v>
      </c>
      <c r="DC12" s="60" t="str">
        <f>[1]APREPER!AA18</f>
        <v>x</v>
      </c>
      <c r="DD12" s="60">
        <f>[1]APREPER!AB18</f>
        <v>0</v>
      </c>
      <c r="DE12" s="60">
        <f>[1]APREPER!AC18</f>
        <v>0</v>
      </c>
      <c r="DF12" s="60" t="str">
        <f>[1]APREPER!AD18</f>
        <v>x</v>
      </c>
      <c r="DG12" s="60">
        <f>[1]APREPER!AE18</f>
        <v>0</v>
      </c>
      <c r="DH12" s="60">
        <f>[1]APREPER!AF18</f>
        <v>0</v>
      </c>
      <c r="DI12" s="60" t="str">
        <f>[1]APREPER!AG18</f>
        <v>x</v>
      </c>
      <c r="DJ12" s="60">
        <f>[1]APREPER!AH18</f>
        <v>0</v>
      </c>
      <c r="DK12" s="60">
        <f>[1]APREPER!AI18</f>
        <v>0</v>
      </c>
      <c r="DL12" s="60" t="str">
        <f>[1]APREPER!AJ18</f>
        <v>B</v>
      </c>
      <c r="DM12" s="61">
        <f>[1]APREPPFF!I18</f>
        <v>0</v>
      </c>
      <c r="DN12" s="61" t="str">
        <f>[1]APREPPFF!J18</f>
        <v>x</v>
      </c>
      <c r="DO12" s="61">
        <f>[1]APREPPFF!K18</f>
        <v>0</v>
      </c>
      <c r="DP12" s="61">
        <f>[1]APREPPFF!L18</f>
        <v>0</v>
      </c>
      <c r="DQ12" s="61" t="str">
        <f>[1]APREPPFF!M18</f>
        <v>x</v>
      </c>
      <c r="DR12" s="61">
        <f>[1]APREPPFF!N18</f>
        <v>0</v>
      </c>
      <c r="DS12" s="61">
        <f>[1]APREPPFF!O18</f>
        <v>0</v>
      </c>
      <c r="DT12" s="61" t="str">
        <f>[1]APREPPFF!P18</f>
        <v>x</v>
      </c>
      <c r="DU12" s="61">
        <f>[1]APREPPFF!Q18</f>
        <v>0</v>
      </c>
      <c r="DV12" s="61">
        <f>[1]APREPPFF!R18</f>
        <v>0</v>
      </c>
      <c r="DW12" s="61" t="str">
        <f>[1]APREPPFF!S18</f>
        <v>x</v>
      </c>
      <c r="DX12" s="61">
        <f>[1]APREPPFF!T18</f>
        <v>0</v>
      </c>
      <c r="DY12" s="61" t="str">
        <f>[1]APREPPFF!U18</f>
        <v>B</v>
      </c>
      <c r="DZ12" s="60">
        <f>[1]ASISTEN!$BR$4</f>
        <v>47</v>
      </c>
      <c r="EA12" s="62">
        <f>[1]ASISTEN!BS20</f>
        <v>0.93617021276595747</v>
      </c>
      <c r="EB12" s="60">
        <f>[1]ASISTEN!BO20</f>
        <v>44</v>
      </c>
      <c r="EC12" s="63">
        <f>[1]ASISTEN!BP20</f>
        <v>0</v>
      </c>
      <c r="ED12" s="64">
        <f>[1]ASISTEN!BQ20</f>
        <v>0</v>
      </c>
      <c r="EE12" s="64">
        <f>[1]ASISTEN!BR20</f>
        <v>3</v>
      </c>
      <c r="EF12" s="64" t="str">
        <f>[1]APREPER!AM18</f>
        <v>La estudiante ha mostrado habilidades artísticas, participativo y social con sus compañeros. Se le recomienda continuar con su buen aprestamiento integral y seguir reforzando áreas de matemáticas.</v>
      </c>
      <c r="EG12" s="65">
        <f t="shared" si="0"/>
        <v>144</v>
      </c>
      <c r="EH12" s="65">
        <f t="shared" si="1"/>
        <v>8</v>
      </c>
      <c r="EI12" s="66">
        <f t="shared" si="2"/>
        <v>0</v>
      </c>
      <c r="EJ12" s="66">
        <f t="shared" si="3"/>
        <v>60</v>
      </c>
      <c r="EK12" s="66">
        <f t="shared" si="4"/>
        <v>24</v>
      </c>
    </row>
    <row r="13" spans="1:141">
      <c r="A13" s="56" t="s">
        <v>30</v>
      </c>
      <c r="B13" s="57" t="str">
        <f>[1]MAT!C21</f>
        <v>SULLCA CHIPANA JULIO CESAR MATIAS</v>
      </c>
      <c r="C13" s="58" t="str">
        <f>[1]MAT!N21</f>
        <v>B</v>
      </c>
      <c r="D13" s="59" t="str">
        <f>[1]MAT!AH21</f>
        <v>A</v>
      </c>
      <c r="E13" s="59" t="str">
        <f>[1]MAT!AZ21</f>
        <v>A</v>
      </c>
      <c r="F13" s="59" t="str">
        <f>[1]MAT!R21</f>
        <v>B</v>
      </c>
      <c r="G13" s="59" t="str">
        <f>[1]MAT!AL21</f>
        <v>B</v>
      </c>
      <c r="H13" s="59" t="str">
        <f>[1]MAT!BA21</f>
        <v>B</v>
      </c>
      <c r="I13" s="59" t="str">
        <f>[1]MAT!V21</f>
        <v>B</v>
      </c>
      <c r="J13" s="59" t="str">
        <f>[1]MAT!AP21</f>
        <v>B</v>
      </c>
      <c r="K13" s="59" t="str">
        <f>[1]MAT!BB21</f>
        <v>B</v>
      </c>
      <c r="L13" s="59" t="str">
        <f>[1]MAT!Z21</f>
        <v>A</v>
      </c>
      <c r="M13" s="59" t="str">
        <f>[1]MAT!AT21</f>
        <v>A</v>
      </c>
      <c r="N13" s="59" t="str">
        <f>[1]MAT!BC21</f>
        <v>A</v>
      </c>
      <c r="O13" s="59" t="str">
        <f>[1]CSOC!N21</f>
        <v>A</v>
      </c>
      <c r="P13" s="59" t="str">
        <f>[1]CSOC!AH21</f>
        <v>A</v>
      </c>
      <c r="Q13" s="59" t="str">
        <f>[1]CSOC!AZ21</f>
        <v>A</v>
      </c>
      <c r="R13" s="59" t="str">
        <f>[1]CSOC!R21</f>
        <v>A</v>
      </c>
      <c r="S13" s="59" t="str">
        <f>[1]CSOC!AL21</f>
        <v>A</v>
      </c>
      <c r="T13" s="59" t="str">
        <f>[1]CSOC!BA21</f>
        <v>A</v>
      </c>
      <c r="U13" s="59" t="str">
        <f>[1]CSOC!V21</f>
        <v>A</v>
      </c>
      <c r="V13" s="59" t="str">
        <f>[1]CSOC!AP21</f>
        <v>B</v>
      </c>
      <c r="W13" s="59" t="str">
        <f>[1]CSOC!BB21</f>
        <v>A</v>
      </c>
      <c r="X13" s="59" t="str">
        <f>[1]EFIS!N21</f>
        <v>A</v>
      </c>
      <c r="Y13" s="59" t="str">
        <f>[1]EFIS!AH21</f>
        <v>A</v>
      </c>
      <c r="Z13" s="59" t="str">
        <f>[1]EFIS!AZ21</f>
        <v>A</v>
      </c>
      <c r="AA13" s="59" t="str">
        <f>[1]EFIS!R21</f>
        <v>A</v>
      </c>
      <c r="AB13" s="59" t="str">
        <f>[1]EFIS!AL21</f>
        <v>A</v>
      </c>
      <c r="AC13" s="59" t="str">
        <f>[1]EFIS!BA21</f>
        <v>A</v>
      </c>
      <c r="AD13" s="59" t="str">
        <f>[1]EFIS!V21</f>
        <v>A</v>
      </c>
      <c r="AE13" s="59" t="str">
        <f>[1]EFIS!AP21</f>
        <v>A</v>
      </c>
      <c r="AF13" s="59" t="str">
        <f>[1]EFIS!BB21</f>
        <v>A</v>
      </c>
      <c r="AG13" s="59" t="str">
        <f>[1]DPCC!N21</f>
        <v>A</v>
      </c>
      <c r="AH13" s="59" t="str">
        <f>[1]DPCC!AH21</f>
        <v>A</v>
      </c>
      <c r="AI13" s="59" t="str">
        <f>[1]DPCC!AZ21</f>
        <v>A</v>
      </c>
      <c r="AJ13" s="59" t="str">
        <f>[1]DPCC!R21</f>
        <v>A</v>
      </c>
      <c r="AK13" s="59" t="str">
        <f>[1]DPCC!AL21</f>
        <v>B</v>
      </c>
      <c r="AL13" s="59" t="str">
        <f>[1]DPCC!BA21</f>
        <v>A</v>
      </c>
      <c r="AM13" s="59" t="str">
        <f>[1]ARTE!N21</f>
        <v>A</v>
      </c>
      <c r="AN13" s="59" t="str">
        <f>[1]ARTE!AH21</f>
        <v>A</v>
      </c>
      <c r="AO13" s="59" t="str">
        <f>[1]ARTE!AZ21</f>
        <v>A</v>
      </c>
      <c r="AP13" s="59" t="str">
        <f>[1]ARTE!R21</f>
        <v>A</v>
      </c>
      <c r="AQ13" s="59" t="str">
        <f>[1]ARTE!AL21</f>
        <v>A</v>
      </c>
      <c r="AR13" s="59" t="str">
        <f>[1]ARTE!BA21</f>
        <v>A</v>
      </c>
      <c r="AS13" s="59" t="str">
        <f>[1]COMU!N21</f>
        <v>B</v>
      </c>
      <c r="AT13" s="59" t="str">
        <f>[1]COMU!AH21</f>
        <v>B</v>
      </c>
      <c r="AU13" s="59" t="str">
        <f>[1]COMU!AZ21</f>
        <v>B</v>
      </c>
      <c r="AV13" s="59" t="str">
        <f>[1]COMU!R21</f>
        <v>B</v>
      </c>
      <c r="AW13" s="59" t="str">
        <f>[1]COMU!AL21</f>
        <v>A</v>
      </c>
      <c r="AX13" s="59" t="str">
        <f>[1]COMU!BA21</f>
        <v>A</v>
      </c>
      <c r="AY13" s="59" t="str">
        <f>[1]COMU!V21</f>
        <v>A</v>
      </c>
      <c r="AZ13" s="59" t="str">
        <f>[1]COMU!AP21</f>
        <v>A</v>
      </c>
      <c r="BA13" s="59" t="str">
        <f>[1]COMU!BB21</f>
        <v>A</v>
      </c>
      <c r="BB13" s="59" t="str">
        <f>[1]CTEC!N21</f>
        <v>B</v>
      </c>
      <c r="BC13" s="59" t="str">
        <f>[1]CTEC!AH21</f>
        <v>A</v>
      </c>
      <c r="BD13" s="59" t="str">
        <f>[1]CTEC!AZ21</f>
        <v>A</v>
      </c>
      <c r="BE13" s="59" t="str">
        <f>[1]CTEC!R21</f>
        <v>B</v>
      </c>
      <c r="BF13" s="59" t="str">
        <f>[1]CTEC!AL21</f>
        <v>C</v>
      </c>
      <c r="BG13" s="59" t="str">
        <f>[1]CTEC!BA21</f>
        <v>B</v>
      </c>
      <c r="BH13" s="59" t="str">
        <f>[1]CTEC!V21</f>
        <v>A</v>
      </c>
      <c r="BI13" s="59" t="str">
        <f>[1]CTEC!AP21</f>
        <v>C</v>
      </c>
      <c r="BJ13" s="59" t="str">
        <f>[1]CTEC!BB21</f>
        <v>B</v>
      </c>
      <c r="BK13" s="59" t="str">
        <f>[1]ING!N21</f>
        <v>B</v>
      </c>
      <c r="BL13" s="59" t="str">
        <f>[1]ING!AH21</f>
        <v>B</v>
      </c>
      <c r="BM13" s="59" t="str">
        <f>[1]ING!AZ21</f>
        <v>B</v>
      </c>
      <c r="BN13" s="59" t="str">
        <f>[1]ING!R21</f>
        <v>A</v>
      </c>
      <c r="BO13" s="59" t="str">
        <f>[1]ING!AL21</f>
        <v>A</v>
      </c>
      <c r="BP13" s="59" t="str">
        <f>[1]ING!BA21</f>
        <v>A</v>
      </c>
      <c r="BQ13" s="59" t="str">
        <f>[1]ING!V21</f>
        <v>A</v>
      </c>
      <c r="BR13" s="59" t="str">
        <f>[1]ING!AP21</f>
        <v>A</v>
      </c>
      <c r="BS13" s="59" t="str">
        <f>[1]ING!BB21</f>
        <v>A</v>
      </c>
      <c r="BT13" s="59" t="str">
        <f>[1]REL!N21</f>
        <v>A</v>
      </c>
      <c r="BU13" s="59" t="str">
        <f>[1]REL!AH21</f>
        <v>A</v>
      </c>
      <c r="BV13" s="59" t="str">
        <f>[1]REL!AZ21</f>
        <v>A</v>
      </c>
      <c r="BW13" s="59" t="str">
        <f>[1]REL!R21</f>
        <v>A</v>
      </c>
      <c r="BX13" s="59" t="str">
        <f>[1]REL!AL21</f>
        <v>A</v>
      </c>
      <c r="BY13" s="59" t="str">
        <f>[1]REL!BA21</f>
        <v>A</v>
      </c>
      <c r="BZ13" s="59" t="str">
        <f>[1]EMPR!N21</f>
        <v>A</v>
      </c>
      <c r="CA13" s="59" t="str">
        <f>[1]EMPR!AH21</f>
        <v>A</v>
      </c>
      <c r="CB13" s="59" t="str">
        <f>[1]EMPR!AZ21</f>
        <v>A</v>
      </c>
      <c r="CC13" s="59" t="str">
        <f>[1]COMPU!N21</f>
        <v>A</v>
      </c>
      <c r="CD13" s="59" t="str">
        <f>[1]COMPU!AH21</f>
        <v>A</v>
      </c>
      <c r="CE13" s="59" t="str">
        <f>[1]COMPU!AZ21</f>
        <v>A</v>
      </c>
      <c r="CF13" s="59" t="str">
        <f>[1]ROBOTI!N21</f>
        <v>A</v>
      </c>
      <c r="CG13" s="59" t="str">
        <f>[1]ROBOTI!AH21</f>
        <v>A</v>
      </c>
      <c r="CH13" s="59" t="str">
        <f>[1]ROBOTI!AZ21</f>
        <v>A</v>
      </c>
      <c r="CI13" s="60" t="str">
        <f>[1]APREPER!AK19</f>
        <v>A</v>
      </c>
      <c r="CJ13" s="60" t="str">
        <f>[1]APREPER!AL19</f>
        <v>A</v>
      </c>
      <c r="CK13" s="60" t="str">
        <f>[1]APREPER!I19</f>
        <v>x</v>
      </c>
      <c r="CL13" s="60">
        <f>[1]APREPER!J19</f>
        <v>0</v>
      </c>
      <c r="CM13" s="60">
        <f>[1]APREPER!K19</f>
        <v>0</v>
      </c>
      <c r="CN13" s="60" t="str">
        <f>[1]APREPER!L19</f>
        <v>x</v>
      </c>
      <c r="CO13" s="60">
        <f>[1]APREPER!M19</f>
        <v>0</v>
      </c>
      <c r="CP13" s="60">
        <f>[1]APREPER!N19</f>
        <v>0</v>
      </c>
      <c r="CQ13" s="60" t="str">
        <f>[1]APREPER!O19</f>
        <v>x</v>
      </c>
      <c r="CR13" s="60">
        <f>[1]APREPER!P19</f>
        <v>0</v>
      </c>
      <c r="CS13" s="60">
        <f>[1]APREPER!Q19</f>
        <v>0</v>
      </c>
      <c r="CT13" s="60" t="str">
        <f>[1]APREPER!R19</f>
        <v>x</v>
      </c>
      <c r="CU13" s="60">
        <f>[1]APREPER!S19</f>
        <v>0</v>
      </c>
      <c r="CV13" s="60">
        <f>[1]APREPER!T19</f>
        <v>0</v>
      </c>
      <c r="CW13" s="60" t="str">
        <f>[1]APREPER!U19</f>
        <v>x</v>
      </c>
      <c r="CX13" s="60">
        <f>[1]APREPER!V19</f>
        <v>0</v>
      </c>
      <c r="CY13" s="60">
        <f>[1]APREPER!W19</f>
        <v>0</v>
      </c>
      <c r="CZ13" s="60" t="str">
        <f>[1]APREPER!X19</f>
        <v>x</v>
      </c>
      <c r="DA13" s="60">
        <f>[1]APREPER!Y19</f>
        <v>0</v>
      </c>
      <c r="DB13" s="60">
        <f>[1]APREPER!Z19</f>
        <v>0</v>
      </c>
      <c r="DC13" s="60" t="str">
        <f>[1]APREPER!AA19</f>
        <v>x</v>
      </c>
      <c r="DD13" s="60">
        <f>[1]APREPER!AB19</f>
        <v>0</v>
      </c>
      <c r="DE13" s="60">
        <f>[1]APREPER!AC19</f>
        <v>0</v>
      </c>
      <c r="DF13" s="60" t="str">
        <f>[1]APREPER!AD19</f>
        <v>x</v>
      </c>
      <c r="DG13" s="60">
        <f>[1]APREPER!AE19</f>
        <v>0</v>
      </c>
      <c r="DH13" s="60">
        <f>[1]APREPER!AF19</f>
        <v>0</v>
      </c>
      <c r="DI13" s="60" t="str">
        <f>[1]APREPER!AG19</f>
        <v>x</v>
      </c>
      <c r="DJ13" s="60">
        <f>[1]APREPER!AH19</f>
        <v>0</v>
      </c>
      <c r="DK13" s="60">
        <f>[1]APREPER!AI19</f>
        <v>0</v>
      </c>
      <c r="DL13" s="60" t="str">
        <f>[1]APREPER!AJ19</f>
        <v>A</v>
      </c>
      <c r="DM13" s="61" t="str">
        <f>[1]APREPPFF!I19</f>
        <v>x</v>
      </c>
      <c r="DN13" s="61">
        <f>[1]APREPPFF!J19</f>
        <v>0</v>
      </c>
      <c r="DO13" s="61">
        <f>[1]APREPPFF!K19</f>
        <v>0</v>
      </c>
      <c r="DP13" s="61" t="str">
        <f>[1]APREPPFF!L19</f>
        <v>x</v>
      </c>
      <c r="DQ13" s="61">
        <f>[1]APREPPFF!M19</f>
        <v>0</v>
      </c>
      <c r="DR13" s="61">
        <f>[1]APREPPFF!N19</f>
        <v>0</v>
      </c>
      <c r="DS13" s="61" t="str">
        <f>[1]APREPPFF!O19</f>
        <v>x</v>
      </c>
      <c r="DT13" s="61">
        <f>[1]APREPPFF!P19</f>
        <v>0</v>
      </c>
      <c r="DU13" s="61">
        <f>[1]APREPPFF!Q19</f>
        <v>0</v>
      </c>
      <c r="DV13" s="61" t="str">
        <f>[1]APREPPFF!R19</f>
        <v>x</v>
      </c>
      <c r="DW13" s="61">
        <f>[1]APREPPFF!S19</f>
        <v>0</v>
      </c>
      <c r="DX13" s="61">
        <f>[1]APREPPFF!T19</f>
        <v>0</v>
      </c>
      <c r="DY13" s="61" t="str">
        <f>[1]APREPPFF!U19</f>
        <v>A</v>
      </c>
      <c r="DZ13" s="60">
        <f>[1]ASISTEN!$BR$4</f>
        <v>47</v>
      </c>
      <c r="EA13" s="62">
        <f>[1]ASISTEN!BS21</f>
        <v>0.97872340425531912</v>
      </c>
      <c r="EB13" s="60">
        <f>[1]ASISTEN!BO21</f>
        <v>44</v>
      </c>
      <c r="EC13" s="63">
        <f>[1]ASISTEN!BP21</f>
        <v>1</v>
      </c>
      <c r="ED13" s="64">
        <f>[1]ASISTEN!BQ21</f>
        <v>1</v>
      </c>
      <c r="EE13" s="64">
        <f>[1]ASISTEN!BR21</f>
        <v>1</v>
      </c>
      <c r="EF13" s="64" t="str">
        <f>[1]APREPER!AM19</f>
        <v>El estudiante muestra iniciativa para la colaboración en actividades, debe de mantener reforzando lo que avanza en clase y sus tareas.</v>
      </c>
      <c r="EG13" s="65">
        <f t="shared" si="0"/>
        <v>146</v>
      </c>
      <c r="EH13" s="65">
        <f t="shared" si="1"/>
        <v>6</v>
      </c>
      <c r="EI13" s="66">
        <f t="shared" si="2"/>
        <v>0</v>
      </c>
      <c r="EJ13" s="66">
        <f t="shared" si="3"/>
        <v>63</v>
      </c>
      <c r="EK13" s="66">
        <f t="shared" si="4"/>
        <v>20</v>
      </c>
    </row>
    <row r="14" spans="1:141">
      <c r="A14" s="56" t="s">
        <v>0</v>
      </c>
      <c r="B14" s="57">
        <f>[1]MAT!C22</f>
        <v>0</v>
      </c>
      <c r="C14" s="58" t="str">
        <f>[1]MAT!N22</f>
        <v/>
      </c>
      <c r="D14" s="59" t="str">
        <f>[1]MAT!AH22</f>
        <v/>
      </c>
      <c r="E14" s="59" t="str">
        <f>[1]MAT!AZ22</f>
        <v/>
      </c>
      <c r="F14" s="59" t="str">
        <f>[1]MAT!R22</f>
        <v/>
      </c>
      <c r="G14" s="59" t="str">
        <f>[1]MAT!AL22</f>
        <v/>
      </c>
      <c r="H14" s="59" t="str">
        <f>[1]MAT!BA22</f>
        <v/>
      </c>
      <c r="I14" s="59" t="str">
        <f>[1]MAT!V22</f>
        <v/>
      </c>
      <c r="J14" s="59" t="str">
        <f>[1]MAT!AP22</f>
        <v/>
      </c>
      <c r="K14" s="59" t="str">
        <f>[1]MAT!BB22</f>
        <v/>
      </c>
      <c r="L14" s="59" t="str">
        <f>[1]MAT!Z22</f>
        <v/>
      </c>
      <c r="M14" s="59" t="str">
        <f>[1]MAT!AT22</f>
        <v/>
      </c>
      <c r="N14" s="59" t="str">
        <f>[1]MAT!BC22</f>
        <v/>
      </c>
      <c r="O14" s="59" t="str">
        <f>[1]CSOC!N22</f>
        <v/>
      </c>
      <c r="P14" s="59" t="str">
        <f>[1]CSOC!AH22</f>
        <v/>
      </c>
      <c r="Q14" s="59" t="str">
        <f>[1]CSOC!AZ22</f>
        <v/>
      </c>
      <c r="R14" s="59" t="str">
        <f>[1]CSOC!R22</f>
        <v/>
      </c>
      <c r="S14" s="59" t="str">
        <f>[1]CSOC!AL22</f>
        <v/>
      </c>
      <c r="T14" s="59" t="str">
        <f>[1]CSOC!BA22</f>
        <v/>
      </c>
      <c r="U14" s="59" t="str">
        <f>[1]CSOC!V22</f>
        <v/>
      </c>
      <c r="V14" s="59" t="str">
        <f>[1]CSOC!AP22</f>
        <v/>
      </c>
      <c r="W14" s="59" t="str">
        <f>[1]CSOC!BB22</f>
        <v/>
      </c>
      <c r="X14" s="59" t="str">
        <f>[1]EFIS!N22</f>
        <v/>
      </c>
      <c r="Y14" s="59" t="str">
        <f>[1]EFIS!AH22</f>
        <v/>
      </c>
      <c r="Z14" s="59" t="str">
        <f>[1]EFIS!AZ22</f>
        <v/>
      </c>
      <c r="AA14" s="59" t="str">
        <f>[1]EFIS!R22</f>
        <v/>
      </c>
      <c r="AB14" s="59" t="str">
        <f>[1]EFIS!AL22</f>
        <v/>
      </c>
      <c r="AC14" s="59" t="str">
        <f>[1]EFIS!BA22</f>
        <v/>
      </c>
      <c r="AD14" s="59" t="str">
        <f>[1]EFIS!V22</f>
        <v/>
      </c>
      <c r="AE14" s="59" t="str">
        <f>[1]EFIS!AP22</f>
        <v/>
      </c>
      <c r="AF14" s="59" t="str">
        <f>[1]EFIS!BB22</f>
        <v/>
      </c>
      <c r="AG14" s="59" t="str">
        <f>[1]DPCC!N22</f>
        <v/>
      </c>
      <c r="AH14" s="59" t="str">
        <f>[1]DPCC!AH22</f>
        <v/>
      </c>
      <c r="AI14" s="59" t="str">
        <f>[1]DPCC!AZ22</f>
        <v/>
      </c>
      <c r="AJ14" s="59" t="str">
        <f>[1]DPCC!R22</f>
        <v/>
      </c>
      <c r="AK14" s="59" t="str">
        <f>[1]DPCC!AL22</f>
        <v/>
      </c>
      <c r="AL14" s="59" t="str">
        <f>[1]DPCC!BA22</f>
        <v/>
      </c>
      <c r="AM14" s="59" t="str">
        <f>[1]ARTE!N22</f>
        <v/>
      </c>
      <c r="AN14" s="59" t="str">
        <f>[1]ARTE!AH22</f>
        <v/>
      </c>
      <c r="AO14" s="59" t="str">
        <f>[1]ARTE!AZ22</f>
        <v/>
      </c>
      <c r="AP14" s="59" t="str">
        <f>[1]ARTE!R22</f>
        <v/>
      </c>
      <c r="AQ14" s="59" t="str">
        <f>[1]ARTE!AL22</f>
        <v/>
      </c>
      <c r="AR14" s="59" t="str">
        <f>[1]ARTE!BA22</f>
        <v/>
      </c>
      <c r="AS14" s="59" t="str">
        <f>[1]COMU!N22</f>
        <v/>
      </c>
      <c r="AT14" s="59" t="str">
        <f>[1]COMU!AH22</f>
        <v/>
      </c>
      <c r="AU14" s="59" t="str">
        <f>[1]COMU!AZ22</f>
        <v/>
      </c>
      <c r="AV14" s="59" t="str">
        <f>[1]COMU!R22</f>
        <v/>
      </c>
      <c r="AW14" s="59" t="str">
        <f>[1]COMU!AL22</f>
        <v/>
      </c>
      <c r="AX14" s="59" t="str">
        <f>[1]COMU!BA22</f>
        <v/>
      </c>
      <c r="AY14" s="59" t="str">
        <f>[1]COMU!V22</f>
        <v/>
      </c>
      <c r="AZ14" s="59" t="str">
        <f>[1]COMU!AP22</f>
        <v/>
      </c>
      <c r="BA14" s="59" t="str">
        <f>[1]COMU!BB22</f>
        <v/>
      </c>
      <c r="BB14" s="59" t="str">
        <f>[1]CTEC!N22</f>
        <v/>
      </c>
      <c r="BC14" s="59" t="str">
        <f>[1]CTEC!AH22</f>
        <v/>
      </c>
      <c r="BD14" s="59" t="str">
        <f>[1]CTEC!AZ22</f>
        <v/>
      </c>
      <c r="BE14" s="59" t="str">
        <f>[1]CTEC!R22</f>
        <v/>
      </c>
      <c r="BF14" s="59" t="str">
        <f>[1]CTEC!AL22</f>
        <v/>
      </c>
      <c r="BG14" s="59" t="str">
        <f>[1]CTEC!BA22</f>
        <v/>
      </c>
      <c r="BH14" s="59" t="str">
        <f>[1]CTEC!V22</f>
        <v/>
      </c>
      <c r="BI14" s="59" t="str">
        <f>[1]CTEC!AP22</f>
        <v/>
      </c>
      <c r="BJ14" s="59" t="str">
        <f>[1]CTEC!BB22</f>
        <v/>
      </c>
      <c r="BK14" s="59" t="str">
        <f>[1]ING!N22</f>
        <v/>
      </c>
      <c r="BL14" s="59" t="str">
        <f>[1]ING!AH22</f>
        <v/>
      </c>
      <c r="BM14" s="59" t="str">
        <f>[1]ING!AZ22</f>
        <v/>
      </c>
      <c r="BN14" s="59" t="str">
        <f>[1]ING!R22</f>
        <v/>
      </c>
      <c r="BO14" s="59" t="str">
        <f>[1]ING!AL22</f>
        <v/>
      </c>
      <c r="BP14" s="59" t="str">
        <f>[1]ING!BA22</f>
        <v/>
      </c>
      <c r="BQ14" s="59" t="str">
        <f>[1]ING!V22</f>
        <v/>
      </c>
      <c r="BR14" s="59" t="str">
        <f>[1]ING!AP22</f>
        <v/>
      </c>
      <c r="BS14" s="59" t="str">
        <f>[1]ING!BB22</f>
        <v/>
      </c>
      <c r="BT14" s="59" t="str">
        <f>[1]REL!N22</f>
        <v/>
      </c>
      <c r="BU14" s="59" t="str">
        <f>[1]REL!AH22</f>
        <v/>
      </c>
      <c r="BV14" s="59" t="str">
        <f>[1]REL!AZ22</f>
        <v/>
      </c>
      <c r="BW14" s="59" t="str">
        <f>[1]REL!R22</f>
        <v/>
      </c>
      <c r="BX14" s="59" t="str">
        <f>[1]REL!AL22</f>
        <v/>
      </c>
      <c r="BY14" s="59" t="str">
        <f>[1]REL!BA22</f>
        <v/>
      </c>
      <c r="BZ14" s="59" t="str">
        <f>[1]EMPR!N22</f>
        <v/>
      </c>
      <c r="CA14" s="59" t="str">
        <f>[1]EMPR!AH22</f>
        <v/>
      </c>
      <c r="CB14" s="59" t="str">
        <f>[1]EMPR!AZ22</f>
        <v/>
      </c>
      <c r="CC14" s="59" t="str">
        <f>[1]COMPU!N22</f>
        <v/>
      </c>
      <c r="CD14" s="59" t="str">
        <f>[1]COMPU!AH22</f>
        <v/>
      </c>
      <c r="CE14" s="59" t="str">
        <f>[1]COMPU!AZ22</f>
        <v/>
      </c>
      <c r="CF14" s="59" t="str">
        <f>[1]ROBOTI!N22</f>
        <v/>
      </c>
      <c r="CG14" s="59" t="str">
        <f>[1]ROBOTI!AH22</f>
        <v/>
      </c>
      <c r="CH14" s="59" t="str">
        <f>[1]ROBOTI!AZ22</f>
        <v/>
      </c>
      <c r="CI14" s="60">
        <f>[1]APREPER!AK20</f>
        <v>0</v>
      </c>
      <c r="CJ14" s="60">
        <f>[1]APREPER!AL20</f>
        <v>0</v>
      </c>
      <c r="CK14" s="60">
        <f>[1]APREPER!I20</f>
        <v>0</v>
      </c>
      <c r="CL14" s="60">
        <f>[1]APREPER!J20</f>
        <v>0</v>
      </c>
      <c r="CM14" s="60">
        <f>[1]APREPER!K20</f>
        <v>0</v>
      </c>
      <c r="CN14" s="60">
        <f>[1]APREPER!L20</f>
        <v>0</v>
      </c>
      <c r="CO14" s="60">
        <f>[1]APREPER!M20</f>
        <v>0</v>
      </c>
      <c r="CP14" s="60">
        <f>[1]APREPER!N20</f>
        <v>0</v>
      </c>
      <c r="CQ14" s="60">
        <f>[1]APREPER!O20</f>
        <v>0</v>
      </c>
      <c r="CR14" s="60">
        <f>[1]APREPER!P20</f>
        <v>0</v>
      </c>
      <c r="CS14" s="60">
        <f>[1]APREPER!Q20</f>
        <v>0</v>
      </c>
      <c r="CT14" s="60">
        <f>[1]APREPER!R20</f>
        <v>0</v>
      </c>
      <c r="CU14" s="60">
        <f>[1]APREPER!S20</f>
        <v>0</v>
      </c>
      <c r="CV14" s="60">
        <f>[1]APREPER!T20</f>
        <v>0</v>
      </c>
      <c r="CW14" s="60">
        <f>[1]APREPER!U20</f>
        <v>0</v>
      </c>
      <c r="CX14" s="60">
        <f>[1]APREPER!V20</f>
        <v>0</v>
      </c>
      <c r="CY14" s="60">
        <f>[1]APREPER!W20</f>
        <v>0</v>
      </c>
      <c r="CZ14" s="60">
        <f>[1]APREPER!X20</f>
        <v>0</v>
      </c>
      <c r="DA14" s="60">
        <f>[1]APREPER!Y20</f>
        <v>0</v>
      </c>
      <c r="DB14" s="60">
        <f>[1]APREPER!Z20</f>
        <v>0</v>
      </c>
      <c r="DC14" s="60">
        <f>[1]APREPER!AA20</f>
        <v>0</v>
      </c>
      <c r="DD14" s="60">
        <f>[1]APREPER!AB20</f>
        <v>0</v>
      </c>
      <c r="DE14" s="60">
        <f>[1]APREPER!AC20</f>
        <v>0</v>
      </c>
      <c r="DF14" s="60">
        <f>[1]APREPER!AD20</f>
        <v>0</v>
      </c>
      <c r="DG14" s="60">
        <f>[1]APREPER!AE20</f>
        <v>0</v>
      </c>
      <c r="DH14" s="60">
        <f>[1]APREPER!AF20</f>
        <v>0</v>
      </c>
      <c r="DI14" s="60">
        <f>[1]APREPER!AG20</f>
        <v>0</v>
      </c>
      <c r="DJ14" s="60">
        <f>[1]APREPER!AH20</f>
        <v>0</v>
      </c>
      <c r="DK14" s="60">
        <f>[1]APREPER!AI20</f>
        <v>0</v>
      </c>
      <c r="DL14" s="60">
        <f>[1]APREPER!AJ20</f>
        <v>0</v>
      </c>
      <c r="DM14" s="61">
        <f>[1]APREPPFF!I20</f>
        <v>0</v>
      </c>
      <c r="DN14" s="61">
        <f>[1]APREPPFF!J20</f>
        <v>0</v>
      </c>
      <c r="DO14" s="61">
        <f>[1]APREPPFF!K20</f>
        <v>0</v>
      </c>
      <c r="DP14" s="61">
        <f>[1]APREPPFF!L20</f>
        <v>0</v>
      </c>
      <c r="DQ14" s="61">
        <f>[1]APREPPFF!M20</f>
        <v>0</v>
      </c>
      <c r="DR14" s="61">
        <f>[1]APREPPFF!N20</f>
        <v>0</v>
      </c>
      <c r="DS14" s="61">
        <f>[1]APREPPFF!O20</f>
        <v>0</v>
      </c>
      <c r="DT14" s="61">
        <f>[1]APREPPFF!P20</f>
        <v>0</v>
      </c>
      <c r="DU14" s="61">
        <f>[1]APREPPFF!Q20</f>
        <v>0</v>
      </c>
      <c r="DV14" s="61">
        <f>[1]APREPPFF!R20</f>
        <v>0</v>
      </c>
      <c r="DW14" s="61">
        <f>[1]APREPPFF!S20</f>
        <v>0</v>
      </c>
      <c r="DX14" s="61">
        <f>[1]APREPPFF!T20</f>
        <v>0</v>
      </c>
      <c r="DY14" s="61">
        <f>[1]APREPPFF!U20</f>
        <v>0</v>
      </c>
      <c r="DZ14" s="60"/>
      <c r="EA14" s="62"/>
      <c r="EB14" s="60"/>
      <c r="EC14" s="63"/>
      <c r="ED14" s="64"/>
      <c r="EE14" s="64"/>
      <c r="EF14" s="64">
        <f>[1]APREPER!AM20</f>
        <v>0</v>
      </c>
      <c r="EG14" s="65"/>
      <c r="EH14" s="65"/>
      <c r="EI14" s="66">
        <f t="shared" si="2"/>
        <v>0</v>
      </c>
      <c r="EJ14" s="66">
        <f t="shared" si="3"/>
        <v>0</v>
      </c>
      <c r="EK14" s="66">
        <f t="shared" si="4"/>
        <v>0</v>
      </c>
    </row>
    <row r="15" spans="1:141">
      <c r="A15" s="56" t="s">
        <v>1</v>
      </c>
      <c r="B15" s="57">
        <f>[1]MAT!C23</f>
        <v>0</v>
      </c>
      <c r="C15" s="58" t="str">
        <f>[1]MAT!N23</f>
        <v/>
      </c>
      <c r="D15" s="59" t="str">
        <f>[1]MAT!AH23</f>
        <v/>
      </c>
      <c r="E15" s="59" t="str">
        <f>[1]MAT!AZ23</f>
        <v/>
      </c>
      <c r="F15" s="59" t="str">
        <f>[1]MAT!R23</f>
        <v/>
      </c>
      <c r="G15" s="59" t="str">
        <f>[1]MAT!AL23</f>
        <v/>
      </c>
      <c r="H15" s="59" t="str">
        <f>[1]MAT!BA23</f>
        <v/>
      </c>
      <c r="I15" s="59" t="str">
        <f>[1]MAT!V23</f>
        <v/>
      </c>
      <c r="J15" s="59" t="str">
        <f>[1]MAT!AP23</f>
        <v/>
      </c>
      <c r="K15" s="59" t="str">
        <f>[1]MAT!BB23</f>
        <v/>
      </c>
      <c r="L15" s="59" t="str">
        <f>[1]MAT!Z23</f>
        <v/>
      </c>
      <c r="M15" s="59" t="str">
        <f>[1]MAT!AT23</f>
        <v/>
      </c>
      <c r="N15" s="59" t="str">
        <f>[1]MAT!BC23</f>
        <v/>
      </c>
      <c r="O15" s="59" t="str">
        <f>[1]CSOC!N23</f>
        <v/>
      </c>
      <c r="P15" s="59" t="str">
        <f>[1]CSOC!AH23</f>
        <v/>
      </c>
      <c r="Q15" s="59" t="str">
        <f>[1]CSOC!AZ23</f>
        <v/>
      </c>
      <c r="R15" s="59" t="str">
        <f>[1]CSOC!R23</f>
        <v/>
      </c>
      <c r="S15" s="59" t="str">
        <f>[1]CSOC!AL23</f>
        <v/>
      </c>
      <c r="T15" s="59" t="str">
        <f>[1]CSOC!BA23</f>
        <v/>
      </c>
      <c r="U15" s="59" t="str">
        <f>[1]CSOC!V23</f>
        <v/>
      </c>
      <c r="V15" s="59" t="str">
        <f>[1]CSOC!AP23</f>
        <v/>
      </c>
      <c r="W15" s="59" t="str">
        <f>[1]CSOC!BB23</f>
        <v/>
      </c>
      <c r="X15" s="59" t="str">
        <f>[1]EFIS!N23</f>
        <v/>
      </c>
      <c r="Y15" s="59" t="str">
        <f>[1]EFIS!AH23</f>
        <v/>
      </c>
      <c r="Z15" s="59" t="str">
        <f>[1]EFIS!AZ23</f>
        <v/>
      </c>
      <c r="AA15" s="59" t="str">
        <f>[1]EFIS!R23</f>
        <v/>
      </c>
      <c r="AB15" s="59" t="str">
        <f>[1]EFIS!AL23</f>
        <v/>
      </c>
      <c r="AC15" s="59" t="str">
        <f>[1]EFIS!BA23</f>
        <v/>
      </c>
      <c r="AD15" s="59" t="str">
        <f>[1]EFIS!V23</f>
        <v/>
      </c>
      <c r="AE15" s="59" t="str">
        <f>[1]EFIS!AP23</f>
        <v/>
      </c>
      <c r="AF15" s="59" t="str">
        <f>[1]EFIS!BB23</f>
        <v/>
      </c>
      <c r="AG15" s="59" t="str">
        <f>[1]DPCC!N23</f>
        <v/>
      </c>
      <c r="AH15" s="59" t="str">
        <f>[1]DPCC!AH23</f>
        <v/>
      </c>
      <c r="AI15" s="59" t="str">
        <f>[1]DPCC!AZ23</f>
        <v/>
      </c>
      <c r="AJ15" s="59" t="str">
        <f>[1]DPCC!R23</f>
        <v/>
      </c>
      <c r="AK15" s="59" t="str">
        <f>[1]DPCC!AL23</f>
        <v/>
      </c>
      <c r="AL15" s="59" t="str">
        <f>[1]DPCC!BA23</f>
        <v/>
      </c>
      <c r="AM15" s="59" t="str">
        <f>[1]ARTE!N23</f>
        <v/>
      </c>
      <c r="AN15" s="59" t="str">
        <f>[1]ARTE!AH23</f>
        <v/>
      </c>
      <c r="AO15" s="59" t="str">
        <f>[1]ARTE!AZ23</f>
        <v/>
      </c>
      <c r="AP15" s="59" t="str">
        <f>[1]ARTE!R23</f>
        <v/>
      </c>
      <c r="AQ15" s="59" t="str">
        <f>[1]ARTE!AL23</f>
        <v/>
      </c>
      <c r="AR15" s="59" t="str">
        <f>[1]ARTE!BA23</f>
        <v/>
      </c>
      <c r="AS15" s="59" t="str">
        <f>[1]COMU!N23</f>
        <v/>
      </c>
      <c r="AT15" s="59" t="str">
        <f>[1]COMU!AH23</f>
        <v/>
      </c>
      <c r="AU15" s="59" t="str">
        <f>[1]COMU!AZ23</f>
        <v/>
      </c>
      <c r="AV15" s="59" t="str">
        <f>[1]COMU!R23</f>
        <v/>
      </c>
      <c r="AW15" s="59" t="str">
        <f>[1]COMU!AL23</f>
        <v/>
      </c>
      <c r="AX15" s="59" t="str">
        <f>[1]COMU!BA23</f>
        <v/>
      </c>
      <c r="AY15" s="59" t="str">
        <f>[1]COMU!V23</f>
        <v/>
      </c>
      <c r="AZ15" s="59" t="str">
        <f>[1]COMU!AP23</f>
        <v/>
      </c>
      <c r="BA15" s="59" t="str">
        <f>[1]COMU!BB23</f>
        <v/>
      </c>
      <c r="BB15" s="59" t="str">
        <f>[1]CTEC!N23</f>
        <v/>
      </c>
      <c r="BC15" s="59" t="str">
        <f>[1]CTEC!AH23</f>
        <v/>
      </c>
      <c r="BD15" s="59" t="str">
        <f>[1]CTEC!AZ23</f>
        <v/>
      </c>
      <c r="BE15" s="59" t="str">
        <f>[1]CTEC!R23</f>
        <v/>
      </c>
      <c r="BF15" s="59" t="str">
        <f>[1]CTEC!AL23</f>
        <v/>
      </c>
      <c r="BG15" s="59" t="str">
        <f>[1]CTEC!BA23</f>
        <v/>
      </c>
      <c r="BH15" s="59" t="str">
        <f>[1]CTEC!V23</f>
        <v/>
      </c>
      <c r="BI15" s="59" t="str">
        <f>[1]CTEC!AP23</f>
        <v/>
      </c>
      <c r="BJ15" s="59" t="str">
        <f>[1]CTEC!BB23</f>
        <v/>
      </c>
      <c r="BK15" s="59" t="str">
        <f>[1]ING!N23</f>
        <v/>
      </c>
      <c r="BL15" s="59" t="str">
        <f>[1]ING!AH23</f>
        <v/>
      </c>
      <c r="BM15" s="59" t="str">
        <f>[1]ING!AZ23</f>
        <v/>
      </c>
      <c r="BN15" s="59" t="str">
        <f>[1]ING!R23</f>
        <v/>
      </c>
      <c r="BO15" s="59" t="str">
        <f>[1]ING!AL23</f>
        <v/>
      </c>
      <c r="BP15" s="59" t="str">
        <f>[1]ING!BA23</f>
        <v/>
      </c>
      <c r="BQ15" s="59" t="str">
        <f>[1]ING!V23</f>
        <v/>
      </c>
      <c r="BR15" s="59" t="str">
        <f>[1]ING!AP23</f>
        <v/>
      </c>
      <c r="BS15" s="59" t="str">
        <f>[1]ING!BB23</f>
        <v/>
      </c>
      <c r="BT15" s="59" t="str">
        <f>[1]REL!N23</f>
        <v/>
      </c>
      <c r="BU15" s="59" t="str">
        <f>[1]REL!AH23</f>
        <v/>
      </c>
      <c r="BV15" s="59" t="str">
        <f>[1]REL!AZ23</f>
        <v/>
      </c>
      <c r="BW15" s="59" t="str">
        <f>[1]REL!R23</f>
        <v/>
      </c>
      <c r="BX15" s="59" t="str">
        <f>[1]REL!AL23</f>
        <v/>
      </c>
      <c r="BY15" s="59" t="str">
        <f>[1]REL!BA23</f>
        <v/>
      </c>
      <c r="BZ15" s="59" t="str">
        <f>[1]EMPR!N23</f>
        <v/>
      </c>
      <c r="CA15" s="59" t="str">
        <f>[1]EMPR!AH23</f>
        <v/>
      </c>
      <c r="CB15" s="59" t="str">
        <f>[1]EMPR!AZ23</f>
        <v/>
      </c>
      <c r="CC15" s="59" t="str">
        <f>[1]COMPU!N23</f>
        <v/>
      </c>
      <c r="CD15" s="59" t="str">
        <f>[1]COMPU!AH23</f>
        <v/>
      </c>
      <c r="CE15" s="59" t="str">
        <f>[1]COMPU!AZ23</f>
        <v/>
      </c>
      <c r="CF15" s="59" t="str">
        <f>[1]ROBOTI!N23</f>
        <v/>
      </c>
      <c r="CG15" s="59" t="str">
        <f>[1]ROBOTI!AH23</f>
        <v/>
      </c>
      <c r="CH15" s="59" t="str">
        <f>[1]ROBOTI!AZ23</f>
        <v/>
      </c>
      <c r="CI15" s="60">
        <f>[1]APREPER!AK21</f>
        <v>0</v>
      </c>
      <c r="CJ15" s="60">
        <f>[1]APREPER!AL21</f>
        <v>0</v>
      </c>
      <c r="CK15" s="60">
        <f>[1]APREPER!I21</f>
        <v>0</v>
      </c>
      <c r="CL15" s="60">
        <f>[1]APREPER!J21</f>
        <v>0</v>
      </c>
      <c r="CM15" s="60">
        <f>[1]APREPER!K21</f>
        <v>0</v>
      </c>
      <c r="CN15" s="60">
        <f>[1]APREPER!L21</f>
        <v>0</v>
      </c>
      <c r="CO15" s="60">
        <f>[1]APREPER!M21</f>
        <v>0</v>
      </c>
      <c r="CP15" s="60">
        <f>[1]APREPER!N21</f>
        <v>0</v>
      </c>
      <c r="CQ15" s="60">
        <f>[1]APREPER!O21</f>
        <v>0</v>
      </c>
      <c r="CR15" s="60">
        <f>[1]APREPER!P21</f>
        <v>0</v>
      </c>
      <c r="CS15" s="60">
        <f>[1]APREPER!Q21</f>
        <v>0</v>
      </c>
      <c r="CT15" s="60">
        <f>[1]APREPER!R21</f>
        <v>0</v>
      </c>
      <c r="CU15" s="60">
        <f>[1]APREPER!S21</f>
        <v>0</v>
      </c>
      <c r="CV15" s="60">
        <f>[1]APREPER!T21</f>
        <v>0</v>
      </c>
      <c r="CW15" s="60">
        <f>[1]APREPER!U21</f>
        <v>0</v>
      </c>
      <c r="CX15" s="60">
        <f>[1]APREPER!V21</f>
        <v>0</v>
      </c>
      <c r="CY15" s="60">
        <f>[1]APREPER!W21</f>
        <v>0</v>
      </c>
      <c r="CZ15" s="60">
        <f>[1]APREPER!X21</f>
        <v>0</v>
      </c>
      <c r="DA15" s="60">
        <f>[1]APREPER!Y21</f>
        <v>0</v>
      </c>
      <c r="DB15" s="60">
        <f>[1]APREPER!Z21</f>
        <v>0</v>
      </c>
      <c r="DC15" s="60">
        <f>[1]APREPER!AA21</f>
        <v>0</v>
      </c>
      <c r="DD15" s="60">
        <f>[1]APREPER!AB21</f>
        <v>0</v>
      </c>
      <c r="DE15" s="60">
        <f>[1]APREPER!AC21</f>
        <v>0</v>
      </c>
      <c r="DF15" s="60">
        <f>[1]APREPER!AD21</f>
        <v>0</v>
      </c>
      <c r="DG15" s="60">
        <f>[1]APREPER!AE21</f>
        <v>0</v>
      </c>
      <c r="DH15" s="60">
        <f>[1]APREPER!AF21</f>
        <v>0</v>
      </c>
      <c r="DI15" s="60">
        <f>[1]APREPER!AG21</f>
        <v>0</v>
      </c>
      <c r="DJ15" s="60">
        <f>[1]APREPER!AH21</f>
        <v>0</v>
      </c>
      <c r="DK15" s="60">
        <f>[1]APREPER!AI21</f>
        <v>0</v>
      </c>
      <c r="DL15" s="60">
        <f>[1]APREPER!AJ21</f>
        <v>0</v>
      </c>
      <c r="DM15" s="61">
        <f>[1]APREPPFF!I21</f>
        <v>0</v>
      </c>
      <c r="DN15" s="61">
        <f>[1]APREPPFF!J21</f>
        <v>0</v>
      </c>
      <c r="DO15" s="61">
        <f>[1]APREPPFF!K21</f>
        <v>0</v>
      </c>
      <c r="DP15" s="61">
        <f>[1]APREPPFF!L21</f>
        <v>0</v>
      </c>
      <c r="DQ15" s="61">
        <f>[1]APREPPFF!M21</f>
        <v>0</v>
      </c>
      <c r="DR15" s="61">
        <f>[1]APREPPFF!N21</f>
        <v>0</v>
      </c>
      <c r="DS15" s="61">
        <f>[1]APREPPFF!O21</f>
        <v>0</v>
      </c>
      <c r="DT15" s="61">
        <f>[1]APREPPFF!P21</f>
        <v>0</v>
      </c>
      <c r="DU15" s="61">
        <f>[1]APREPPFF!Q21</f>
        <v>0</v>
      </c>
      <c r="DV15" s="61">
        <f>[1]APREPPFF!R21</f>
        <v>0</v>
      </c>
      <c r="DW15" s="61">
        <f>[1]APREPPFF!S21</f>
        <v>0</v>
      </c>
      <c r="DX15" s="61">
        <f>[1]APREPPFF!T21</f>
        <v>0</v>
      </c>
      <c r="DY15" s="61">
        <f>[1]APREPPFF!U21</f>
        <v>0</v>
      </c>
      <c r="DZ15" s="60"/>
      <c r="EA15" s="62"/>
      <c r="EB15" s="60"/>
      <c r="EC15" s="63"/>
      <c r="ED15" s="64"/>
      <c r="EE15" s="64"/>
      <c r="EF15" s="64">
        <f>[1]APREPER!AM21</f>
        <v>0</v>
      </c>
      <c r="EG15" s="65"/>
      <c r="EH15" s="65"/>
      <c r="EI15" s="66">
        <f t="shared" si="2"/>
        <v>0</v>
      </c>
      <c r="EJ15" s="66">
        <f t="shared" si="3"/>
        <v>0</v>
      </c>
      <c r="EK15" s="66">
        <f t="shared" si="4"/>
        <v>0</v>
      </c>
    </row>
    <row r="16" spans="1:141">
      <c r="A16" s="56" t="s">
        <v>2</v>
      </c>
      <c r="B16" s="57">
        <f>[1]MAT!C24</f>
        <v>0</v>
      </c>
      <c r="C16" s="58" t="str">
        <f>[1]MAT!N24</f>
        <v/>
      </c>
      <c r="D16" s="59" t="str">
        <f>[1]MAT!AH24</f>
        <v/>
      </c>
      <c r="E16" s="59" t="str">
        <f>[1]MAT!AZ24</f>
        <v/>
      </c>
      <c r="F16" s="59" t="str">
        <f>[1]MAT!R24</f>
        <v/>
      </c>
      <c r="G16" s="59" t="str">
        <f>[1]MAT!AL24</f>
        <v/>
      </c>
      <c r="H16" s="59" t="str">
        <f>[1]MAT!BA24</f>
        <v/>
      </c>
      <c r="I16" s="59" t="str">
        <f>[1]MAT!V24</f>
        <v/>
      </c>
      <c r="J16" s="59" t="str">
        <f>[1]MAT!AP24</f>
        <v/>
      </c>
      <c r="K16" s="59" t="str">
        <f>[1]MAT!BB24</f>
        <v/>
      </c>
      <c r="L16" s="59" t="str">
        <f>[1]MAT!Z24</f>
        <v/>
      </c>
      <c r="M16" s="59" t="str">
        <f>[1]MAT!AT24</f>
        <v/>
      </c>
      <c r="N16" s="59" t="str">
        <f>[1]MAT!BC24</f>
        <v/>
      </c>
      <c r="O16" s="59" t="str">
        <f>[1]CSOC!N24</f>
        <v/>
      </c>
      <c r="P16" s="59" t="str">
        <f>[1]CSOC!AH24</f>
        <v/>
      </c>
      <c r="Q16" s="59" t="str">
        <f>[1]CSOC!AZ24</f>
        <v/>
      </c>
      <c r="R16" s="59" t="str">
        <f>[1]CSOC!R24</f>
        <v/>
      </c>
      <c r="S16" s="59" t="str">
        <f>[1]CSOC!AL24</f>
        <v/>
      </c>
      <c r="T16" s="59" t="str">
        <f>[1]CSOC!BA24</f>
        <v/>
      </c>
      <c r="U16" s="59" t="str">
        <f>[1]CSOC!V24</f>
        <v/>
      </c>
      <c r="V16" s="59" t="str">
        <f>[1]CSOC!AP24</f>
        <v/>
      </c>
      <c r="W16" s="59" t="str">
        <f>[1]CSOC!BB24</f>
        <v/>
      </c>
      <c r="X16" s="59" t="str">
        <f>[1]EFIS!N24</f>
        <v/>
      </c>
      <c r="Y16" s="59" t="str">
        <f>[1]EFIS!AH24</f>
        <v/>
      </c>
      <c r="Z16" s="59" t="str">
        <f>[1]EFIS!AZ24</f>
        <v/>
      </c>
      <c r="AA16" s="59" t="str">
        <f>[1]EFIS!R24</f>
        <v/>
      </c>
      <c r="AB16" s="59" t="str">
        <f>[1]EFIS!AL24</f>
        <v/>
      </c>
      <c r="AC16" s="59" t="str">
        <f>[1]EFIS!BA24</f>
        <v/>
      </c>
      <c r="AD16" s="59" t="str">
        <f>[1]EFIS!V24</f>
        <v/>
      </c>
      <c r="AE16" s="59" t="str">
        <f>[1]EFIS!AP24</f>
        <v/>
      </c>
      <c r="AF16" s="59" t="str">
        <f>[1]EFIS!BB24</f>
        <v/>
      </c>
      <c r="AG16" s="59" t="str">
        <f>[1]DPCC!N24</f>
        <v/>
      </c>
      <c r="AH16" s="59" t="str">
        <f>[1]DPCC!AH24</f>
        <v/>
      </c>
      <c r="AI16" s="59" t="str">
        <f>[1]DPCC!AZ24</f>
        <v/>
      </c>
      <c r="AJ16" s="59" t="str">
        <f>[1]DPCC!R24</f>
        <v/>
      </c>
      <c r="AK16" s="59" t="str">
        <f>[1]DPCC!AL24</f>
        <v/>
      </c>
      <c r="AL16" s="59" t="str">
        <f>[1]DPCC!BA24</f>
        <v/>
      </c>
      <c r="AM16" s="59" t="str">
        <f>[1]ARTE!N24</f>
        <v/>
      </c>
      <c r="AN16" s="59" t="str">
        <f>[1]ARTE!AH24</f>
        <v/>
      </c>
      <c r="AO16" s="59" t="str">
        <f>[1]ARTE!AZ24</f>
        <v/>
      </c>
      <c r="AP16" s="59" t="str">
        <f>[1]ARTE!R24</f>
        <v/>
      </c>
      <c r="AQ16" s="59" t="str">
        <f>[1]ARTE!AL24</f>
        <v/>
      </c>
      <c r="AR16" s="59" t="str">
        <f>[1]ARTE!BA24</f>
        <v/>
      </c>
      <c r="AS16" s="59" t="str">
        <f>[1]COMU!N24</f>
        <v/>
      </c>
      <c r="AT16" s="59" t="str">
        <f>[1]COMU!AH24</f>
        <v/>
      </c>
      <c r="AU16" s="59" t="str">
        <f>[1]COMU!AZ24</f>
        <v/>
      </c>
      <c r="AV16" s="59" t="str">
        <f>[1]COMU!R24</f>
        <v/>
      </c>
      <c r="AW16" s="59" t="str">
        <f>[1]COMU!AL24</f>
        <v/>
      </c>
      <c r="AX16" s="59" t="str">
        <f>[1]COMU!BA24</f>
        <v/>
      </c>
      <c r="AY16" s="59" t="str">
        <f>[1]COMU!V24</f>
        <v/>
      </c>
      <c r="AZ16" s="59" t="str">
        <f>[1]COMU!AP24</f>
        <v/>
      </c>
      <c r="BA16" s="59" t="str">
        <f>[1]COMU!BB24</f>
        <v/>
      </c>
      <c r="BB16" s="59" t="str">
        <f>[1]CTEC!N24</f>
        <v/>
      </c>
      <c r="BC16" s="59" t="str">
        <f>[1]CTEC!AH24</f>
        <v/>
      </c>
      <c r="BD16" s="59" t="str">
        <f>[1]CTEC!AZ24</f>
        <v/>
      </c>
      <c r="BE16" s="59" t="str">
        <f>[1]CTEC!R24</f>
        <v/>
      </c>
      <c r="BF16" s="59" t="str">
        <f>[1]CTEC!AL24</f>
        <v/>
      </c>
      <c r="BG16" s="59" t="str">
        <f>[1]CTEC!BA24</f>
        <v/>
      </c>
      <c r="BH16" s="59" t="str">
        <f>[1]CTEC!V24</f>
        <v/>
      </c>
      <c r="BI16" s="59" t="str">
        <f>[1]CTEC!AP24</f>
        <v/>
      </c>
      <c r="BJ16" s="59" t="str">
        <f>[1]CTEC!BB24</f>
        <v/>
      </c>
      <c r="BK16" s="59" t="str">
        <f>[1]ING!N24</f>
        <v/>
      </c>
      <c r="BL16" s="59" t="str">
        <f>[1]ING!AH24</f>
        <v/>
      </c>
      <c r="BM16" s="59" t="str">
        <f>[1]ING!AZ24</f>
        <v/>
      </c>
      <c r="BN16" s="59" t="str">
        <f>[1]ING!R24</f>
        <v/>
      </c>
      <c r="BO16" s="59" t="str">
        <f>[1]ING!AL24</f>
        <v/>
      </c>
      <c r="BP16" s="59" t="str">
        <f>[1]ING!BA24</f>
        <v/>
      </c>
      <c r="BQ16" s="59" t="str">
        <f>[1]ING!V24</f>
        <v/>
      </c>
      <c r="BR16" s="59" t="str">
        <f>[1]ING!AP24</f>
        <v/>
      </c>
      <c r="BS16" s="59" t="str">
        <f>[1]ING!BB24</f>
        <v/>
      </c>
      <c r="BT16" s="59" t="str">
        <f>[1]REL!N24</f>
        <v/>
      </c>
      <c r="BU16" s="59" t="str">
        <f>[1]REL!AH24</f>
        <v/>
      </c>
      <c r="BV16" s="59" t="str">
        <f>[1]REL!AZ24</f>
        <v/>
      </c>
      <c r="BW16" s="59" t="str">
        <f>[1]REL!R24</f>
        <v/>
      </c>
      <c r="BX16" s="59" t="str">
        <f>[1]REL!AL24</f>
        <v/>
      </c>
      <c r="BY16" s="59" t="str">
        <f>[1]REL!BA24</f>
        <v/>
      </c>
      <c r="BZ16" s="59" t="str">
        <f>[1]EMPR!N24</f>
        <v/>
      </c>
      <c r="CA16" s="59" t="str">
        <f>[1]EMPR!AH24</f>
        <v/>
      </c>
      <c r="CB16" s="59" t="str">
        <f>[1]EMPR!AZ24</f>
        <v/>
      </c>
      <c r="CC16" s="59" t="str">
        <f>[1]COMPU!N24</f>
        <v/>
      </c>
      <c r="CD16" s="59" t="str">
        <f>[1]COMPU!AH24</f>
        <v/>
      </c>
      <c r="CE16" s="59" t="str">
        <f>[1]COMPU!AZ24</f>
        <v/>
      </c>
      <c r="CF16" s="59" t="str">
        <f>[1]ROBOTI!N24</f>
        <v/>
      </c>
      <c r="CG16" s="59" t="str">
        <f>[1]ROBOTI!AH24</f>
        <v/>
      </c>
      <c r="CH16" s="59" t="str">
        <f>[1]ROBOTI!AZ24</f>
        <v/>
      </c>
      <c r="CI16" s="60">
        <f>[1]APREPER!AK22</f>
        <v>0</v>
      </c>
      <c r="CJ16" s="60">
        <f>[1]APREPER!AL22</f>
        <v>0</v>
      </c>
      <c r="CK16" s="60">
        <f>[1]APREPER!I22</f>
        <v>0</v>
      </c>
      <c r="CL16" s="60">
        <f>[1]APREPER!J22</f>
        <v>0</v>
      </c>
      <c r="CM16" s="60">
        <f>[1]APREPER!K22</f>
        <v>0</v>
      </c>
      <c r="CN16" s="60">
        <f>[1]APREPER!L22</f>
        <v>0</v>
      </c>
      <c r="CO16" s="60">
        <f>[1]APREPER!M22</f>
        <v>0</v>
      </c>
      <c r="CP16" s="60">
        <f>[1]APREPER!N22</f>
        <v>0</v>
      </c>
      <c r="CQ16" s="60">
        <f>[1]APREPER!O22</f>
        <v>0</v>
      </c>
      <c r="CR16" s="60">
        <f>[1]APREPER!P22</f>
        <v>0</v>
      </c>
      <c r="CS16" s="60">
        <f>[1]APREPER!Q22</f>
        <v>0</v>
      </c>
      <c r="CT16" s="60">
        <f>[1]APREPER!R22</f>
        <v>0</v>
      </c>
      <c r="CU16" s="60">
        <f>[1]APREPER!S22</f>
        <v>0</v>
      </c>
      <c r="CV16" s="60">
        <f>[1]APREPER!T22</f>
        <v>0</v>
      </c>
      <c r="CW16" s="60">
        <f>[1]APREPER!U22</f>
        <v>0</v>
      </c>
      <c r="CX16" s="60">
        <f>[1]APREPER!V22</f>
        <v>0</v>
      </c>
      <c r="CY16" s="60">
        <f>[1]APREPER!W22</f>
        <v>0</v>
      </c>
      <c r="CZ16" s="60">
        <f>[1]APREPER!X22</f>
        <v>0</v>
      </c>
      <c r="DA16" s="60">
        <f>[1]APREPER!Y22</f>
        <v>0</v>
      </c>
      <c r="DB16" s="60">
        <f>[1]APREPER!Z22</f>
        <v>0</v>
      </c>
      <c r="DC16" s="60">
        <f>[1]APREPER!AA22</f>
        <v>0</v>
      </c>
      <c r="DD16" s="60">
        <f>[1]APREPER!AB22</f>
        <v>0</v>
      </c>
      <c r="DE16" s="60">
        <f>[1]APREPER!AC22</f>
        <v>0</v>
      </c>
      <c r="DF16" s="60">
        <f>[1]APREPER!AD22</f>
        <v>0</v>
      </c>
      <c r="DG16" s="60">
        <f>[1]APREPER!AE22</f>
        <v>0</v>
      </c>
      <c r="DH16" s="60">
        <f>[1]APREPER!AF22</f>
        <v>0</v>
      </c>
      <c r="DI16" s="60">
        <f>[1]APREPER!AG22</f>
        <v>0</v>
      </c>
      <c r="DJ16" s="60">
        <f>[1]APREPER!AH22</f>
        <v>0</v>
      </c>
      <c r="DK16" s="60">
        <f>[1]APREPER!AI22</f>
        <v>0</v>
      </c>
      <c r="DL16" s="60">
        <f>[1]APREPER!AJ22</f>
        <v>0</v>
      </c>
      <c r="DM16" s="61">
        <f>[1]APREPPFF!I22</f>
        <v>0</v>
      </c>
      <c r="DN16" s="61">
        <f>[1]APREPPFF!J22</f>
        <v>0</v>
      </c>
      <c r="DO16" s="61">
        <f>[1]APREPPFF!K22</f>
        <v>0</v>
      </c>
      <c r="DP16" s="61">
        <f>[1]APREPPFF!L22</f>
        <v>0</v>
      </c>
      <c r="DQ16" s="61">
        <f>[1]APREPPFF!M22</f>
        <v>0</v>
      </c>
      <c r="DR16" s="61">
        <f>[1]APREPPFF!N22</f>
        <v>0</v>
      </c>
      <c r="DS16" s="61">
        <f>[1]APREPPFF!O22</f>
        <v>0</v>
      </c>
      <c r="DT16" s="61">
        <f>[1]APREPPFF!P22</f>
        <v>0</v>
      </c>
      <c r="DU16" s="61">
        <f>[1]APREPPFF!Q22</f>
        <v>0</v>
      </c>
      <c r="DV16" s="61">
        <f>[1]APREPPFF!R22</f>
        <v>0</v>
      </c>
      <c r="DW16" s="61">
        <f>[1]APREPPFF!S22</f>
        <v>0</v>
      </c>
      <c r="DX16" s="61">
        <f>[1]APREPPFF!T22</f>
        <v>0</v>
      </c>
      <c r="DY16" s="61">
        <f>[1]APREPPFF!U22</f>
        <v>0</v>
      </c>
      <c r="DZ16" s="60"/>
      <c r="EA16" s="62"/>
      <c r="EB16" s="60"/>
      <c r="EC16" s="63"/>
      <c r="ED16" s="64"/>
      <c r="EE16" s="64"/>
      <c r="EF16" s="64">
        <f>[1]APREPER!AM22</f>
        <v>0</v>
      </c>
      <c r="EG16" s="65"/>
      <c r="EH16" s="65"/>
      <c r="EI16" s="66">
        <f t="shared" si="2"/>
        <v>0</v>
      </c>
      <c r="EJ16" s="66">
        <f t="shared" si="3"/>
        <v>0</v>
      </c>
      <c r="EK16" s="66">
        <f t="shared" si="4"/>
        <v>0</v>
      </c>
    </row>
    <row r="17" spans="1:141">
      <c r="A17" s="56" t="s">
        <v>3</v>
      </c>
      <c r="B17" s="57">
        <f>[1]MAT!C25</f>
        <v>0</v>
      </c>
      <c r="C17" s="58" t="str">
        <f>[1]MAT!N25</f>
        <v/>
      </c>
      <c r="D17" s="59" t="str">
        <f>[1]MAT!AH25</f>
        <v/>
      </c>
      <c r="E17" s="59" t="str">
        <f>[1]MAT!AZ25</f>
        <v/>
      </c>
      <c r="F17" s="59" t="str">
        <f>[1]MAT!R25</f>
        <v/>
      </c>
      <c r="G17" s="59" t="str">
        <f>[1]MAT!AL25</f>
        <v/>
      </c>
      <c r="H17" s="59" t="str">
        <f>[1]MAT!BA25</f>
        <v/>
      </c>
      <c r="I17" s="59" t="str">
        <f>[1]MAT!V25</f>
        <v/>
      </c>
      <c r="J17" s="59" t="str">
        <f>[1]MAT!AP25</f>
        <v/>
      </c>
      <c r="K17" s="59" t="str">
        <f>[1]MAT!BB25</f>
        <v/>
      </c>
      <c r="L17" s="59" t="str">
        <f>[1]MAT!Z25</f>
        <v/>
      </c>
      <c r="M17" s="59" t="str">
        <f>[1]MAT!AT25</f>
        <v/>
      </c>
      <c r="N17" s="59" t="str">
        <f>[1]MAT!BC25</f>
        <v/>
      </c>
      <c r="O17" s="59" t="str">
        <f>[1]CSOC!N25</f>
        <v/>
      </c>
      <c r="P17" s="59" t="str">
        <f>[1]CSOC!AH25</f>
        <v/>
      </c>
      <c r="Q17" s="59" t="str">
        <f>[1]CSOC!AZ25</f>
        <v/>
      </c>
      <c r="R17" s="59" t="str">
        <f>[1]CSOC!R25</f>
        <v/>
      </c>
      <c r="S17" s="59" t="str">
        <f>[1]CSOC!AL25</f>
        <v/>
      </c>
      <c r="T17" s="59" t="str">
        <f>[1]CSOC!BA25</f>
        <v/>
      </c>
      <c r="U17" s="59" t="str">
        <f>[1]CSOC!V25</f>
        <v/>
      </c>
      <c r="V17" s="59" t="str">
        <f>[1]CSOC!AP25</f>
        <v/>
      </c>
      <c r="W17" s="59" t="str">
        <f>[1]CSOC!BB25</f>
        <v/>
      </c>
      <c r="X17" s="59" t="str">
        <f>[1]EFIS!N25</f>
        <v/>
      </c>
      <c r="Y17" s="59" t="str">
        <f>[1]EFIS!AH25</f>
        <v/>
      </c>
      <c r="Z17" s="59" t="str">
        <f>[1]EFIS!AZ25</f>
        <v/>
      </c>
      <c r="AA17" s="59" t="str">
        <f>[1]EFIS!R25</f>
        <v/>
      </c>
      <c r="AB17" s="59" t="str">
        <f>[1]EFIS!AL25</f>
        <v/>
      </c>
      <c r="AC17" s="59" t="str">
        <f>[1]EFIS!BA25</f>
        <v/>
      </c>
      <c r="AD17" s="59" t="str">
        <f>[1]EFIS!V25</f>
        <v/>
      </c>
      <c r="AE17" s="59" t="str">
        <f>[1]EFIS!AP25</f>
        <v/>
      </c>
      <c r="AF17" s="59" t="str">
        <f>[1]EFIS!BB25</f>
        <v/>
      </c>
      <c r="AG17" s="59" t="str">
        <f>[1]DPCC!N25</f>
        <v/>
      </c>
      <c r="AH17" s="59" t="str">
        <f>[1]DPCC!AH25</f>
        <v/>
      </c>
      <c r="AI17" s="59" t="str">
        <f>[1]DPCC!AZ25</f>
        <v/>
      </c>
      <c r="AJ17" s="59" t="str">
        <f>[1]DPCC!R25</f>
        <v/>
      </c>
      <c r="AK17" s="59" t="str">
        <f>[1]DPCC!AL25</f>
        <v/>
      </c>
      <c r="AL17" s="59" t="str">
        <f>[1]DPCC!BA25</f>
        <v/>
      </c>
      <c r="AM17" s="59" t="str">
        <f>[1]ARTE!N25</f>
        <v/>
      </c>
      <c r="AN17" s="59" t="str">
        <f>[1]ARTE!AH25</f>
        <v/>
      </c>
      <c r="AO17" s="59" t="str">
        <f>[1]ARTE!AZ25</f>
        <v/>
      </c>
      <c r="AP17" s="59" t="str">
        <f>[1]ARTE!R25</f>
        <v/>
      </c>
      <c r="AQ17" s="59" t="str">
        <f>[1]ARTE!AL25</f>
        <v/>
      </c>
      <c r="AR17" s="59" t="str">
        <f>[1]ARTE!BA25</f>
        <v/>
      </c>
      <c r="AS17" s="59" t="str">
        <f>[1]COMU!N25</f>
        <v/>
      </c>
      <c r="AT17" s="59" t="str">
        <f>[1]COMU!AH25</f>
        <v/>
      </c>
      <c r="AU17" s="59" t="str">
        <f>[1]COMU!AZ25</f>
        <v/>
      </c>
      <c r="AV17" s="59" t="str">
        <f>[1]COMU!R25</f>
        <v/>
      </c>
      <c r="AW17" s="59" t="str">
        <f>[1]COMU!AL25</f>
        <v/>
      </c>
      <c r="AX17" s="59" t="str">
        <f>[1]COMU!BA25</f>
        <v/>
      </c>
      <c r="AY17" s="59" t="str">
        <f>[1]COMU!V25</f>
        <v/>
      </c>
      <c r="AZ17" s="59" t="str">
        <f>[1]COMU!AP25</f>
        <v/>
      </c>
      <c r="BA17" s="59" t="str">
        <f>[1]COMU!BB25</f>
        <v/>
      </c>
      <c r="BB17" s="59" t="str">
        <f>[1]CTEC!N25</f>
        <v/>
      </c>
      <c r="BC17" s="59" t="str">
        <f>[1]CTEC!AH25</f>
        <v/>
      </c>
      <c r="BD17" s="59" t="str">
        <f>[1]CTEC!AZ25</f>
        <v/>
      </c>
      <c r="BE17" s="59" t="str">
        <f>[1]CTEC!R25</f>
        <v/>
      </c>
      <c r="BF17" s="59" t="str">
        <f>[1]CTEC!AL25</f>
        <v/>
      </c>
      <c r="BG17" s="59" t="str">
        <f>[1]CTEC!BA25</f>
        <v/>
      </c>
      <c r="BH17" s="59" t="str">
        <f>[1]CTEC!V25</f>
        <v/>
      </c>
      <c r="BI17" s="59" t="str">
        <f>[1]CTEC!AP25</f>
        <v/>
      </c>
      <c r="BJ17" s="59" t="str">
        <f>[1]CTEC!BB25</f>
        <v/>
      </c>
      <c r="BK17" s="59" t="str">
        <f>[1]ING!N25</f>
        <v/>
      </c>
      <c r="BL17" s="59" t="str">
        <f>[1]ING!AH25</f>
        <v/>
      </c>
      <c r="BM17" s="59" t="str">
        <f>[1]ING!AZ25</f>
        <v/>
      </c>
      <c r="BN17" s="59" t="str">
        <f>[1]ING!R25</f>
        <v/>
      </c>
      <c r="BO17" s="59" t="str">
        <f>[1]ING!AL25</f>
        <v/>
      </c>
      <c r="BP17" s="59" t="str">
        <f>[1]ING!BA25</f>
        <v/>
      </c>
      <c r="BQ17" s="59" t="str">
        <f>[1]ING!V25</f>
        <v/>
      </c>
      <c r="BR17" s="59" t="str">
        <f>[1]ING!AP25</f>
        <v/>
      </c>
      <c r="BS17" s="59" t="str">
        <f>[1]ING!BB25</f>
        <v/>
      </c>
      <c r="BT17" s="59" t="str">
        <f>[1]REL!N25</f>
        <v/>
      </c>
      <c r="BU17" s="59" t="str">
        <f>[1]REL!AH25</f>
        <v/>
      </c>
      <c r="BV17" s="59" t="str">
        <f>[1]REL!AZ25</f>
        <v/>
      </c>
      <c r="BW17" s="59" t="str">
        <f>[1]REL!R25</f>
        <v/>
      </c>
      <c r="BX17" s="59" t="str">
        <f>[1]REL!AL25</f>
        <v/>
      </c>
      <c r="BY17" s="59" t="str">
        <f>[1]REL!BA25</f>
        <v/>
      </c>
      <c r="BZ17" s="59" t="str">
        <f>[1]EMPR!N25</f>
        <v/>
      </c>
      <c r="CA17" s="59" t="str">
        <f>[1]EMPR!AH25</f>
        <v/>
      </c>
      <c r="CB17" s="59" t="str">
        <f>[1]EMPR!AZ25</f>
        <v/>
      </c>
      <c r="CC17" s="59" t="str">
        <f>[1]COMPU!N25</f>
        <v/>
      </c>
      <c r="CD17" s="59" t="str">
        <f>[1]COMPU!AH25</f>
        <v/>
      </c>
      <c r="CE17" s="59" t="str">
        <f>[1]COMPU!AZ25</f>
        <v/>
      </c>
      <c r="CF17" s="59" t="str">
        <f>[1]ROBOTI!N25</f>
        <v/>
      </c>
      <c r="CG17" s="59" t="str">
        <f>[1]ROBOTI!AH25</f>
        <v/>
      </c>
      <c r="CH17" s="59" t="str">
        <f>[1]ROBOTI!AZ25</f>
        <v/>
      </c>
      <c r="CI17" s="60">
        <f>[1]APREPER!AK23</f>
        <v>0</v>
      </c>
      <c r="CJ17" s="60">
        <f>[1]APREPER!AL23</f>
        <v>0</v>
      </c>
      <c r="CK17" s="60">
        <f>[1]APREPER!I23</f>
        <v>0</v>
      </c>
      <c r="CL17" s="60">
        <f>[1]APREPER!J23</f>
        <v>0</v>
      </c>
      <c r="CM17" s="60">
        <f>[1]APREPER!K23</f>
        <v>0</v>
      </c>
      <c r="CN17" s="60">
        <f>[1]APREPER!L23</f>
        <v>0</v>
      </c>
      <c r="CO17" s="60">
        <f>[1]APREPER!M23</f>
        <v>0</v>
      </c>
      <c r="CP17" s="60">
        <f>[1]APREPER!N23</f>
        <v>0</v>
      </c>
      <c r="CQ17" s="60">
        <f>[1]APREPER!O23</f>
        <v>0</v>
      </c>
      <c r="CR17" s="60">
        <f>[1]APREPER!P23</f>
        <v>0</v>
      </c>
      <c r="CS17" s="60">
        <f>[1]APREPER!Q23</f>
        <v>0</v>
      </c>
      <c r="CT17" s="60">
        <f>[1]APREPER!R23</f>
        <v>0</v>
      </c>
      <c r="CU17" s="60">
        <f>[1]APREPER!S23</f>
        <v>0</v>
      </c>
      <c r="CV17" s="60">
        <f>[1]APREPER!T23</f>
        <v>0</v>
      </c>
      <c r="CW17" s="60">
        <f>[1]APREPER!U23</f>
        <v>0</v>
      </c>
      <c r="CX17" s="60">
        <f>[1]APREPER!V23</f>
        <v>0</v>
      </c>
      <c r="CY17" s="60">
        <f>[1]APREPER!W23</f>
        <v>0</v>
      </c>
      <c r="CZ17" s="60">
        <f>[1]APREPER!X23</f>
        <v>0</v>
      </c>
      <c r="DA17" s="60">
        <f>[1]APREPER!Y23</f>
        <v>0</v>
      </c>
      <c r="DB17" s="60">
        <f>[1]APREPER!Z23</f>
        <v>0</v>
      </c>
      <c r="DC17" s="60">
        <f>[1]APREPER!AA23</f>
        <v>0</v>
      </c>
      <c r="DD17" s="60">
        <f>[1]APREPER!AB23</f>
        <v>0</v>
      </c>
      <c r="DE17" s="60">
        <f>[1]APREPER!AC23</f>
        <v>0</v>
      </c>
      <c r="DF17" s="60">
        <f>[1]APREPER!AD23</f>
        <v>0</v>
      </c>
      <c r="DG17" s="60">
        <f>[1]APREPER!AE23</f>
        <v>0</v>
      </c>
      <c r="DH17" s="60">
        <f>[1]APREPER!AF23</f>
        <v>0</v>
      </c>
      <c r="DI17" s="60">
        <f>[1]APREPER!AG23</f>
        <v>0</v>
      </c>
      <c r="DJ17" s="60">
        <f>[1]APREPER!AH23</f>
        <v>0</v>
      </c>
      <c r="DK17" s="60">
        <f>[1]APREPER!AI23</f>
        <v>0</v>
      </c>
      <c r="DL17" s="60">
        <f>[1]APREPER!AJ23</f>
        <v>0</v>
      </c>
      <c r="DM17" s="61">
        <f>[1]APREPPFF!I23</f>
        <v>0</v>
      </c>
      <c r="DN17" s="61">
        <f>[1]APREPPFF!J23</f>
        <v>0</v>
      </c>
      <c r="DO17" s="61">
        <f>[1]APREPPFF!K23</f>
        <v>0</v>
      </c>
      <c r="DP17" s="61">
        <f>[1]APREPPFF!L23</f>
        <v>0</v>
      </c>
      <c r="DQ17" s="61">
        <f>[1]APREPPFF!M23</f>
        <v>0</v>
      </c>
      <c r="DR17" s="61">
        <f>[1]APREPPFF!N23</f>
        <v>0</v>
      </c>
      <c r="DS17" s="61">
        <f>[1]APREPPFF!O23</f>
        <v>0</v>
      </c>
      <c r="DT17" s="61">
        <f>[1]APREPPFF!P23</f>
        <v>0</v>
      </c>
      <c r="DU17" s="61">
        <f>[1]APREPPFF!Q23</f>
        <v>0</v>
      </c>
      <c r="DV17" s="61">
        <f>[1]APREPPFF!R23</f>
        <v>0</v>
      </c>
      <c r="DW17" s="61">
        <f>[1]APREPPFF!S23</f>
        <v>0</v>
      </c>
      <c r="DX17" s="61">
        <f>[1]APREPPFF!T23</f>
        <v>0</v>
      </c>
      <c r="DY17" s="61">
        <f>[1]APREPPFF!U23</f>
        <v>0</v>
      </c>
      <c r="DZ17" s="60"/>
      <c r="EA17" s="62"/>
      <c r="EB17" s="60"/>
      <c r="EC17" s="63"/>
      <c r="ED17" s="64"/>
      <c r="EE17" s="64"/>
      <c r="EF17" s="64">
        <f>[1]APREPER!AM23</f>
        <v>0</v>
      </c>
      <c r="EG17" s="65"/>
      <c r="EH17" s="65"/>
      <c r="EI17" s="66">
        <f t="shared" si="2"/>
        <v>0</v>
      </c>
      <c r="EJ17" s="66">
        <f t="shared" si="3"/>
        <v>0</v>
      </c>
      <c r="EK17" s="66">
        <f t="shared" si="4"/>
        <v>0</v>
      </c>
    </row>
    <row r="18" spans="1:141">
      <c r="A18" s="56" t="s">
        <v>4</v>
      </c>
      <c r="B18" s="57">
        <f>[1]MAT!C26</f>
        <v>0</v>
      </c>
      <c r="C18" s="58" t="str">
        <f>[1]MAT!N26</f>
        <v/>
      </c>
      <c r="D18" s="59" t="str">
        <f>[1]MAT!AH26</f>
        <v/>
      </c>
      <c r="E18" s="59" t="str">
        <f>[1]MAT!AZ26</f>
        <v/>
      </c>
      <c r="F18" s="59" t="str">
        <f>[1]MAT!R26</f>
        <v/>
      </c>
      <c r="G18" s="59" t="str">
        <f>[1]MAT!AL26</f>
        <v/>
      </c>
      <c r="H18" s="59" t="str">
        <f>[1]MAT!BA26</f>
        <v/>
      </c>
      <c r="I18" s="59" t="str">
        <f>[1]MAT!V26</f>
        <v/>
      </c>
      <c r="J18" s="59" t="str">
        <f>[1]MAT!AP26</f>
        <v/>
      </c>
      <c r="K18" s="59" t="str">
        <f>[1]MAT!BB26</f>
        <v/>
      </c>
      <c r="L18" s="59" t="str">
        <f>[1]MAT!Z26</f>
        <v/>
      </c>
      <c r="M18" s="59" t="str">
        <f>[1]MAT!AT26</f>
        <v/>
      </c>
      <c r="N18" s="59" t="str">
        <f>[1]MAT!BC26</f>
        <v/>
      </c>
      <c r="O18" s="59" t="str">
        <f>[1]CSOC!N26</f>
        <v/>
      </c>
      <c r="P18" s="59" t="str">
        <f>[1]CSOC!AH26</f>
        <v/>
      </c>
      <c r="Q18" s="59" t="str">
        <f>[1]CSOC!AZ26</f>
        <v/>
      </c>
      <c r="R18" s="59" t="str">
        <f>[1]CSOC!R26</f>
        <v/>
      </c>
      <c r="S18" s="59" t="str">
        <f>[1]CSOC!AL26</f>
        <v/>
      </c>
      <c r="T18" s="59" t="str">
        <f>[1]CSOC!BA26</f>
        <v/>
      </c>
      <c r="U18" s="59" t="str">
        <f>[1]CSOC!V26</f>
        <v/>
      </c>
      <c r="V18" s="59" t="str">
        <f>[1]CSOC!AP26</f>
        <v/>
      </c>
      <c r="W18" s="59" t="str">
        <f>[1]CSOC!BB26</f>
        <v/>
      </c>
      <c r="X18" s="59" t="str">
        <f>[1]EFIS!N26</f>
        <v/>
      </c>
      <c r="Y18" s="59" t="str">
        <f>[1]EFIS!AH26</f>
        <v/>
      </c>
      <c r="Z18" s="59" t="str">
        <f>[1]EFIS!AZ26</f>
        <v/>
      </c>
      <c r="AA18" s="59" t="str">
        <f>[1]EFIS!R26</f>
        <v/>
      </c>
      <c r="AB18" s="59" t="str">
        <f>[1]EFIS!AL26</f>
        <v/>
      </c>
      <c r="AC18" s="59" t="str">
        <f>[1]EFIS!BA26</f>
        <v/>
      </c>
      <c r="AD18" s="59" t="str">
        <f>[1]EFIS!V26</f>
        <v/>
      </c>
      <c r="AE18" s="59" t="str">
        <f>[1]EFIS!AP26</f>
        <v/>
      </c>
      <c r="AF18" s="59" t="str">
        <f>[1]EFIS!BB26</f>
        <v/>
      </c>
      <c r="AG18" s="59" t="str">
        <f>[1]DPCC!N26</f>
        <v/>
      </c>
      <c r="AH18" s="59" t="str">
        <f>[1]DPCC!AH26</f>
        <v/>
      </c>
      <c r="AI18" s="59" t="str">
        <f>[1]DPCC!AZ26</f>
        <v/>
      </c>
      <c r="AJ18" s="59" t="str">
        <f>[1]DPCC!R26</f>
        <v/>
      </c>
      <c r="AK18" s="59" t="str">
        <f>[1]DPCC!AL26</f>
        <v/>
      </c>
      <c r="AL18" s="59" t="str">
        <f>[1]DPCC!BA26</f>
        <v/>
      </c>
      <c r="AM18" s="59" t="str">
        <f>[1]ARTE!N26</f>
        <v/>
      </c>
      <c r="AN18" s="59" t="str">
        <f>[1]ARTE!AH26</f>
        <v/>
      </c>
      <c r="AO18" s="59" t="str">
        <f>[1]ARTE!AZ26</f>
        <v/>
      </c>
      <c r="AP18" s="59" t="str">
        <f>[1]ARTE!R26</f>
        <v/>
      </c>
      <c r="AQ18" s="59" t="str">
        <f>[1]ARTE!AL26</f>
        <v/>
      </c>
      <c r="AR18" s="59" t="str">
        <f>[1]ARTE!BA26</f>
        <v/>
      </c>
      <c r="AS18" s="59" t="str">
        <f>[1]COMU!N26</f>
        <v/>
      </c>
      <c r="AT18" s="59" t="str">
        <f>[1]COMU!AH26</f>
        <v/>
      </c>
      <c r="AU18" s="59" t="str">
        <f>[1]COMU!AZ26</f>
        <v/>
      </c>
      <c r="AV18" s="59" t="str">
        <f>[1]COMU!R26</f>
        <v/>
      </c>
      <c r="AW18" s="59" t="str">
        <f>[1]COMU!AL26</f>
        <v/>
      </c>
      <c r="AX18" s="59" t="str">
        <f>[1]COMU!BA26</f>
        <v/>
      </c>
      <c r="AY18" s="59" t="str">
        <f>[1]COMU!V26</f>
        <v/>
      </c>
      <c r="AZ18" s="59" t="str">
        <f>[1]COMU!AP26</f>
        <v/>
      </c>
      <c r="BA18" s="59" t="str">
        <f>[1]COMU!BB26</f>
        <v/>
      </c>
      <c r="BB18" s="59" t="str">
        <f>[1]CTEC!N26</f>
        <v/>
      </c>
      <c r="BC18" s="59" t="str">
        <f>[1]CTEC!AH26</f>
        <v/>
      </c>
      <c r="BD18" s="59" t="str">
        <f>[1]CTEC!AZ26</f>
        <v/>
      </c>
      <c r="BE18" s="59" t="str">
        <f>[1]CTEC!R26</f>
        <v/>
      </c>
      <c r="BF18" s="59" t="str">
        <f>[1]CTEC!AL26</f>
        <v/>
      </c>
      <c r="BG18" s="59" t="str">
        <f>[1]CTEC!BA26</f>
        <v/>
      </c>
      <c r="BH18" s="59" t="str">
        <f>[1]CTEC!V26</f>
        <v/>
      </c>
      <c r="BI18" s="59" t="str">
        <f>[1]CTEC!AP26</f>
        <v/>
      </c>
      <c r="BJ18" s="59" t="str">
        <f>[1]CTEC!BB26</f>
        <v/>
      </c>
      <c r="BK18" s="59" t="str">
        <f>[1]ING!N26</f>
        <v/>
      </c>
      <c r="BL18" s="59" t="str">
        <f>[1]ING!AH26</f>
        <v/>
      </c>
      <c r="BM18" s="59" t="str">
        <f>[1]ING!AZ26</f>
        <v/>
      </c>
      <c r="BN18" s="59" t="str">
        <f>[1]ING!R26</f>
        <v/>
      </c>
      <c r="BO18" s="59" t="str">
        <f>[1]ING!AL26</f>
        <v/>
      </c>
      <c r="BP18" s="59" t="str">
        <f>[1]ING!BA26</f>
        <v/>
      </c>
      <c r="BQ18" s="59" t="str">
        <f>[1]ING!V26</f>
        <v/>
      </c>
      <c r="BR18" s="59" t="str">
        <f>[1]ING!AP26</f>
        <v/>
      </c>
      <c r="BS18" s="59" t="str">
        <f>[1]ING!BB26</f>
        <v/>
      </c>
      <c r="BT18" s="59" t="str">
        <f>[1]REL!N26</f>
        <v/>
      </c>
      <c r="BU18" s="59" t="str">
        <f>[1]REL!AH26</f>
        <v/>
      </c>
      <c r="BV18" s="59" t="str">
        <f>[1]REL!AZ26</f>
        <v/>
      </c>
      <c r="BW18" s="59" t="str">
        <f>[1]REL!R26</f>
        <v/>
      </c>
      <c r="BX18" s="59" t="str">
        <f>[1]REL!AL26</f>
        <v/>
      </c>
      <c r="BY18" s="59" t="str">
        <f>[1]REL!BA26</f>
        <v/>
      </c>
      <c r="BZ18" s="59" t="str">
        <f>[1]EMPR!N26</f>
        <v/>
      </c>
      <c r="CA18" s="59" t="str">
        <f>[1]EMPR!AH26</f>
        <v/>
      </c>
      <c r="CB18" s="59" t="str">
        <f>[1]EMPR!AZ26</f>
        <v/>
      </c>
      <c r="CC18" s="59" t="str">
        <f>[1]COMPU!N26</f>
        <v/>
      </c>
      <c r="CD18" s="59" t="str">
        <f>[1]COMPU!AH26</f>
        <v/>
      </c>
      <c r="CE18" s="59" t="str">
        <f>[1]COMPU!AZ26</f>
        <v/>
      </c>
      <c r="CF18" s="59" t="str">
        <f>[1]ROBOTI!N26</f>
        <v/>
      </c>
      <c r="CG18" s="59" t="str">
        <f>[1]ROBOTI!AH26</f>
        <v/>
      </c>
      <c r="CH18" s="59" t="str">
        <f>[1]ROBOTI!AZ26</f>
        <v/>
      </c>
      <c r="CI18" s="60">
        <f>[1]APREPER!AK24</f>
        <v>0</v>
      </c>
      <c r="CJ18" s="60">
        <f>[1]APREPER!AL24</f>
        <v>0</v>
      </c>
      <c r="CK18" s="60">
        <f>[1]APREPER!I24</f>
        <v>0</v>
      </c>
      <c r="CL18" s="60">
        <f>[1]APREPER!J24</f>
        <v>0</v>
      </c>
      <c r="CM18" s="60">
        <f>[1]APREPER!K24</f>
        <v>0</v>
      </c>
      <c r="CN18" s="60">
        <f>[1]APREPER!L24</f>
        <v>0</v>
      </c>
      <c r="CO18" s="60">
        <f>[1]APREPER!M24</f>
        <v>0</v>
      </c>
      <c r="CP18" s="60">
        <f>[1]APREPER!N24</f>
        <v>0</v>
      </c>
      <c r="CQ18" s="60">
        <f>[1]APREPER!O24</f>
        <v>0</v>
      </c>
      <c r="CR18" s="60">
        <f>[1]APREPER!P24</f>
        <v>0</v>
      </c>
      <c r="CS18" s="60">
        <f>[1]APREPER!Q24</f>
        <v>0</v>
      </c>
      <c r="CT18" s="60">
        <f>[1]APREPER!R24</f>
        <v>0</v>
      </c>
      <c r="CU18" s="60">
        <f>[1]APREPER!S24</f>
        <v>0</v>
      </c>
      <c r="CV18" s="60">
        <f>[1]APREPER!T24</f>
        <v>0</v>
      </c>
      <c r="CW18" s="60">
        <f>[1]APREPER!U24</f>
        <v>0</v>
      </c>
      <c r="CX18" s="60">
        <f>[1]APREPER!V24</f>
        <v>0</v>
      </c>
      <c r="CY18" s="60">
        <f>[1]APREPER!W24</f>
        <v>0</v>
      </c>
      <c r="CZ18" s="60">
        <f>[1]APREPER!X24</f>
        <v>0</v>
      </c>
      <c r="DA18" s="60">
        <f>[1]APREPER!Y24</f>
        <v>0</v>
      </c>
      <c r="DB18" s="60">
        <f>[1]APREPER!Z24</f>
        <v>0</v>
      </c>
      <c r="DC18" s="60">
        <f>[1]APREPER!AA24</f>
        <v>0</v>
      </c>
      <c r="DD18" s="60">
        <f>[1]APREPER!AB24</f>
        <v>0</v>
      </c>
      <c r="DE18" s="60">
        <f>[1]APREPER!AC24</f>
        <v>0</v>
      </c>
      <c r="DF18" s="60">
        <f>[1]APREPER!AD24</f>
        <v>0</v>
      </c>
      <c r="DG18" s="60">
        <f>[1]APREPER!AE24</f>
        <v>0</v>
      </c>
      <c r="DH18" s="60">
        <f>[1]APREPER!AF24</f>
        <v>0</v>
      </c>
      <c r="DI18" s="60">
        <f>[1]APREPER!AG24</f>
        <v>0</v>
      </c>
      <c r="DJ18" s="60">
        <f>[1]APREPER!AH24</f>
        <v>0</v>
      </c>
      <c r="DK18" s="60">
        <f>[1]APREPER!AI24</f>
        <v>0</v>
      </c>
      <c r="DL18" s="60">
        <f>[1]APREPER!AJ24</f>
        <v>0</v>
      </c>
      <c r="DM18" s="61">
        <f>[1]APREPPFF!I24</f>
        <v>0</v>
      </c>
      <c r="DN18" s="61">
        <f>[1]APREPPFF!J24</f>
        <v>0</v>
      </c>
      <c r="DO18" s="61">
        <f>[1]APREPPFF!K24</f>
        <v>0</v>
      </c>
      <c r="DP18" s="61">
        <f>[1]APREPPFF!L24</f>
        <v>0</v>
      </c>
      <c r="DQ18" s="61">
        <f>[1]APREPPFF!M24</f>
        <v>0</v>
      </c>
      <c r="DR18" s="61">
        <f>[1]APREPPFF!N24</f>
        <v>0</v>
      </c>
      <c r="DS18" s="61">
        <f>[1]APREPPFF!O24</f>
        <v>0</v>
      </c>
      <c r="DT18" s="61">
        <f>[1]APREPPFF!P24</f>
        <v>0</v>
      </c>
      <c r="DU18" s="61">
        <f>[1]APREPPFF!Q24</f>
        <v>0</v>
      </c>
      <c r="DV18" s="61">
        <f>[1]APREPPFF!R24</f>
        <v>0</v>
      </c>
      <c r="DW18" s="61">
        <f>[1]APREPPFF!S24</f>
        <v>0</v>
      </c>
      <c r="DX18" s="61">
        <f>[1]APREPPFF!T24</f>
        <v>0</v>
      </c>
      <c r="DY18" s="61">
        <f>[1]APREPPFF!U24</f>
        <v>0</v>
      </c>
      <c r="DZ18" s="60"/>
      <c r="EA18" s="62"/>
      <c r="EB18" s="60"/>
      <c r="EC18" s="63"/>
      <c r="ED18" s="64"/>
      <c r="EE18" s="64"/>
      <c r="EF18" s="64">
        <f>[1]APREPER!AM24</f>
        <v>0</v>
      </c>
      <c r="EG18" s="65"/>
      <c r="EH18" s="65"/>
      <c r="EI18" s="66">
        <f t="shared" si="2"/>
        <v>0</v>
      </c>
      <c r="EJ18" s="66">
        <f t="shared" si="3"/>
        <v>0</v>
      </c>
      <c r="EK18" s="66">
        <f t="shared" si="4"/>
        <v>0</v>
      </c>
    </row>
    <row r="19" spans="1:141">
      <c r="A19" s="56" t="s">
        <v>5</v>
      </c>
      <c r="B19" s="57">
        <f>[1]MAT!C27</f>
        <v>0</v>
      </c>
      <c r="C19" s="58" t="str">
        <f>[1]MAT!N27</f>
        <v/>
      </c>
      <c r="D19" s="59" t="str">
        <f>[1]MAT!AH27</f>
        <v/>
      </c>
      <c r="E19" s="59" t="str">
        <f>[1]MAT!AZ27</f>
        <v/>
      </c>
      <c r="F19" s="59" t="str">
        <f>[1]MAT!R27</f>
        <v/>
      </c>
      <c r="G19" s="59" t="str">
        <f>[1]MAT!AL27</f>
        <v/>
      </c>
      <c r="H19" s="59" t="str">
        <f>[1]MAT!BA27</f>
        <v/>
      </c>
      <c r="I19" s="59" t="str">
        <f>[1]MAT!V27</f>
        <v/>
      </c>
      <c r="J19" s="59" t="str">
        <f>[1]MAT!AP27</f>
        <v/>
      </c>
      <c r="K19" s="59" t="str">
        <f>[1]MAT!BB27</f>
        <v/>
      </c>
      <c r="L19" s="59" t="str">
        <f>[1]MAT!Z27</f>
        <v/>
      </c>
      <c r="M19" s="59" t="str">
        <f>[1]MAT!AT27</f>
        <v/>
      </c>
      <c r="N19" s="59" t="str">
        <f>[1]MAT!BC27</f>
        <v/>
      </c>
      <c r="O19" s="59" t="str">
        <f>[1]CSOC!N27</f>
        <v/>
      </c>
      <c r="P19" s="59" t="str">
        <f>[1]CSOC!AH27</f>
        <v/>
      </c>
      <c r="Q19" s="59" t="str">
        <f>[1]CSOC!AZ27</f>
        <v/>
      </c>
      <c r="R19" s="59" t="str">
        <f>[1]CSOC!R27</f>
        <v/>
      </c>
      <c r="S19" s="59" t="str">
        <f>[1]CSOC!AL27</f>
        <v/>
      </c>
      <c r="T19" s="59" t="str">
        <f>[1]CSOC!BA27</f>
        <v/>
      </c>
      <c r="U19" s="59" t="str">
        <f>[1]CSOC!V27</f>
        <v/>
      </c>
      <c r="V19" s="59" t="str">
        <f>[1]CSOC!AP27</f>
        <v/>
      </c>
      <c r="W19" s="59" t="str">
        <f>[1]CSOC!BB27</f>
        <v/>
      </c>
      <c r="X19" s="59" t="str">
        <f>[1]EFIS!N27</f>
        <v/>
      </c>
      <c r="Y19" s="59" t="str">
        <f>[1]EFIS!AH27</f>
        <v/>
      </c>
      <c r="Z19" s="59" t="str">
        <f>[1]EFIS!AZ27</f>
        <v/>
      </c>
      <c r="AA19" s="59" t="str">
        <f>[1]EFIS!R27</f>
        <v/>
      </c>
      <c r="AB19" s="59" t="str">
        <f>[1]EFIS!AL27</f>
        <v/>
      </c>
      <c r="AC19" s="59" t="str">
        <f>[1]EFIS!BA27</f>
        <v/>
      </c>
      <c r="AD19" s="59" t="str">
        <f>[1]EFIS!V27</f>
        <v/>
      </c>
      <c r="AE19" s="59" t="str">
        <f>[1]EFIS!AP27</f>
        <v/>
      </c>
      <c r="AF19" s="59" t="str">
        <f>[1]EFIS!BB27</f>
        <v/>
      </c>
      <c r="AG19" s="59" t="str">
        <f>[1]DPCC!N27</f>
        <v/>
      </c>
      <c r="AH19" s="59" t="str">
        <f>[1]DPCC!AH27</f>
        <v/>
      </c>
      <c r="AI19" s="59" t="str">
        <f>[1]DPCC!AZ27</f>
        <v/>
      </c>
      <c r="AJ19" s="59" t="str">
        <f>[1]DPCC!R27</f>
        <v/>
      </c>
      <c r="AK19" s="59" t="str">
        <f>[1]DPCC!AL27</f>
        <v/>
      </c>
      <c r="AL19" s="59" t="str">
        <f>[1]DPCC!BA27</f>
        <v/>
      </c>
      <c r="AM19" s="59" t="str">
        <f>[1]ARTE!N27</f>
        <v/>
      </c>
      <c r="AN19" s="59" t="str">
        <f>[1]ARTE!AH27</f>
        <v/>
      </c>
      <c r="AO19" s="59" t="str">
        <f>[1]ARTE!AZ27</f>
        <v/>
      </c>
      <c r="AP19" s="59" t="str">
        <f>[1]ARTE!R27</f>
        <v/>
      </c>
      <c r="AQ19" s="59" t="str">
        <f>[1]ARTE!AL27</f>
        <v/>
      </c>
      <c r="AR19" s="59" t="str">
        <f>[1]ARTE!BA27</f>
        <v/>
      </c>
      <c r="AS19" s="59" t="str">
        <f>[1]COMU!N27</f>
        <v/>
      </c>
      <c r="AT19" s="59" t="str">
        <f>[1]COMU!AH27</f>
        <v/>
      </c>
      <c r="AU19" s="59" t="str">
        <f>[1]COMU!AZ27</f>
        <v/>
      </c>
      <c r="AV19" s="59" t="str">
        <f>[1]COMU!R27</f>
        <v/>
      </c>
      <c r="AW19" s="59" t="str">
        <f>[1]COMU!AL27</f>
        <v/>
      </c>
      <c r="AX19" s="59" t="str">
        <f>[1]COMU!BA27</f>
        <v/>
      </c>
      <c r="AY19" s="59" t="str">
        <f>[1]COMU!V27</f>
        <v/>
      </c>
      <c r="AZ19" s="59" t="str">
        <f>[1]COMU!AP27</f>
        <v/>
      </c>
      <c r="BA19" s="59" t="str">
        <f>[1]COMU!BB27</f>
        <v/>
      </c>
      <c r="BB19" s="59" t="str">
        <f>[1]CTEC!N27</f>
        <v/>
      </c>
      <c r="BC19" s="59" t="str">
        <f>[1]CTEC!AH27</f>
        <v/>
      </c>
      <c r="BD19" s="59" t="str">
        <f>[1]CTEC!AZ27</f>
        <v/>
      </c>
      <c r="BE19" s="59" t="str">
        <f>[1]CTEC!R27</f>
        <v/>
      </c>
      <c r="BF19" s="59" t="str">
        <f>[1]CTEC!AL27</f>
        <v/>
      </c>
      <c r="BG19" s="59" t="str">
        <f>[1]CTEC!BA27</f>
        <v/>
      </c>
      <c r="BH19" s="59" t="str">
        <f>[1]CTEC!V27</f>
        <v/>
      </c>
      <c r="BI19" s="59" t="str">
        <f>[1]CTEC!AP27</f>
        <v/>
      </c>
      <c r="BJ19" s="59" t="str">
        <f>[1]CTEC!BB27</f>
        <v/>
      </c>
      <c r="BK19" s="59" t="str">
        <f>[1]ING!N27</f>
        <v/>
      </c>
      <c r="BL19" s="59" t="str">
        <f>[1]ING!AH27</f>
        <v/>
      </c>
      <c r="BM19" s="59" t="str">
        <f>[1]ING!AZ27</f>
        <v/>
      </c>
      <c r="BN19" s="59" t="str">
        <f>[1]ING!R27</f>
        <v/>
      </c>
      <c r="BO19" s="59" t="str">
        <f>[1]ING!AL27</f>
        <v/>
      </c>
      <c r="BP19" s="59" t="str">
        <f>[1]ING!BA27</f>
        <v/>
      </c>
      <c r="BQ19" s="59" t="str">
        <f>[1]ING!V27</f>
        <v/>
      </c>
      <c r="BR19" s="59" t="str">
        <f>[1]ING!AP27</f>
        <v/>
      </c>
      <c r="BS19" s="59" t="str">
        <f>[1]ING!BB27</f>
        <v/>
      </c>
      <c r="BT19" s="59" t="str">
        <f>[1]REL!N27</f>
        <v/>
      </c>
      <c r="BU19" s="59" t="str">
        <f>[1]REL!AH27</f>
        <v/>
      </c>
      <c r="BV19" s="59" t="str">
        <f>[1]REL!AZ27</f>
        <v/>
      </c>
      <c r="BW19" s="59" t="str">
        <f>[1]REL!R27</f>
        <v/>
      </c>
      <c r="BX19" s="59" t="str">
        <f>[1]REL!AL27</f>
        <v/>
      </c>
      <c r="BY19" s="59" t="str">
        <f>[1]REL!BA27</f>
        <v/>
      </c>
      <c r="BZ19" s="59" t="str">
        <f>[1]EMPR!N27</f>
        <v/>
      </c>
      <c r="CA19" s="59" t="str">
        <f>[1]EMPR!AH27</f>
        <v/>
      </c>
      <c r="CB19" s="59" t="str">
        <f>[1]EMPR!AZ27</f>
        <v/>
      </c>
      <c r="CC19" s="59" t="str">
        <f>[1]COMPU!N27</f>
        <v/>
      </c>
      <c r="CD19" s="59" t="str">
        <f>[1]COMPU!AH27</f>
        <v/>
      </c>
      <c r="CE19" s="59" t="str">
        <f>[1]COMPU!AZ27</f>
        <v/>
      </c>
      <c r="CF19" s="59" t="str">
        <f>[1]ROBOTI!N27</f>
        <v/>
      </c>
      <c r="CG19" s="59" t="str">
        <f>[1]ROBOTI!AH27</f>
        <v/>
      </c>
      <c r="CH19" s="59" t="str">
        <f>[1]ROBOTI!AZ27</f>
        <v/>
      </c>
      <c r="CI19" s="60">
        <f>[1]APREPER!AK25</f>
        <v>0</v>
      </c>
      <c r="CJ19" s="60">
        <f>[1]APREPER!AL25</f>
        <v>0</v>
      </c>
      <c r="CK19" s="60">
        <f>[1]APREPER!I25</f>
        <v>0</v>
      </c>
      <c r="CL19" s="60">
        <f>[1]APREPER!J25</f>
        <v>0</v>
      </c>
      <c r="CM19" s="60">
        <f>[1]APREPER!K25</f>
        <v>0</v>
      </c>
      <c r="CN19" s="60">
        <f>[1]APREPER!L25</f>
        <v>0</v>
      </c>
      <c r="CO19" s="60">
        <f>[1]APREPER!M25</f>
        <v>0</v>
      </c>
      <c r="CP19" s="60">
        <f>[1]APREPER!N25</f>
        <v>0</v>
      </c>
      <c r="CQ19" s="60">
        <f>[1]APREPER!O25</f>
        <v>0</v>
      </c>
      <c r="CR19" s="60">
        <f>[1]APREPER!P25</f>
        <v>0</v>
      </c>
      <c r="CS19" s="60">
        <f>[1]APREPER!Q25</f>
        <v>0</v>
      </c>
      <c r="CT19" s="60">
        <f>[1]APREPER!R25</f>
        <v>0</v>
      </c>
      <c r="CU19" s="60">
        <f>[1]APREPER!S25</f>
        <v>0</v>
      </c>
      <c r="CV19" s="60">
        <f>[1]APREPER!T25</f>
        <v>0</v>
      </c>
      <c r="CW19" s="60">
        <f>[1]APREPER!U25</f>
        <v>0</v>
      </c>
      <c r="CX19" s="60">
        <f>[1]APREPER!V25</f>
        <v>0</v>
      </c>
      <c r="CY19" s="60">
        <f>[1]APREPER!W25</f>
        <v>0</v>
      </c>
      <c r="CZ19" s="60">
        <f>[1]APREPER!X25</f>
        <v>0</v>
      </c>
      <c r="DA19" s="60">
        <f>[1]APREPER!Y25</f>
        <v>0</v>
      </c>
      <c r="DB19" s="60">
        <f>[1]APREPER!Z25</f>
        <v>0</v>
      </c>
      <c r="DC19" s="60">
        <f>[1]APREPER!AA25</f>
        <v>0</v>
      </c>
      <c r="DD19" s="60">
        <f>[1]APREPER!AB25</f>
        <v>0</v>
      </c>
      <c r="DE19" s="60">
        <f>[1]APREPER!AC25</f>
        <v>0</v>
      </c>
      <c r="DF19" s="60">
        <f>[1]APREPER!AD25</f>
        <v>0</v>
      </c>
      <c r="DG19" s="60">
        <f>[1]APREPER!AE25</f>
        <v>0</v>
      </c>
      <c r="DH19" s="60">
        <f>[1]APREPER!AF25</f>
        <v>0</v>
      </c>
      <c r="DI19" s="60">
        <f>[1]APREPER!AG25</f>
        <v>0</v>
      </c>
      <c r="DJ19" s="60">
        <f>[1]APREPER!AH25</f>
        <v>0</v>
      </c>
      <c r="DK19" s="60">
        <f>[1]APREPER!AI25</f>
        <v>0</v>
      </c>
      <c r="DL19" s="60">
        <f>[1]APREPER!AJ25</f>
        <v>0</v>
      </c>
      <c r="DM19" s="61">
        <f>[1]APREPPFF!I25</f>
        <v>0</v>
      </c>
      <c r="DN19" s="61">
        <f>[1]APREPPFF!J25</f>
        <v>0</v>
      </c>
      <c r="DO19" s="61">
        <f>[1]APREPPFF!K25</f>
        <v>0</v>
      </c>
      <c r="DP19" s="61">
        <f>[1]APREPPFF!L25</f>
        <v>0</v>
      </c>
      <c r="DQ19" s="61">
        <f>[1]APREPPFF!M25</f>
        <v>0</v>
      </c>
      <c r="DR19" s="61">
        <f>[1]APREPPFF!N25</f>
        <v>0</v>
      </c>
      <c r="DS19" s="61">
        <f>[1]APREPPFF!O25</f>
        <v>0</v>
      </c>
      <c r="DT19" s="61">
        <f>[1]APREPPFF!P25</f>
        <v>0</v>
      </c>
      <c r="DU19" s="61">
        <f>[1]APREPPFF!Q25</f>
        <v>0</v>
      </c>
      <c r="DV19" s="61">
        <f>[1]APREPPFF!R25</f>
        <v>0</v>
      </c>
      <c r="DW19" s="61">
        <f>[1]APREPPFF!S25</f>
        <v>0</v>
      </c>
      <c r="DX19" s="61">
        <f>[1]APREPPFF!T25</f>
        <v>0</v>
      </c>
      <c r="DY19" s="61">
        <f>[1]APREPPFF!U25</f>
        <v>0</v>
      </c>
      <c r="DZ19" s="60"/>
      <c r="EA19" s="62"/>
      <c r="EB19" s="60"/>
      <c r="EC19" s="63"/>
      <c r="ED19" s="64"/>
      <c r="EE19" s="64"/>
      <c r="EF19" s="64">
        <f>[1]APREPER!AM25</f>
        <v>0</v>
      </c>
      <c r="EG19" s="65"/>
      <c r="EH19" s="65"/>
      <c r="EI19" s="66">
        <f t="shared" si="2"/>
        <v>0</v>
      </c>
      <c r="EJ19" s="66">
        <f t="shared" si="3"/>
        <v>0</v>
      </c>
      <c r="EK19" s="66">
        <f t="shared" si="4"/>
        <v>0</v>
      </c>
    </row>
    <row r="20" spans="1:141">
      <c r="A20" s="56" t="s">
        <v>6</v>
      </c>
      <c r="B20" s="57">
        <f>[1]MAT!C28</f>
        <v>0</v>
      </c>
      <c r="C20" s="58" t="str">
        <f>[1]MAT!N28</f>
        <v/>
      </c>
      <c r="D20" s="59" t="str">
        <f>[1]MAT!AH28</f>
        <v/>
      </c>
      <c r="E20" s="59" t="str">
        <f>[1]MAT!AZ28</f>
        <v/>
      </c>
      <c r="F20" s="59" t="str">
        <f>[1]MAT!R28</f>
        <v/>
      </c>
      <c r="G20" s="59" t="str">
        <f>[1]MAT!AL28</f>
        <v/>
      </c>
      <c r="H20" s="59" t="str">
        <f>[1]MAT!BA28</f>
        <v/>
      </c>
      <c r="I20" s="59" t="str">
        <f>[1]MAT!V28</f>
        <v/>
      </c>
      <c r="J20" s="59" t="str">
        <f>[1]MAT!AP28</f>
        <v/>
      </c>
      <c r="K20" s="59" t="str">
        <f>[1]MAT!BB28</f>
        <v/>
      </c>
      <c r="L20" s="59" t="str">
        <f>[1]MAT!Z28</f>
        <v/>
      </c>
      <c r="M20" s="59" t="str">
        <f>[1]MAT!AT28</f>
        <v/>
      </c>
      <c r="N20" s="59" t="str">
        <f>[1]MAT!BC28</f>
        <v/>
      </c>
      <c r="O20" s="59" t="str">
        <f>[1]CSOC!N28</f>
        <v/>
      </c>
      <c r="P20" s="59" t="str">
        <f>[1]CSOC!AH28</f>
        <v/>
      </c>
      <c r="Q20" s="59" t="str">
        <f>[1]CSOC!AZ28</f>
        <v/>
      </c>
      <c r="R20" s="59" t="str">
        <f>[1]CSOC!R28</f>
        <v/>
      </c>
      <c r="S20" s="59" t="str">
        <f>[1]CSOC!AL28</f>
        <v/>
      </c>
      <c r="T20" s="59" t="str">
        <f>[1]CSOC!BA28</f>
        <v/>
      </c>
      <c r="U20" s="59" t="str">
        <f>[1]CSOC!V28</f>
        <v/>
      </c>
      <c r="V20" s="59" t="str">
        <f>[1]CSOC!AP28</f>
        <v/>
      </c>
      <c r="W20" s="59" t="str">
        <f>[1]CSOC!BB28</f>
        <v/>
      </c>
      <c r="X20" s="59" t="str">
        <f>[1]EFIS!N28</f>
        <v/>
      </c>
      <c r="Y20" s="59" t="str">
        <f>[1]EFIS!AH28</f>
        <v/>
      </c>
      <c r="Z20" s="59" t="str">
        <f>[1]EFIS!AZ28</f>
        <v/>
      </c>
      <c r="AA20" s="59" t="str">
        <f>[1]EFIS!R28</f>
        <v/>
      </c>
      <c r="AB20" s="59" t="str">
        <f>[1]EFIS!AL28</f>
        <v/>
      </c>
      <c r="AC20" s="59" t="str">
        <f>[1]EFIS!BA28</f>
        <v/>
      </c>
      <c r="AD20" s="59" t="str">
        <f>[1]EFIS!V28</f>
        <v/>
      </c>
      <c r="AE20" s="59" t="str">
        <f>[1]EFIS!AP28</f>
        <v/>
      </c>
      <c r="AF20" s="59" t="str">
        <f>[1]EFIS!BB28</f>
        <v/>
      </c>
      <c r="AG20" s="59" t="str">
        <f>[1]DPCC!N28</f>
        <v/>
      </c>
      <c r="AH20" s="59" t="str">
        <f>[1]DPCC!AH28</f>
        <v/>
      </c>
      <c r="AI20" s="59" t="str">
        <f>[1]DPCC!AZ28</f>
        <v/>
      </c>
      <c r="AJ20" s="59" t="str">
        <f>[1]DPCC!R28</f>
        <v/>
      </c>
      <c r="AK20" s="59" t="str">
        <f>[1]DPCC!AL28</f>
        <v/>
      </c>
      <c r="AL20" s="59" t="str">
        <f>[1]DPCC!BA28</f>
        <v/>
      </c>
      <c r="AM20" s="59" t="str">
        <f>[1]ARTE!N28</f>
        <v/>
      </c>
      <c r="AN20" s="59" t="str">
        <f>[1]ARTE!AH28</f>
        <v/>
      </c>
      <c r="AO20" s="59" t="str">
        <f>[1]ARTE!AZ28</f>
        <v/>
      </c>
      <c r="AP20" s="59" t="str">
        <f>[1]ARTE!R28</f>
        <v/>
      </c>
      <c r="AQ20" s="59" t="str">
        <f>[1]ARTE!AL28</f>
        <v/>
      </c>
      <c r="AR20" s="59" t="str">
        <f>[1]ARTE!BA28</f>
        <v/>
      </c>
      <c r="AS20" s="59" t="str">
        <f>[1]COMU!N28</f>
        <v/>
      </c>
      <c r="AT20" s="59" t="str">
        <f>[1]COMU!AH28</f>
        <v/>
      </c>
      <c r="AU20" s="59" t="str">
        <f>[1]COMU!AZ28</f>
        <v/>
      </c>
      <c r="AV20" s="59" t="str">
        <f>[1]COMU!R28</f>
        <v/>
      </c>
      <c r="AW20" s="59" t="str">
        <f>[1]COMU!AL28</f>
        <v/>
      </c>
      <c r="AX20" s="59" t="str">
        <f>[1]COMU!BA28</f>
        <v/>
      </c>
      <c r="AY20" s="59" t="str">
        <f>[1]COMU!V28</f>
        <v/>
      </c>
      <c r="AZ20" s="59" t="str">
        <f>[1]COMU!AP28</f>
        <v/>
      </c>
      <c r="BA20" s="59" t="str">
        <f>[1]COMU!BB28</f>
        <v/>
      </c>
      <c r="BB20" s="59" t="str">
        <f>[1]CTEC!N28</f>
        <v/>
      </c>
      <c r="BC20" s="59" t="str">
        <f>[1]CTEC!AH28</f>
        <v/>
      </c>
      <c r="BD20" s="59" t="str">
        <f>[1]CTEC!AZ28</f>
        <v/>
      </c>
      <c r="BE20" s="59" t="str">
        <f>[1]CTEC!R28</f>
        <v/>
      </c>
      <c r="BF20" s="59" t="str">
        <f>[1]CTEC!AL28</f>
        <v/>
      </c>
      <c r="BG20" s="59" t="str">
        <f>[1]CTEC!BA28</f>
        <v/>
      </c>
      <c r="BH20" s="59" t="str">
        <f>[1]CTEC!V28</f>
        <v/>
      </c>
      <c r="BI20" s="59" t="str">
        <f>[1]CTEC!AP28</f>
        <v/>
      </c>
      <c r="BJ20" s="59" t="str">
        <f>[1]CTEC!BB28</f>
        <v/>
      </c>
      <c r="BK20" s="59" t="str">
        <f>[1]ING!N28</f>
        <v/>
      </c>
      <c r="BL20" s="59" t="str">
        <f>[1]ING!AH28</f>
        <v/>
      </c>
      <c r="BM20" s="59" t="str">
        <f>[1]ING!AZ28</f>
        <v/>
      </c>
      <c r="BN20" s="59" t="str">
        <f>[1]ING!R28</f>
        <v/>
      </c>
      <c r="BO20" s="59" t="str">
        <f>[1]ING!AL28</f>
        <v/>
      </c>
      <c r="BP20" s="59" t="str">
        <f>[1]ING!BA28</f>
        <v/>
      </c>
      <c r="BQ20" s="59" t="str">
        <f>[1]ING!V28</f>
        <v/>
      </c>
      <c r="BR20" s="59" t="str">
        <f>[1]ING!AP28</f>
        <v/>
      </c>
      <c r="BS20" s="59" t="str">
        <f>[1]ING!BB28</f>
        <v/>
      </c>
      <c r="BT20" s="59" t="str">
        <f>[1]REL!N28</f>
        <v/>
      </c>
      <c r="BU20" s="59" t="str">
        <f>[1]REL!AH28</f>
        <v/>
      </c>
      <c r="BV20" s="59" t="str">
        <f>[1]REL!AZ28</f>
        <v/>
      </c>
      <c r="BW20" s="59" t="str">
        <f>[1]REL!R28</f>
        <v/>
      </c>
      <c r="BX20" s="59" t="str">
        <f>[1]REL!AL28</f>
        <v/>
      </c>
      <c r="BY20" s="59" t="str">
        <f>[1]REL!BA28</f>
        <v/>
      </c>
      <c r="BZ20" s="59" t="str">
        <f>[1]EMPR!N28</f>
        <v/>
      </c>
      <c r="CA20" s="59" t="str">
        <f>[1]EMPR!AH28</f>
        <v/>
      </c>
      <c r="CB20" s="59" t="str">
        <f>[1]EMPR!AZ28</f>
        <v/>
      </c>
      <c r="CC20" s="59" t="str">
        <f>[1]COMPU!N28</f>
        <v/>
      </c>
      <c r="CD20" s="59" t="str">
        <f>[1]COMPU!AH28</f>
        <v/>
      </c>
      <c r="CE20" s="59" t="str">
        <f>[1]COMPU!AZ28</f>
        <v/>
      </c>
      <c r="CF20" s="59" t="str">
        <f>[1]ROBOTI!N28</f>
        <v/>
      </c>
      <c r="CG20" s="59" t="str">
        <f>[1]ROBOTI!AH28</f>
        <v/>
      </c>
      <c r="CH20" s="59" t="str">
        <f>[1]ROBOTI!AZ28</f>
        <v/>
      </c>
      <c r="CI20" s="60">
        <f>[1]APREPER!AK26</f>
        <v>0</v>
      </c>
      <c r="CJ20" s="60">
        <f>[1]APREPER!AL26</f>
        <v>0</v>
      </c>
      <c r="CK20" s="60">
        <f>[1]APREPER!I26</f>
        <v>0</v>
      </c>
      <c r="CL20" s="60">
        <f>[1]APREPER!J26</f>
        <v>0</v>
      </c>
      <c r="CM20" s="60">
        <f>[1]APREPER!K26</f>
        <v>0</v>
      </c>
      <c r="CN20" s="60">
        <f>[1]APREPER!L26</f>
        <v>0</v>
      </c>
      <c r="CO20" s="60">
        <f>[1]APREPER!M26</f>
        <v>0</v>
      </c>
      <c r="CP20" s="60">
        <f>[1]APREPER!N26</f>
        <v>0</v>
      </c>
      <c r="CQ20" s="60">
        <f>[1]APREPER!O26</f>
        <v>0</v>
      </c>
      <c r="CR20" s="60">
        <f>[1]APREPER!P26</f>
        <v>0</v>
      </c>
      <c r="CS20" s="60">
        <f>[1]APREPER!Q26</f>
        <v>0</v>
      </c>
      <c r="CT20" s="60">
        <f>[1]APREPER!R26</f>
        <v>0</v>
      </c>
      <c r="CU20" s="60">
        <f>[1]APREPER!S26</f>
        <v>0</v>
      </c>
      <c r="CV20" s="60">
        <f>[1]APREPER!T26</f>
        <v>0</v>
      </c>
      <c r="CW20" s="60">
        <f>[1]APREPER!U26</f>
        <v>0</v>
      </c>
      <c r="CX20" s="60">
        <f>[1]APREPER!V26</f>
        <v>0</v>
      </c>
      <c r="CY20" s="60">
        <f>[1]APREPER!W26</f>
        <v>0</v>
      </c>
      <c r="CZ20" s="60">
        <f>[1]APREPER!X26</f>
        <v>0</v>
      </c>
      <c r="DA20" s="60">
        <f>[1]APREPER!Y26</f>
        <v>0</v>
      </c>
      <c r="DB20" s="60">
        <f>[1]APREPER!Z26</f>
        <v>0</v>
      </c>
      <c r="DC20" s="60">
        <f>[1]APREPER!AA26</f>
        <v>0</v>
      </c>
      <c r="DD20" s="60">
        <f>[1]APREPER!AB26</f>
        <v>0</v>
      </c>
      <c r="DE20" s="60">
        <f>[1]APREPER!AC26</f>
        <v>0</v>
      </c>
      <c r="DF20" s="60">
        <f>[1]APREPER!AD26</f>
        <v>0</v>
      </c>
      <c r="DG20" s="60">
        <f>[1]APREPER!AE26</f>
        <v>0</v>
      </c>
      <c r="DH20" s="60">
        <f>[1]APREPER!AF26</f>
        <v>0</v>
      </c>
      <c r="DI20" s="60">
        <f>[1]APREPER!AG26</f>
        <v>0</v>
      </c>
      <c r="DJ20" s="60">
        <f>[1]APREPER!AH26</f>
        <v>0</v>
      </c>
      <c r="DK20" s="60">
        <f>[1]APREPER!AI26</f>
        <v>0</v>
      </c>
      <c r="DL20" s="60">
        <f>[1]APREPER!AJ26</f>
        <v>0</v>
      </c>
      <c r="DM20" s="61">
        <f>[1]APREPPFF!I26</f>
        <v>0</v>
      </c>
      <c r="DN20" s="61">
        <f>[1]APREPPFF!J26</f>
        <v>0</v>
      </c>
      <c r="DO20" s="61">
        <f>[1]APREPPFF!K26</f>
        <v>0</v>
      </c>
      <c r="DP20" s="61">
        <f>[1]APREPPFF!L26</f>
        <v>0</v>
      </c>
      <c r="DQ20" s="61">
        <f>[1]APREPPFF!M26</f>
        <v>0</v>
      </c>
      <c r="DR20" s="61">
        <f>[1]APREPPFF!N26</f>
        <v>0</v>
      </c>
      <c r="DS20" s="61">
        <f>[1]APREPPFF!O26</f>
        <v>0</v>
      </c>
      <c r="DT20" s="61">
        <f>[1]APREPPFF!P26</f>
        <v>0</v>
      </c>
      <c r="DU20" s="61">
        <f>[1]APREPPFF!Q26</f>
        <v>0</v>
      </c>
      <c r="DV20" s="61">
        <f>[1]APREPPFF!R26</f>
        <v>0</v>
      </c>
      <c r="DW20" s="61">
        <f>[1]APREPPFF!S26</f>
        <v>0</v>
      </c>
      <c r="DX20" s="61">
        <f>[1]APREPPFF!T26</f>
        <v>0</v>
      </c>
      <c r="DY20" s="61">
        <f>[1]APREPPFF!U26</f>
        <v>0</v>
      </c>
      <c r="DZ20" s="60"/>
      <c r="EA20" s="62"/>
      <c r="EB20" s="60"/>
      <c r="EC20" s="63"/>
      <c r="ED20" s="64"/>
      <c r="EE20" s="64"/>
      <c r="EF20" s="64">
        <f>[1]APREPER!AM26</f>
        <v>0</v>
      </c>
      <c r="EG20" s="65"/>
      <c r="EH20" s="65"/>
      <c r="EI20" s="66">
        <f t="shared" si="2"/>
        <v>0</v>
      </c>
      <c r="EJ20" s="66">
        <f t="shared" si="3"/>
        <v>0</v>
      </c>
      <c r="EK20" s="66">
        <f t="shared" si="4"/>
        <v>0</v>
      </c>
    </row>
    <row r="21" spans="1:141" ht="15.75" customHeight="1">
      <c r="A21" s="56" t="s">
        <v>7</v>
      </c>
      <c r="B21" s="57">
        <f>[1]MAT!C29</f>
        <v>0</v>
      </c>
      <c r="C21" s="58" t="str">
        <f>[1]MAT!N29</f>
        <v/>
      </c>
      <c r="D21" s="59" t="str">
        <f>[1]MAT!AH29</f>
        <v/>
      </c>
      <c r="E21" s="59" t="str">
        <f>[1]MAT!AZ29</f>
        <v/>
      </c>
      <c r="F21" s="59" t="str">
        <f>[1]MAT!R29</f>
        <v/>
      </c>
      <c r="G21" s="59" t="str">
        <f>[1]MAT!AL29</f>
        <v/>
      </c>
      <c r="H21" s="59" t="str">
        <f>[1]MAT!BA29</f>
        <v/>
      </c>
      <c r="I21" s="59" t="str">
        <f>[1]MAT!V29</f>
        <v/>
      </c>
      <c r="J21" s="59" t="str">
        <f>[1]MAT!AP29</f>
        <v/>
      </c>
      <c r="K21" s="59" t="str">
        <f>[1]MAT!BB29</f>
        <v/>
      </c>
      <c r="L21" s="59" t="str">
        <f>[1]MAT!Z29</f>
        <v/>
      </c>
      <c r="M21" s="59" t="str">
        <f>[1]MAT!AT29</f>
        <v/>
      </c>
      <c r="N21" s="59" t="str">
        <f>[1]MAT!BC29</f>
        <v/>
      </c>
      <c r="O21" s="59" t="str">
        <f>[1]CSOC!N29</f>
        <v/>
      </c>
      <c r="P21" s="59" t="str">
        <f>[1]CSOC!AH29</f>
        <v/>
      </c>
      <c r="Q21" s="59" t="str">
        <f>[1]CSOC!AZ29</f>
        <v/>
      </c>
      <c r="R21" s="59" t="str">
        <f>[1]CSOC!R29</f>
        <v/>
      </c>
      <c r="S21" s="59" t="str">
        <f>[1]CSOC!AL29</f>
        <v/>
      </c>
      <c r="T21" s="59" t="str">
        <f>[1]CSOC!BA29</f>
        <v/>
      </c>
      <c r="U21" s="59" t="str">
        <f>[1]CSOC!V29</f>
        <v/>
      </c>
      <c r="V21" s="59" t="str">
        <f>[1]CSOC!AP29</f>
        <v/>
      </c>
      <c r="W21" s="59" t="str">
        <f>[1]CSOC!BB29</f>
        <v/>
      </c>
      <c r="X21" s="59" t="str">
        <f>[1]EFIS!N29</f>
        <v/>
      </c>
      <c r="Y21" s="59" t="str">
        <f>[1]EFIS!AH29</f>
        <v/>
      </c>
      <c r="Z21" s="59" t="str">
        <f>[1]EFIS!AZ29</f>
        <v/>
      </c>
      <c r="AA21" s="59" t="str">
        <f>[1]EFIS!R29</f>
        <v/>
      </c>
      <c r="AB21" s="59" t="str">
        <f>[1]EFIS!AL29</f>
        <v/>
      </c>
      <c r="AC21" s="59" t="str">
        <f>[1]EFIS!BA29</f>
        <v/>
      </c>
      <c r="AD21" s="59" t="str">
        <f>[1]EFIS!V29</f>
        <v/>
      </c>
      <c r="AE21" s="59" t="str">
        <f>[1]EFIS!AP29</f>
        <v/>
      </c>
      <c r="AF21" s="59" t="str">
        <f>[1]EFIS!BB29</f>
        <v/>
      </c>
      <c r="AG21" s="59" t="str">
        <f>[1]DPCC!N29</f>
        <v/>
      </c>
      <c r="AH21" s="59" t="str">
        <f>[1]DPCC!AH29</f>
        <v/>
      </c>
      <c r="AI21" s="59" t="str">
        <f>[1]DPCC!AZ29</f>
        <v/>
      </c>
      <c r="AJ21" s="59" t="str">
        <f>[1]DPCC!R29</f>
        <v/>
      </c>
      <c r="AK21" s="59" t="str">
        <f>[1]DPCC!AL29</f>
        <v/>
      </c>
      <c r="AL21" s="59" t="str">
        <f>[1]DPCC!BA29</f>
        <v/>
      </c>
      <c r="AM21" s="59" t="str">
        <f>[1]ARTE!N29</f>
        <v/>
      </c>
      <c r="AN21" s="59" t="str">
        <f>[1]ARTE!AH29</f>
        <v/>
      </c>
      <c r="AO21" s="59" t="str">
        <f>[1]ARTE!AZ29</f>
        <v/>
      </c>
      <c r="AP21" s="59" t="str">
        <f>[1]ARTE!R29</f>
        <v/>
      </c>
      <c r="AQ21" s="59" t="str">
        <f>[1]ARTE!AL29</f>
        <v/>
      </c>
      <c r="AR21" s="59" t="str">
        <f>[1]ARTE!BA29</f>
        <v/>
      </c>
      <c r="AS21" s="59" t="str">
        <f>[1]COMU!N29</f>
        <v/>
      </c>
      <c r="AT21" s="59" t="str">
        <f>[1]COMU!AH29</f>
        <v/>
      </c>
      <c r="AU21" s="59" t="str">
        <f>[1]COMU!AZ29</f>
        <v/>
      </c>
      <c r="AV21" s="59" t="str">
        <f>[1]COMU!R29</f>
        <v/>
      </c>
      <c r="AW21" s="59" t="str">
        <f>[1]COMU!AL29</f>
        <v/>
      </c>
      <c r="AX21" s="59" t="str">
        <f>[1]COMU!BA29</f>
        <v/>
      </c>
      <c r="AY21" s="59" t="str">
        <f>[1]COMU!V29</f>
        <v/>
      </c>
      <c r="AZ21" s="59" t="str">
        <f>[1]COMU!AP29</f>
        <v/>
      </c>
      <c r="BA21" s="59" t="str">
        <f>[1]COMU!BB29</f>
        <v/>
      </c>
      <c r="BB21" s="59" t="str">
        <f>[1]CTEC!N29</f>
        <v/>
      </c>
      <c r="BC21" s="59" t="str">
        <f>[1]CTEC!AH29</f>
        <v/>
      </c>
      <c r="BD21" s="59" t="str">
        <f>[1]CTEC!AZ29</f>
        <v/>
      </c>
      <c r="BE21" s="59" t="str">
        <f>[1]CTEC!R29</f>
        <v/>
      </c>
      <c r="BF21" s="59" t="str">
        <f>[1]CTEC!AL29</f>
        <v/>
      </c>
      <c r="BG21" s="59" t="str">
        <f>[1]CTEC!BA29</f>
        <v/>
      </c>
      <c r="BH21" s="59" t="str">
        <f>[1]CTEC!V29</f>
        <v/>
      </c>
      <c r="BI21" s="59" t="str">
        <f>[1]CTEC!AP29</f>
        <v/>
      </c>
      <c r="BJ21" s="59" t="str">
        <f>[1]CTEC!BB29</f>
        <v/>
      </c>
      <c r="BK21" s="59" t="str">
        <f>[1]ING!N29</f>
        <v/>
      </c>
      <c r="BL21" s="59" t="str">
        <f>[1]ING!AH29</f>
        <v/>
      </c>
      <c r="BM21" s="59" t="str">
        <f>[1]ING!AZ29</f>
        <v/>
      </c>
      <c r="BN21" s="59" t="str">
        <f>[1]ING!R29</f>
        <v/>
      </c>
      <c r="BO21" s="59" t="str">
        <f>[1]ING!AL29</f>
        <v/>
      </c>
      <c r="BP21" s="59" t="str">
        <f>[1]ING!BA29</f>
        <v/>
      </c>
      <c r="BQ21" s="59" t="str">
        <f>[1]ING!V29</f>
        <v/>
      </c>
      <c r="BR21" s="59" t="str">
        <f>[1]ING!AP29</f>
        <v/>
      </c>
      <c r="BS21" s="59" t="str">
        <f>[1]ING!BB29</f>
        <v/>
      </c>
      <c r="BT21" s="59" t="str">
        <f>[1]REL!N29</f>
        <v/>
      </c>
      <c r="BU21" s="59" t="str">
        <f>[1]REL!AH29</f>
        <v/>
      </c>
      <c r="BV21" s="59" t="str">
        <f>[1]REL!AZ29</f>
        <v/>
      </c>
      <c r="BW21" s="59" t="str">
        <f>[1]REL!R29</f>
        <v/>
      </c>
      <c r="BX21" s="59" t="str">
        <f>[1]REL!AL29</f>
        <v/>
      </c>
      <c r="BY21" s="59" t="str">
        <f>[1]REL!BA29</f>
        <v/>
      </c>
      <c r="BZ21" s="59" t="str">
        <f>[1]EMPR!N29</f>
        <v/>
      </c>
      <c r="CA21" s="59" t="str">
        <f>[1]EMPR!AH29</f>
        <v/>
      </c>
      <c r="CB21" s="59" t="str">
        <f>[1]EMPR!AZ29</f>
        <v/>
      </c>
      <c r="CC21" s="59" t="str">
        <f>[1]COMPU!N29</f>
        <v/>
      </c>
      <c r="CD21" s="59" t="str">
        <f>[1]COMPU!AH29</f>
        <v/>
      </c>
      <c r="CE21" s="59" t="str">
        <f>[1]COMPU!AZ29</f>
        <v/>
      </c>
      <c r="CF21" s="59" t="str">
        <f>[1]ROBOTI!N29</f>
        <v/>
      </c>
      <c r="CG21" s="59" t="str">
        <f>[1]ROBOTI!AH29</f>
        <v/>
      </c>
      <c r="CH21" s="59" t="str">
        <f>[1]ROBOTI!AZ29</f>
        <v/>
      </c>
      <c r="CI21" s="60">
        <f>[1]APREPER!AK27</f>
        <v>0</v>
      </c>
      <c r="CJ21" s="60">
        <f>[1]APREPER!AL27</f>
        <v>0</v>
      </c>
      <c r="CK21" s="60">
        <f>[1]APREPER!I27</f>
        <v>0</v>
      </c>
      <c r="CL21" s="60">
        <f>[1]APREPER!J27</f>
        <v>0</v>
      </c>
      <c r="CM21" s="60">
        <f>[1]APREPER!K27</f>
        <v>0</v>
      </c>
      <c r="CN21" s="60">
        <f>[1]APREPER!L27</f>
        <v>0</v>
      </c>
      <c r="CO21" s="60">
        <f>[1]APREPER!M27</f>
        <v>0</v>
      </c>
      <c r="CP21" s="60">
        <f>[1]APREPER!N27</f>
        <v>0</v>
      </c>
      <c r="CQ21" s="60">
        <f>[1]APREPER!O27</f>
        <v>0</v>
      </c>
      <c r="CR21" s="60">
        <f>[1]APREPER!P27</f>
        <v>0</v>
      </c>
      <c r="CS21" s="60">
        <f>[1]APREPER!Q27</f>
        <v>0</v>
      </c>
      <c r="CT21" s="60">
        <f>[1]APREPER!R27</f>
        <v>0</v>
      </c>
      <c r="CU21" s="60">
        <f>[1]APREPER!S27</f>
        <v>0</v>
      </c>
      <c r="CV21" s="60">
        <f>[1]APREPER!T27</f>
        <v>0</v>
      </c>
      <c r="CW21" s="60">
        <f>[1]APREPER!U27</f>
        <v>0</v>
      </c>
      <c r="CX21" s="60">
        <f>[1]APREPER!V27</f>
        <v>0</v>
      </c>
      <c r="CY21" s="60">
        <f>[1]APREPER!W27</f>
        <v>0</v>
      </c>
      <c r="CZ21" s="60">
        <f>[1]APREPER!X27</f>
        <v>0</v>
      </c>
      <c r="DA21" s="60">
        <f>[1]APREPER!Y27</f>
        <v>0</v>
      </c>
      <c r="DB21" s="60">
        <f>[1]APREPER!Z27</f>
        <v>0</v>
      </c>
      <c r="DC21" s="60">
        <f>[1]APREPER!AA27</f>
        <v>0</v>
      </c>
      <c r="DD21" s="60">
        <f>[1]APREPER!AB27</f>
        <v>0</v>
      </c>
      <c r="DE21" s="60">
        <f>[1]APREPER!AC27</f>
        <v>0</v>
      </c>
      <c r="DF21" s="60">
        <f>[1]APREPER!AD27</f>
        <v>0</v>
      </c>
      <c r="DG21" s="60">
        <f>[1]APREPER!AE27</f>
        <v>0</v>
      </c>
      <c r="DH21" s="60">
        <f>[1]APREPER!AF27</f>
        <v>0</v>
      </c>
      <c r="DI21" s="60">
        <f>[1]APREPER!AG27</f>
        <v>0</v>
      </c>
      <c r="DJ21" s="60">
        <f>[1]APREPER!AH27</f>
        <v>0</v>
      </c>
      <c r="DK21" s="60">
        <f>[1]APREPER!AI27</f>
        <v>0</v>
      </c>
      <c r="DL21" s="60">
        <f>[1]APREPER!AJ27</f>
        <v>0</v>
      </c>
      <c r="DM21" s="61">
        <f>[1]APREPPFF!I27</f>
        <v>0</v>
      </c>
      <c r="DN21" s="61">
        <f>[1]APREPPFF!J27</f>
        <v>0</v>
      </c>
      <c r="DO21" s="61">
        <f>[1]APREPPFF!K27</f>
        <v>0</v>
      </c>
      <c r="DP21" s="61">
        <f>[1]APREPPFF!L27</f>
        <v>0</v>
      </c>
      <c r="DQ21" s="61">
        <f>[1]APREPPFF!M27</f>
        <v>0</v>
      </c>
      <c r="DR21" s="61">
        <f>[1]APREPPFF!N27</f>
        <v>0</v>
      </c>
      <c r="DS21" s="61">
        <f>[1]APREPPFF!O27</f>
        <v>0</v>
      </c>
      <c r="DT21" s="61">
        <f>[1]APREPPFF!P27</f>
        <v>0</v>
      </c>
      <c r="DU21" s="61">
        <f>[1]APREPPFF!Q27</f>
        <v>0</v>
      </c>
      <c r="DV21" s="61">
        <f>[1]APREPPFF!R27</f>
        <v>0</v>
      </c>
      <c r="DW21" s="61">
        <f>[1]APREPPFF!S27</f>
        <v>0</v>
      </c>
      <c r="DX21" s="61">
        <f>[1]APREPPFF!T27</f>
        <v>0</v>
      </c>
      <c r="DY21" s="61">
        <f>[1]APREPPFF!U27</f>
        <v>0</v>
      </c>
      <c r="DZ21" s="60"/>
      <c r="EA21" s="62"/>
      <c r="EB21" s="60"/>
      <c r="EC21" s="63"/>
      <c r="ED21" s="64"/>
      <c r="EE21" s="64"/>
      <c r="EF21" s="64">
        <f>[1]APREPER!AM27</f>
        <v>0</v>
      </c>
      <c r="EG21" s="65"/>
      <c r="EH21" s="65"/>
      <c r="EI21" s="66">
        <f t="shared" si="2"/>
        <v>0</v>
      </c>
      <c r="EJ21" s="66">
        <f t="shared" si="3"/>
        <v>0</v>
      </c>
      <c r="EK21" s="66">
        <f t="shared" si="4"/>
        <v>0</v>
      </c>
    </row>
    <row r="22" spans="1:141" ht="15.75" customHeight="1">
      <c r="A22" s="56" t="s">
        <v>8</v>
      </c>
      <c r="B22" s="57">
        <f>[1]MAT!C30</f>
        <v>0</v>
      </c>
      <c r="C22" s="58" t="str">
        <f>[1]MAT!N30</f>
        <v/>
      </c>
      <c r="D22" s="59" t="str">
        <f>[1]MAT!AH30</f>
        <v/>
      </c>
      <c r="E22" s="59" t="str">
        <f>[1]MAT!AZ30</f>
        <v/>
      </c>
      <c r="F22" s="59" t="str">
        <f>[1]MAT!R30</f>
        <v/>
      </c>
      <c r="G22" s="59" t="str">
        <f>[1]MAT!AL30</f>
        <v/>
      </c>
      <c r="H22" s="59" t="str">
        <f>[1]MAT!BA30</f>
        <v/>
      </c>
      <c r="I22" s="59" t="str">
        <f>[1]MAT!V30</f>
        <v/>
      </c>
      <c r="J22" s="59" t="str">
        <f>[1]MAT!AP30</f>
        <v/>
      </c>
      <c r="K22" s="59" t="str">
        <f>[1]MAT!BB30</f>
        <v/>
      </c>
      <c r="L22" s="59" t="str">
        <f>[1]MAT!Z30</f>
        <v/>
      </c>
      <c r="M22" s="59" t="str">
        <f>[1]MAT!AT30</f>
        <v/>
      </c>
      <c r="N22" s="59" t="str">
        <f>[1]MAT!BC30</f>
        <v/>
      </c>
      <c r="O22" s="59" t="str">
        <f>[1]CSOC!N30</f>
        <v/>
      </c>
      <c r="P22" s="59" t="str">
        <f>[1]CSOC!AH30</f>
        <v/>
      </c>
      <c r="Q22" s="59" t="str">
        <f>[1]CSOC!AZ30</f>
        <v/>
      </c>
      <c r="R22" s="59" t="str">
        <f>[1]CSOC!R30</f>
        <v/>
      </c>
      <c r="S22" s="59" t="str">
        <f>[1]CSOC!AL30</f>
        <v/>
      </c>
      <c r="T22" s="59" t="str">
        <f>[1]CSOC!BA30</f>
        <v/>
      </c>
      <c r="U22" s="59" t="str">
        <f>[1]CSOC!V30</f>
        <v/>
      </c>
      <c r="V22" s="59" t="str">
        <f>[1]CSOC!AP30</f>
        <v/>
      </c>
      <c r="W22" s="59" t="str">
        <f>[1]CSOC!BB30</f>
        <v/>
      </c>
      <c r="X22" s="59" t="str">
        <f>[1]EFIS!N30</f>
        <v/>
      </c>
      <c r="Y22" s="59" t="str">
        <f>[1]EFIS!AH30</f>
        <v/>
      </c>
      <c r="Z22" s="59" t="str">
        <f>[1]EFIS!AZ30</f>
        <v/>
      </c>
      <c r="AA22" s="59" t="str">
        <f>[1]EFIS!R30</f>
        <v/>
      </c>
      <c r="AB22" s="59" t="str">
        <f>[1]EFIS!AL30</f>
        <v/>
      </c>
      <c r="AC22" s="59" t="str">
        <f>[1]EFIS!BA30</f>
        <v/>
      </c>
      <c r="AD22" s="59" t="str">
        <f>[1]EFIS!V30</f>
        <v/>
      </c>
      <c r="AE22" s="59" t="str">
        <f>[1]EFIS!AP30</f>
        <v/>
      </c>
      <c r="AF22" s="59" t="str">
        <f>[1]EFIS!BB30</f>
        <v/>
      </c>
      <c r="AG22" s="59" t="str">
        <f>[1]DPCC!N30</f>
        <v/>
      </c>
      <c r="AH22" s="59" t="str">
        <f>[1]DPCC!AH30</f>
        <v/>
      </c>
      <c r="AI22" s="59" t="str">
        <f>[1]DPCC!AZ30</f>
        <v/>
      </c>
      <c r="AJ22" s="59" t="str">
        <f>[1]DPCC!R30</f>
        <v/>
      </c>
      <c r="AK22" s="59" t="str">
        <f>[1]DPCC!AL30</f>
        <v/>
      </c>
      <c r="AL22" s="59" t="str">
        <f>[1]DPCC!BA30</f>
        <v/>
      </c>
      <c r="AM22" s="59" t="str">
        <f>[1]ARTE!N30</f>
        <v/>
      </c>
      <c r="AN22" s="59" t="str">
        <f>[1]ARTE!AH30</f>
        <v/>
      </c>
      <c r="AO22" s="59" t="str">
        <f>[1]ARTE!AZ30</f>
        <v/>
      </c>
      <c r="AP22" s="59" t="str">
        <f>[1]ARTE!R30</f>
        <v/>
      </c>
      <c r="AQ22" s="59" t="str">
        <f>[1]ARTE!AL30</f>
        <v/>
      </c>
      <c r="AR22" s="59" t="str">
        <f>[1]ARTE!BA30</f>
        <v/>
      </c>
      <c r="AS22" s="59" t="str">
        <f>[1]COMU!N30</f>
        <v/>
      </c>
      <c r="AT22" s="59" t="str">
        <f>[1]COMU!AH30</f>
        <v/>
      </c>
      <c r="AU22" s="59" t="str">
        <f>[1]COMU!AZ30</f>
        <v/>
      </c>
      <c r="AV22" s="59" t="str">
        <f>[1]COMU!R30</f>
        <v/>
      </c>
      <c r="AW22" s="59" t="str">
        <f>[1]COMU!AL30</f>
        <v/>
      </c>
      <c r="AX22" s="59" t="str">
        <f>[1]COMU!BA30</f>
        <v/>
      </c>
      <c r="AY22" s="59" t="str">
        <f>[1]COMU!V30</f>
        <v/>
      </c>
      <c r="AZ22" s="59" t="str">
        <f>[1]COMU!AP30</f>
        <v/>
      </c>
      <c r="BA22" s="59" t="str">
        <f>[1]COMU!BB30</f>
        <v/>
      </c>
      <c r="BB22" s="59" t="str">
        <f>[1]CTEC!N30</f>
        <v/>
      </c>
      <c r="BC22" s="59" t="str">
        <f>[1]CTEC!AH30</f>
        <v/>
      </c>
      <c r="BD22" s="59" t="str">
        <f>[1]CTEC!AZ30</f>
        <v/>
      </c>
      <c r="BE22" s="59" t="str">
        <f>[1]CTEC!R30</f>
        <v/>
      </c>
      <c r="BF22" s="59" t="str">
        <f>[1]CTEC!AL30</f>
        <v/>
      </c>
      <c r="BG22" s="59" t="str">
        <f>[1]CTEC!BA30</f>
        <v/>
      </c>
      <c r="BH22" s="59" t="str">
        <f>[1]CTEC!V30</f>
        <v/>
      </c>
      <c r="BI22" s="59" t="str">
        <f>[1]CTEC!AP30</f>
        <v/>
      </c>
      <c r="BJ22" s="59" t="str">
        <f>[1]CTEC!BB30</f>
        <v/>
      </c>
      <c r="BK22" s="59" t="str">
        <f>[1]ING!N30</f>
        <v/>
      </c>
      <c r="BL22" s="59" t="str">
        <f>[1]ING!AH30</f>
        <v/>
      </c>
      <c r="BM22" s="59" t="str">
        <f>[1]ING!AZ30</f>
        <v/>
      </c>
      <c r="BN22" s="59" t="str">
        <f>[1]ING!R30</f>
        <v/>
      </c>
      <c r="BO22" s="59" t="str">
        <f>[1]ING!AL30</f>
        <v/>
      </c>
      <c r="BP22" s="59" t="str">
        <f>[1]ING!BA30</f>
        <v/>
      </c>
      <c r="BQ22" s="59" t="str">
        <f>[1]ING!V30</f>
        <v/>
      </c>
      <c r="BR22" s="59" t="str">
        <f>[1]ING!AP30</f>
        <v/>
      </c>
      <c r="BS22" s="59" t="str">
        <f>[1]ING!BB30</f>
        <v/>
      </c>
      <c r="BT22" s="59" t="str">
        <f>[1]REL!N30</f>
        <v/>
      </c>
      <c r="BU22" s="59" t="str">
        <f>[1]REL!AH30</f>
        <v/>
      </c>
      <c r="BV22" s="59" t="str">
        <f>[1]REL!AZ30</f>
        <v/>
      </c>
      <c r="BW22" s="59" t="str">
        <f>[1]REL!R30</f>
        <v/>
      </c>
      <c r="BX22" s="59" t="str">
        <f>[1]REL!AL30</f>
        <v/>
      </c>
      <c r="BY22" s="59" t="str">
        <f>[1]REL!BA30</f>
        <v/>
      </c>
      <c r="BZ22" s="59" t="str">
        <f>[1]EMPR!N30</f>
        <v/>
      </c>
      <c r="CA22" s="59" t="str">
        <f>[1]EMPR!AH30</f>
        <v/>
      </c>
      <c r="CB22" s="59" t="str">
        <f>[1]EMPR!AZ30</f>
        <v/>
      </c>
      <c r="CC22" s="59" t="str">
        <f>[1]COMPU!N30</f>
        <v/>
      </c>
      <c r="CD22" s="59" t="str">
        <f>[1]COMPU!AH30</f>
        <v/>
      </c>
      <c r="CE22" s="59" t="str">
        <f>[1]COMPU!AZ30</f>
        <v/>
      </c>
      <c r="CF22" s="59" t="str">
        <f>[1]ROBOTI!N30</f>
        <v/>
      </c>
      <c r="CG22" s="59" t="str">
        <f>[1]ROBOTI!AH30</f>
        <v/>
      </c>
      <c r="CH22" s="59" t="str">
        <f>[1]ROBOTI!AZ30</f>
        <v/>
      </c>
      <c r="CI22" s="60">
        <f>[1]APREPER!AK28</f>
        <v>0</v>
      </c>
      <c r="CJ22" s="60">
        <f>[1]APREPER!AL28</f>
        <v>0</v>
      </c>
      <c r="CK22" s="60">
        <f>[1]APREPER!I28</f>
        <v>0</v>
      </c>
      <c r="CL22" s="60">
        <f>[1]APREPER!J28</f>
        <v>0</v>
      </c>
      <c r="CM22" s="60">
        <f>[1]APREPER!K28</f>
        <v>0</v>
      </c>
      <c r="CN22" s="60">
        <f>[1]APREPER!L28</f>
        <v>0</v>
      </c>
      <c r="CO22" s="60">
        <f>[1]APREPER!M28</f>
        <v>0</v>
      </c>
      <c r="CP22" s="60">
        <f>[1]APREPER!N28</f>
        <v>0</v>
      </c>
      <c r="CQ22" s="60">
        <f>[1]APREPER!O28</f>
        <v>0</v>
      </c>
      <c r="CR22" s="60">
        <f>[1]APREPER!P28</f>
        <v>0</v>
      </c>
      <c r="CS22" s="60">
        <f>[1]APREPER!Q28</f>
        <v>0</v>
      </c>
      <c r="CT22" s="60">
        <f>[1]APREPER!R28</f>
        <v>0</v>
      </c>
      <c r="CU22" s="60">
        <f>[1]APREPER!S28</f>
        <v>0</v>
      </c>
      <c r="CV22" s="60">
        <f>[1]APREPER!T28</f>
        <v>0</v>
      </c>
      <c r="CW22" s="60">
        <f>[1]APREPER!U28</f>
        <v>0</v>
      </c>
      <c r="CX22" s="60">
        <f>[1]APREPER!V28</f>
        <v>0</v>
      </c>
      <c r="CY22" s="60">
        <f>[1]APREPER!W28</f>
        <v>0</v>
      </c>
      <c r="CZ22" s="60">
        <f>[1]APREPER!X28</f>
        <v>0</v>
      </c>
      <c r="DA22" s="60">
        <f>[1]APREPER!Y28</f>
        <v>0</v>
      </c>
      <c r="DB22" s="60">
        <f>[1]APREPER!Z28</f>
        <v>0</v>
      </c>
      <c r="DC22" s="60">
        <f>[1]APREPER!AA28</f>
        <v>0</v>
      </c>
      <c r="DD22" s="60">
        <f>[1]APREPER!AB28</f>
        <v>0</v>
      </c>
      <c r="DE22" s="60">
        <f>[1]APREPER!AC28</f>
        <v>0</v>
      </c>
      <c r="DF22" s="60">
        <f>[1]APREPER!AD28</f>
        <v>0</v>
      </c>
      <c r="DG22" s="60">
        <f>[1]APREPER!AE28</f>
        <v>0</v>
      </c>
      <c r="DH22" s="60">
        <f>[1]APREPER!AF28</f>
        <v>0</v>
      </c>
      <c r="DI22" s="60">
        <f>[1]APREPER!AG28</f>
        <v>0</v>
      </c>
      <c r="DJ22" s="60">
        <f>[1]APREPER!AH28</f>
        <v>0</v>
      </c>
      <c r="DK22" s="60">
        <f>[1]APREPER!AI28</f>
        <v>0</v>
      </c>
      <c r="DL22" s="60">
        <f>[1]APREPER!AJ28</f>
        <v>0</v>
      </c>
      <c r="DM22" s="61">
        <f>[1]APREPPFF!I28</f>
        <v>0</v>
      </c>
      <c r="DN22" s="61">
        <f>[1]APREPPFF!J28</f>
        <v>0</v>
      </c>
      <c r="DO22" s="61">
        <f>[1]APREPPFF!K28</f>
        <v>0</v>
      </c>
      <c r="DP22" s="61">
        <f>[1]APREPPFF!L28</f>
        <v>0</v>
      </c>
      <c r="DQ22" s="61">
        <f>[1]APREPPFF!M28</f>
        <v>0</v>
      </c>
      <c r="DR22" s="61">
        <f>[1]APREPPFF!N28</f>
        <v>0</v>
      </c>
      <c r="DS22" s="61">
        <f>[1]APREPPFF!O28</f>
        <v>0</v>
      </c>
      <c r="DT22" s="61">
        <f>[1]APREPPFF!P28</f>
        <v>0</v>
      </c>
      <c r="DU22" s="61">
        <f>[1]APREPPFF!Q28</f>
        <v>0</v>
      </c>
      <c r="DV22" s="61">
        <f>[1]APREPPFF!R28</f>
        <v>0</v>
      </c>
      <c r="DW22" s="61">
        <f>[1]APREPPFF!S28</f>
        <v>0</v>
      </c>
      <c r="DX22" s="61">
        <f>[1]APREPPFF!T28</f>
        <v>0</v>
      </c>
      <c r="DY22" s="61">
        <f>[1]APREPPFF!U28</f>
        <v>0</v>
      </c>
      <c r="DZ22" s="60"/>
      <c r="EA22" s="62"/>
      <c r="EB22" s="60"/>
      <c r="EC22" s="63"/>
      <c r="ED22" s="64"/>
      <c r="EE22" s="64"/>
      <c r="EF22" s="64">
        <f>[1]APREPER!AM28</f>
        <v>0</v>
      </c>
      <c r="EG22" s="65"/>
      <c r="EH22" s="65"/>
      <c r="EI22" s="66">
        <f t="shared" si="2"/>
        <v>0</v>
      </c>
      <c r="EJ22" s="66">
        <f t="shared" si="3"/>
        <v>0</v>
      </c>
      <c r="EK22" s="66">
        <f t="shared" si="4"/>
        <v>0</v>
      </c>
    </row>
    <row r="23" spans="1:141" ht="15.75" customHeight="1">
      <c r="A23" s="56" t="s">
        <v>9</v>
      </c>
      <c r="B23" s="57">
        <f>[1]MAT!C31</f>
        <v>0</v>
      </c>
      <c r="C23" s="58" t="str">
        <f>[1]MAT!N31</f>
        <v/>
      </c>
      <c r="D23" s="59" t="str">
        <f>[1]MAT!AH31</f>
        <v/>
      </c>
      <c r="E23" s="59" t="str">
        <f>[1]MAT!AZ31</f>
        <v/>
      </c>
      <c r="F23" s="59" t="str">
        <f>[1]MAT!R31</f>
        <v/>
      </c>
      <c r="G23" s="59" t="str">
        <f>[1]MAT!AL31</f>
        <v/>
      </c>
      <c r="H23" s="59" t="str">
        <f>[1]MAT!BA31</f>
        <v/>
      </c>
      <c r="I23" s="59" t="str">
        <f>[1]MAT!V31</f>
        <v/>
      </c>
      <c r="J23" s="59" t="str">
        <f>[1]MAT!AP31</f>
        <v/>
      </c>
      <c r="K23" s="59" t="str">
        <f>[1]MAT!BB31</f>
        <v/>
      </c>
      <c r="L23" s="59" t="str">
        <f>[1]MAT!Z31</f>
        <v/>
      </c>
      <c r="M23" s="59" t="str">
        <f>[1]MAT!AT31</f>
        <v/>
      </c>
      <c r="N23" s="59" t="str">
        <f>[1]MAT!BC31</f>
        <v/>
      </c>
      <c r="O23" s="59" t="str">
        <f>[1]CSOC!N31</f>
        <v/>
      </c>
      <c r="P23" s="59" t="str">
        <f>[1]CSOC!AH31</f>
        <v/>
      </c>
      <c r="Q23" s="59" t="str">
        <f>[1]CSOC!AZ31</f>
        <v/>
      </c>
      <c r="R23" s="59" t="str">
        <f>[1]CSOC!R31</f>
        <v/>
      </c>
      <c r="S23" s="59" t="str">
        <f>[1]CSOC!AL31</f>
        <v/>
      </c>
      <c r="T23" s="59" t="str">
        <f>[1]CSOC!BA31</f>
        <v/>
      </c>
      <c r="U23" s="59" t="str">
        <f>[1]CSOC!V31</f>
        <v/>
      </c>
      <c r="V23" s="59" t="str">
        <f>[1]CSOC!AP31</f>
        <v/>
      </c>
      <c r="W23" s="59" t="str">
        <f>[1]CSOC!BB31</f>
        <v/>
      </c>
      <c r="X23" s="59" t="str">
        <f>[1]EFIS!N31</f>
        <v/>
      </c>
      <c r="Y23" s="59" t="str">
        <f>[1]EFIS!AH31</f>
        <v/>
      </c>
      <c r="Z23" s="59" t="str">
        <f>[1]EFIS!AZ31</f>
        <v/>
      </c>
      <c r="AA23" s="59" t="str">
        <f>[1]EFIS!R31</f>
        <v/>
      </c>
      <c r="AB23" s="59" t="str">
        <f>[1]EFIS!AL31</f>
        <v/>
      </c>
      <c r="AC23" s="59" t="str">
        <f>[1]EFIS!BA31</f>
        <v/>
      </c>
      <c r="AD23" s="59" t="str">
        <f>[1]EFIS!V31</f>
        <v/>
      </c>
      <c r="AE23" s="59" t="str">
        <f>[1]EFIS!AP31</f>
        <v/>
      </c>
      <c r="AF23" s="59" t="str">
        <f>[1]EFIS!BB31</f>
        <v/>
      </c>
      <c r="AG23" s="59" t="str">
        <f>[1]DPCC!N31</f>
        <v/>
      </c>
      <c r="AH23" s="59" t="str">
        <f>[1]DPCC!AH31</f>
        <v/>
      </c>
      <c r="AI23" s="59" t="str">
        <f>[1]DPCC!AZ31</f>
        <v/>
      </c>
      <c r="AJ23" s="59" t="str">
        <f>[1]DPCC!R31</f>
        <v/>
      </c>
      <c r="AK23" s="59" t="str">
        <f>[1]DPCC!AL31</f>
        <v/>
      </c>
      <c r="AL23" s="59" t="str">
        <f>[1]DPCC!BA31</f>
        <v/>
      </c>
      <c r="AM23" s="59" t="str">
        <f>[1]ARTE!N31</f>
        <v/>
      </c>
      <c r="AN23" s="59" t="str">
        <f>[1]ARTE!AH31</f>
        <v/>
      </c>
      <c r="AO23" s="59" t="str">
        <f>[1]ARTE!AZ31</f>
        <v/>
      </c>
      <c r="AP23" s="59" t="str">
        <f>[1]ARTE!R31</f>
        <v/>
      </c>
      <c r="AQ23" s="59" t="str">
        <f>[1]ARTE!AL31</f>
        <v/>
      </c>
      <c r="AR23" s="59" t="str">
        <f>[1]ARTE!BA31</f>
        <v/>
      </c>
      <c r="AS23" s="59" t="str">
        <f>[1]COMU!N31</f>
        <v/>
      </c>
      <c r="AT23" s="59" t="str">
        <f>[1]COMU!AH31</f>
        <v/>
      </c>
      <c r="AU23" s="59" t="str">
        <f>[1]COMU!AZ31</f>
        <v/>
      </c>
      <c r="AV23" s="59" t="str">
        <f>[1]COMU!R31</f>
        <v/>
      </c>
      <c r="AW23" s="59" t="str">
        <f>[1]COMU!AL31</f>
        <v/>
      </c>
      <c r="AX23" s="59" t="str">
        <f>[1]COMU!BA31</f>
        <v/>
      </c>
      <c r="AY23" s="59" t="str">
        <f>[1]COMU!V31</f>
        <v/>
      </c>
      <c r="AZ23" s="59" t="str">
        <f>[1]COMU!AP31</f>
        <v/>
      </c>
      <c r="BA23" s="59" t="str">
        <f>[1]COMU!BB31</f>
        <v/>
      </c>
      <c r="BB23" s="59" t="str">
        <f>[1]CTEC!N31</f>
        <v/>
      </c>
      <c r="BC23" s="59" t="str">
        <f>[1]CTEC!AH31</f>
        <v/>
      </c>
      <c r="BD23" s="59" t="str">
        <f>[1]CTEC!AZ31</f>
        <v/>
      </c>
      <c r="BE23" s="59" t="str">
        <f>[1]CTEC!R31</f>
        <v/>
      </c>
      <c r="BF23" s="59" t="str">
        <f>[1]CTEC!AL31</f>
        <v/>
      </c>
      <c r="BG23" s="59" t="str">
        <f>[1]CTEC!BA31</f>
        <v/>
      </c>
      <c r="BH23" s="59" t="str">
        <f>[1]CTEC!V31</f>
        <v/>
      </c>
      <c r="BI23" s="59" t="str">
        <f>[1]CTEC!AP31</f>
        <v/>
      </c>
      <c r="BJ23" s="59" t="str">
        <f>[1]CTEC!BB31</f>
        <v/>
      </c>
      <c r="BK23" s="59" t="str">
        <f>[1]ING!N31</f>
        <v/>
      </c>
      <c r="BL23" s="59" t="str">
        <f>[1]ING!AH31</f>
        <v/>
      </c>
      <c r="BM23" s="59" t="str">
        <f>[1]ING!AZ31</f>
        <v/>
      </c>
      <c r="BN23" s="59" t="str">
        <f>[1]ING!R31</f>
        <v/>
      </c>
      <c r="BO23" s="59" t="str">
        <f>[1]ING!AL31</f>
        <v/>
      </c>
      <c r="BP23" s="59" t="str">
        <f>[1]ING!BA31</f>
        <v/>
      </c>
      <c r="BQ23" s="59" t="str">
        <f>[1]ING!V31</f>
        <v/>
      </c>
      <c r="BR23" s="59" t="str">
        <f>[1]ING!AP31</f>
        <v/>
      </c>
      <c r="BS23" s="59" t="str">
        <f>[1]ING!BB31</f>
        <v/>
      </c>
      <c r="BT23" s="59" t="str">
        <f>[1]REL!N31</f>
        <v/>
      </c>
      <c r="BU23" s="59" t="str">
        <f>[1]REL!AH31</f>
        <v/>
      </c>
      <c r="BV23" s="59" t="str">
        <f>[1]REL!AZ31</f>
        <v/>
      </c>
      <c r="BW23" s="59" t="str">
        <f>[1]REL!R31</f>
        <v/>
      </c>
      <c r="BX23" s="59" t="str">
        <f>[1]REL!AL31</f>
        <v/>
      </c>
      <c r="BY23" s="59" t="str">
        <f>[1]REL!BA31</f>
        <v/>
      </c>
      <c r="BZ23" s="59" t="str">
        <f>[1]EMPR!N31</f>
        <v/>
      </c>
      <c r="CA23" s="59" t="str">
        <f>[1]EMPR!AH31</f>
        <v/>
      </c>
      <c r="CB23" s="59" t="str">
        <f>[1]EMPR!AZ31</f>
        <v/>
      </c>
      <c r="CC23" s="59" t="str">
        <f>[1]COMPU!N31</f>
        <v/>
      </c>
      <c r="CD23" s="59" t="str">
        <f>[1]COMPU!AH31</f>
        <v/>
      </c>
      <c r="CE23" s="59" t="str">
        <f>[1]COMPU!AZ31</f>
        <v/>
      </c>
      <c r="CF23" s="59" t="str">
        <f>[1]ROBOTI!N31</f>
        <v/>
      </c>
      <c r="CG23" s="59" t="str">
        <f>[1]ROBOTI!AH31</f>
        <v/>
      </c>
      <c r="CH23" s="59" t="str">
        <f>[1]ROBOTI!AZ31</f>
        <v/>
      </c>
      <c r="CI23" s="60">
        <f>[1]APREPER!AK29</f>
        <v>0</v>
      </c>
      <c r="CJ23" s="60">
        <f>[1]APREPER!AL29</f>
        <v>0</v>
      </c>
      <c r="CK23" s="60">
        <f>[1]APREPER!I29</f>
        <v>0</v>
      </c>
      <c r="CL23" s="60">
        <f>[1]APREPER!J29</f>
        <v>0</v>
      </c>
      <c r="CM23" s="60">
        <f>[1]APREPER!K29</f>
        <v>0</v>
      </c>
      <c r="CN23" s="60">
        <f>[1]APREPER!L29</f>
        <v>0</v>
      </c>
      <c r="CO23" s="60">
        <f>[1]APREPER!M29</f>
        <v>0</v>
      </c>
      <c r="CP23" s="60">
        <f>[1]APREPER!N29</f>
        <v>0</v>
      </c>
      <c r="CQ23" s="60">
        <f>[1]APREPER!O29</f>
        <v>0</v>
      </c>
      <c r="CR23" s="60">
        <f>[1]APREPER!P29</f>
        <v>0</v>
      </c>
      <c r="CS23" s="60">
        <f>[1]APREPER!Q29</f>
        <v>0</v>
      </c>
      <c r="CT23" s="60">
        <f>[1]APREPER!R29</f>
        <v>0</v>
      </c>
      <c r="CU23" s="60">
        <f>[1]APREPER!S29</f>
        <v>0</v>
      </c>
      <c r="CV23" s="60">
        <f>[1]APREPER!T29</f>
        <v>0</v>
      </c>
      <c r="CW23" s="60">
        <f>[1]APREPER!U29</f>
        <v>0</v>
      </c>
      <c r="CX23" s="60">
        <f>[1]APREPER!V29</f>
        <v>0</v>
      </c>
      <c r="CY23" s="60">
        <f>[1]APREPER!W29</f>
        <v>0</v>
      </c>
      <c r="CZ23" s="60">
        <f>[1]APREPER!X29</f>
        <v>0</v>
      </c>
      <c r="DA23" s="60">
        <f>[1]APREPER!Y29</f>
        <v>0</v>
      </c>
      <c r="DB23" s="60">
        <f>[1]APREPER!Z29</f>
        <v>0</v>
      </c>
      <c r="DC23" s="60">
        <f>[1]APREPER!AA29</f>
        <v>0</v>
      </c>
      <c r="DD23" s="60">
        <f>[1]APREPER!AB29</f>
        <v>0</v>
      </c>
      <c r="DE23" s="60">
        <f>[1]APREPER!AC29</f>
        <v>0</v>
      </c>
      <c r="DF23" s="60">
        <f>[1]APREPER!AD29</f>
        <v>0</v>
      </c>
      <c r="DG23" s="60">
        <f>[1]APREPER!AE29</f>
        <v>0</v>
      </c>
      <c r="DH23" s="60">
        <f>[1]APREPER!AF29</f>
        <v>0</v>
      </c>
      <c r="DI23" s="60">
        <f>[1]APREPER!AG29</f>
        <v>0</v>
      </c>
      <c r="DJ23" s="60">
        <f>[1]APREPER!AH29</f>
        <v>0</v>
      </c>
      <c r="DK23" s="60">
        <f>[1]APREPER!AI29</f>
        <v>0</v>
      </c>
      <c r="DL23" s="60">
        <f>[1]APREPER!AJ29</f>
        <v>0</v>
      </c>
      <c r="DM23" s="61">
        <f>[1]APREPPFF!I29</f>
        <v>0</v>
      </c>
      <c r="DN23" s="61">
        <f>[1]APREPPFF!J29</f>
        <v>0</v>
      </c>
      <c r="DO23" s="61">
        <f>[1]APREPPFF!K29</f>
        <v>0</v>
      </c>
      <c r="DP23" s="61">
        <f>[1]APREPPFF!L29</f>
        <v>0</v>
      </c>
      <c r="DQ23" s="61">
        <f>[1]APREPPFF!M29</f>
        <v>0</v>
      </c>
      <c r="DR23" s="61">
        <f>[1]APREPPFF!N29</f>
        <v>0</v>
      </c>
      <c r="DS23" s="61">
        <f>[1]APREPPFF!O29</f>
        <v>0</v>
      </c>
      <c r="DT23" s="61">
        <f>[1]APREPPFF!P29</f>
        <v>0</v>
      </c>
      <c r="DU23" s="61">
        <f>[1]APREPPFF!Q29</f>
        <v>0</v>
      </c>
      <c r="DV23" s="61">
        <f>[1]APREPPFF!R29</f>
        <v>0</v>
      </c>
      <c r="DW23" s="61">
        <f>[1]APREPPFF!S29</f>
        <v>0</v>
      </c>
      <c r="DX23" s="61">
        <f>[1]APREPPFF!T29</f>
        <v>0</v>
      </c>
      <c r="DY23" s="61">
        <f>[1]APREPPFF!U29</f>
        <v>0</v>
      </c>
      <c r="DZ23" s="60"/>
      <c r="EA23" s="62"/>
      <c r="EB23" s="60"/>
      <c r="EC23" s="63"/>
      <c r="ED23" s="64"/>
      <c r="EE23" s="64"/>
      <c r="EF23" s="64">
        <f>[1]APREPER!AM29</f>
        <v>0</v>
      </c>
      <c r="EG23" s="65"/>
      <c r="EH23" s="65"/>
      <c r="EI23" s="66">
        <f t="shared" si="2"/>
        <v>0</v>
      </c>
      <c r="EJ23" s="66">
        <f t="shared" si="3"/>
        <v>0</v>
      </c>
      <c r="EK23" s="66">
        <f t="shared" si="4"/>
        <v>0</v>
      </c>
    </row>
    <row r="24" spans="1:141" ht="15.75" customHeight="1">
      <c r="A24" s="56" t="s">
        <v>31</v>
      </c>
      <c r="B24" s="57">
        <f>[1]MAT!C32</f>
        <v>0</v>
      </c>
      <c r="C24" s="58" t="str">
        <f>[1]MAT!N32</f>
        <v/>
      </c>
      <c r="D24" s="59" t="str">
        <f>[1]MAT!AH32</f>
        <v/>
      </c>
      <c r="E24" s="59" t="str">
        <f>[1]MAT!AZ32</f>
        <v/>
      </c>
      <c r="F24" s="59" t="str">
        <f>[1]MAT!R32</f>
        <v/>
      </c>
      <c r="G24" s="59" t="str">
        <f>[1]MAT!AL32</f>
        <v/>
      </c>
      <c r="H24" s="59" t="str">
        <f>[1]MAT!BA32</f>
        <v/>
      </c>
      <c r="I24" s="59" t="str">
        <f>[1]MAT!V32</f>
        <v/>
      </c>
      <c r="J24" s="59" t="str">
        <f>[1]MAT!AP32</f>
        <v/>
      </c>
      <c r="K24" s="59" t="str">
        <f>[1]MAT!BB32</f>
        <v/>
      </c>
      <c r="L24" s="59" t="str">
        <f>[1]MAT!Z32</f>
        <v/>
      </c>
      <c r="M24" s="59" t="str">
        <f>[1]MAT!AT32</f>
        <v/>
      </c>
      <c r="N24" s="59" t="str">
        <f>[1]MAT!BC32</f>
        <v/>
      </c>
      <c r="O24" s="59" t="str">
        <f>[1]CSOC!N32</f>
        <v/>
      </c>
      <c r="P24" s="59" t="str">
        <f>[1]CSOC!AH32</f>
        <v/>
      </c>
      <c r="Q24" s="59" t="str">
        <f>[1]CSOC!AZ32</f>
        <v/>
      </c>
      <c r="R24" s="59" t="str">
        <f>[1]CSOC!R32</f>
        <v/>
      </c>
      <c r="S24" s="59" t="str">
        <f>[1]CSOC!AL32</f>
        <v/>
      </c>
      <c r="T24" s="59" t="str">
        <f>[1]CSOC!BA32</f>
        <v/>
      </c>
      <c r="U24" s="59" t="str">
        <f>[1]CSOC!V32</f>
        <v/>
      </c>
      <c r="V24" s="59" t="str">
        <f>[1]CSOC!AP32</f>
        <v/>
      </c>
      <c r="W24" s="59" t="str">
        <f>[1]CSOC!BB32</f>
        <v/>
      </c>
      <c r="X24" s="59" t="str">
        <f>[1]EFIS!N32</f>
        <v/>
      </c>
      <c r="Y24" s="59" t="str">
        <f>[1]EFIS!AH32</f>
        <v/>
      </c>
      <c r="Z24" s="59" t="str">
        <f>[1]EFIS!AZ32</f>
        <v/>
      </c>
      <c r="AA24" s="59" t="str">
        <f>[1]EFIS!R32</f>
        <v/>
      </c>
      <c r="AB24" s="59" t="str">
        <f>[1]EFIS!AL32</f>
        <v/>
      </c>
      <c r="AC24" s="59" t="str">
        <f>[1]EFIS!BA32</f>
        <v/>
      </c>
      <c r="AD24" s="59" t="str">
        <f>[1]EFIS!V32</f>
        <v/>
      </c>
      <c r="AE24" s="59" t="str">
        <f>[1]EFIS!AP32</f>
        <v/>
      </c>
      <c r="AF24" s="59" t="str">
        <f>[1]EFIS!BB32</f>
        <v/>
      </c>
      <c r="AG24" s="59" t="str">
        <f>[1]DPCC!N32</f>
        <v/>
      </c>
      <c r="AH24" s="59" t="str">
        <f>[1]DPCC!AH32</f>
        <v/>
      </c>
      <c r="AI24" s="59" t="str">
        <f>[1]DPCC!AZ32</f>
        <v/>
      </c>
      <c r="AJ24" s="59" t="str">
        <f>[1]DPCC!R32</f>
        <v/>
      </c>
      <c r="AK24" s="59" t="str">
        <f>[1]DPCC!AL32</f>
        <v/>
      </c>
      <c r="AL24" s="59" t="str">
        <f>[1]DPCC!BA32</f>
        <v/>
      </c>
      <c r="AM24" s="59" t="str">
        <f>[1]ARTE!N32</f>
        <v/>
      </c>
      <c r="AN24" s="59" t="str">
        <f>[1]ARTE!AH32</f>
        <v/>
      </c>
      <c r="AO24" s="59" t="str">
        <f>[1]ARTE!AZ32</f>
        <v/>
      </c>
      <c r="AP24" s="59" t="str">
        <f>[1]ARTE!R32</f>
        <v/>
      </c>
      <c r="AQ24" s="59" t="str">
        <f>[1]ARTE!AL32</f>
        <v/>
      </c>
      <c r="AR24" s="59" t="str">
        <f>[1]ARTE!BA32</f>
        <v/>
      </c>
      <c r="AS24" s="59" t="str">
        <f>[1]COMU!N32</f>
        <v/>
      </c>
      <c r="AT24" s="59" t="str">
        <f>[1]COMU!AH32</f>
        <v/>
      </c>
      <c r="AU24" s="59" t="str">
        <f>[1]COMU!AZ32</f>
        <v/>
      </c>
      <c r="AV24" s="59" t="str">
        <f>[1]COMU!R32</f>
        <v/>
      </c>
      <c r="AW24" s="59" t="str">
        <f>[1]COMU!AL32</f>
        <v/>
      </c>
      <c r="AX24" s="59" t="str">
        <f>[1]COMU!BA32</f>
        <v/>
      </c>
      <c r="AY24" s="59" t="str">
        <f>[1]COMU!V32</f>
        <v/>
      </c>
      <c r="AZ24" s="59" t="str">
        <f>[1]COMU!AP32</f>
        <v/>
      </c>
      <c r="BA24" s="59" t="str">
        <f>[1]COMU!BB32</f>
        <v/>
      </c>
      <c r="BB24" s="59" t="str">
        <f>[1]CTEC!N32</f>
        <v/>
      </c>
      <c r="BC24" s="59" t="str">
        <f>[1]CTEC!AH32</f>
        <v/>
      </c>
      <c r="BD24" s="59" t="str">
        <f>[1]CTEC!AZ32</f>
        <v/>
      </c>
      <c r="BE24" s="59" t="str">
        <f>[1]CTEC!R32</f>
        <v/>
      </c>
      <c r="BF24" s="59" t="str">
        <f>[1]CTEC!AL32</f>
        <v/>
      </c>
      <c r="BG24" s="59" t="str">
        <f>[1]CTEC!BA32</f>
        <v/>
      </c>
      <c r="BH24" s="59" t="str">
        <f>[1]CTEC!V32</f>
        <v/>
      </c>
      <c r="BI24" s="59" t="str">
        <f>[1]CTEC!AP32</f>
        <v/>
      </c>
      <c r="BJ24" s="59" t="str">
        <f>[1]CTEC!BB32</f>
        <v/>
      </c>
      <c r="BK24" s="59" t="str">
        <f>[1]ING!N32</f>
        <v/>
      </c>
      <c r="BL24" s="59" t="str">
        <f>[1]ING!AH32</f>
        <v/>
      </c>
      <c r="BM24" s="59" t="str">
        <f>[1]ING!AZ32</f>
        <v/>
      </c>
      <c r="BN24" s="59" t="str">
        <f>[1]ING!R32</f>
        <v/>
      </c>
      <c r="BO24" s="59" t="str">
        <f>[1]ING!AL32</f>
        <v/>
      </c>
      <c r="BP24" s="59" t="str">
        <f>[1]ING!BA32</f>
        <v/>
      </c>
      <c r="BQ24" s="59" t="str">
        <f>[1]ING!V32</f>
        <v/>
      </c>
      <c r="BR24" s="59" t="str">
        <f>[1]ING!AP32</f>
        <v/>
      </c>
      <c r="BS24" s="59" t="str">
        <f>[1]ING!BB32</f>
        <v/>
      </c>
      <c r="BT24" s="59" t="str">
        <f>[1]REL!N32</f>
        <v/>
      </c>
      <c r="BU24" s="59" t="str">
        <f>[1]REL!AH32</f>
        <v/>
      </c>
      <c r="BV24" s="59" t="str">
        <f>[1]REL!AZ32</f>
        <v/>
      </c>
      <c r="BW24" s="59" t="str">
        <f>[1]REL!R32</f>
        <v/>
      </c>
      <c r="BX24" s="59" t="str">
        <f>[1]REL!AL32</f>
        <v/>
      </c>
      <c r="BY24" s="59" t="str">
        <f>[1]REL!BA32</f>
        <v/>
      </c>
      <c r="BZ24" s="59" t="str">
        <f>[1]EMPR!N32</f>
        <v/>
      </c>
      <c r="CA24" s="59" t="str">
        <f>[1]EMPR!AH32</f>
        <v/>
      </c>
      <c r="CB24" s="59" t="str">
        <f>[1]EMPR!AZ32</f>
        <v/>
      </c>
      <c r="CC24" s="59" t="str">
        <f>[1]COMPU!N32</f>
        <v/>
      </c>
      <c r="CD24" s="59" t="str">
        <f>[1]COMPU!AH32</f>
        <v/>
      </c>
      <c r="CE24" s="59" t="str">
        <f>[1]COMPU!AZ32</f>
        <v/>
      </c>
      <c r="CF24" s="59" t="str">
        <f>[1]ROBOTI!N32</f>
        <v/>
      </c>
      <c r="CG24" s="59" t="str">
        <f>[1]ROBOTI!AH32</f>
        <v/>
      </c>
      <c r="CH24" s="59" t="str">
        <f>[1]ROBOTI!AZ32</f>
        <v/>
      </c>
      <c r="CI24" s="60">
        <f>[1]APREPER!AK30</f>
        <v>0</v>
      </c>
      <c r="CJ24" s="60">
        <f>[1]APREPER!AL30</f>
        <v>0</v>
      </c>
      <c r="CK24" s="60">
        <f>[1]APREPER!I30</f>
        <v>0</v>
      </c>
      <c r="CL24" s="60">
        <f>[1]APREPER!J30</f>
        <v>0</v>
      </c>
      <c r="CM24" s="60">
        <f>[1]APREPER!K30</f>
        <v>0</v>
      </c>
      <c r="CN24" s="60">
        <f>[1]APREPER!L30</f>
        <v>0</v>
      </c>
      <c r="CO24" s="60">
        <f>[1]APREPER!M30</f>
        <v>0</v>
      </c>
      <c r="CP24" s="60">
        <f>[1]APREPER!N30</f>
        <v>0</v>
      </c>
      <c r="CQ24" s="60">
        <f>[1]APREPER!O30</f>
        <v>0</v>
      </c>
      <c r="CR24" s="60">
        <f>[1]APREPER!P30</f>
        <v>0</v>
      </c>
      <c r="CS24" s="60">
        <f>[1]APREPER!Q30</f>
        <v>0</v>
      </c>
      <c r="CT24" s="60">
        <f>[1]APREPER!R30</f>
        <v>0</v>
      </c>
      <c r="CU24" s="60">
        <f>[1]APREPER!S30</f>
        <v>0</v>
      </c>
      <c r="CV24" s="60">
        <f>[1]APREPER!T30</f>
        <v>0</v>
      </c>
      <c r="CW24" s="60">
        <f>[1]APREPER!U30</f>
        <v>0</v>
      </c>
      <c r="CX24" s="60">
        <f>[1]APREPER!V30</f>
        <v>0</v>
      </c>
      <c r="CY24" s="60">
        <f>[1]APREPER!W30</f>
        <v>0</v>
      </c>
      <c r="CZ24" s="60">
        <f>[1]APREPER!X30</f>
        <v>0</v>
      </c>
      <c r="DA24" s="60">
        <f>[1]APREPER!Y30</f>
        <v>0</v>
      </c>
      <c r="DB24" s="60">
        <f>[1]APREPER!Z30</f>
        <v>0</v>
      </c>
      <c r="DC24" s="60">
        <f>[1]APREPER!AA30</f>
        <v>0</v>
      </c>
      <c r="DD24" s="60">
        <f>[1]APREPER!AB30</f>
        <v>0</v>
      </c>
      <c r="DE24" s="60">
        <f>[1]APREPER!AC30</f>
        <v>0</v>
      </c>
      <c r="DF24" s="60">
        <f>[1]APREPER!AD30</f>
        <v>0</v>
      </c>
      <c r="DG24" s="60">
        <f>[1]APREPER!AE30</f>
        <v>0</v>
      </c>
      <c r="DH24" s="60">
        <f>[1]APREPER!AF30</f>
        <v>0</v>
      </c>
      <c r="DI24" s="60">
        <f>[1]APREPER!AG30</f>
        <v>0</v>
      </c>
      <c r="DJ24" s="60">
        <f>[1]APREPER!AH30</f>
        <v>0</v>
      </c>
      <c r="DK24" s="60">
        <f>[1]APREPER!AI30</f>
        <v>0</v>
      </c>
      <c r="DL24" s="60">
        <f>[1]APREPER!AJ30</f>
        <v>0</v>
      </c>
      <c r="DM24" s="61">
        <f>[1]APREPPFF!I30</f>
        <v>0</v>
      </c>
      <c r="DN24" s="61">
        <f>[1]APREPPFF!J30</f>
        <v>0</v>
      </c>
      <c r="DO24" s="61">
        <f>[1]APREPPFF!K30</f>
        <v>0</v>
      </c>
      <c r="DP24" s="61">
        <f>[1]APREPPFF!L30</f>
        <v>0</v>
      </c>
      <c r="DQ24" s="61">
        <f>[1]APREPPFF!M30</f>
        <v>0</v>
      </c>
      <c r="DR24" s="61">
        <f>[1]APREPPFF!N30</f>
        <v>0</v>
      </c>
      <c r="DS24" s="61">
        <f>[1]APREPPFF!O30</f>
        <v>0</v>
      </c>
      <c r="DT24" s="61">
        <f>[1]APREPPFF!P30</f>
        <v>0</v>
      </c>
      <c r="DU24" s="61">
        <f>[1]APREPPFF!Q30</f>
        <v>0</v>
      </c>
      <c r="DV24" s="61">
        <f>[1]APREPPFF!R30</f>
        <v>0</v>
      </c>
      <c r="DW24" s="61">
        <f>[1]APREPPFF!S30</f>
        <v>0</v>
      </c>
      <c r="DX24" s="61">
        <f>[1]APREPPFF!T30</f>
        <v>0</v>
      </c>
      <c r="DY24" s="61">
        <f>[1]APREPPFF!U30</f>
        <v>0</v>
      </c>
      <c r="DZ24" s="60"/>
      <c r="EA24" s="62"/>
      <c r="EB24" s="60"/>
      <c r="EC24" s="63"/>
      <c r="ED24" s="64"/>
      <c r="EE24" s="64"/>
      <c r="EF24" s="64">
        <f>[1]APREPER!AM30</f>
        <v>0</v>
      </c>
      <c r="EG24" s="65"/>
      <c r="EH24" s="65"/>
      <c r="EI24" s="66">
        <f t="shared" si="2"/>
        <v>0</v>
      </c>
      <c r="EJ24" s="66">
        <f t="shared" si="3"/>
        <v>0</v>
      </c>
      <c r="EK24" s="66">
        <f t="shared" si="4"/>
        <v>0</v>
      </c>
    </row>
    <row r="25" spans="1:141" ht="15.75" customHeight="1">
      <c r="A25" s="56" t="s">
        <v>32</v>
      </c>
      <c r="B25" s="57">
        <f>[1]MAT!C33</f>
        <v>0</v>
      </c>
      <c r="C25" s="58" t="str">
        <f>[1]MAT!N33</f>
        <v/>
      </c>
      <c r="D25" s="59" t="str">
        <f>[1]MAT!AH33</f>
        <v/>
      </c>
      <c r="E25" s="59" t="str">
        <f>[1]MAT!AZ33</f>
        <v/>
      </c>
      <c r="F25" s="59" t="str">
        <f>[1]MAT!R33</f>
        <v/>
      </c>
      <c r="G25" s="59" t="str">
        <f>[1]MAT!AL33</f>
        <v/>
      </c>
      <c r="H25" s="59" t="str">
        <f>[1]MAT!BA33</f>
        <v/>
      </c>
      <c r="I25" s="59" t="str">
        <f>[1]MAT!V33</f>
        <v/>
      </c>
      <c r="J25" s="59" t="str">
        <f>[1]MAT!AP33</f>
        <v/>
      </c>
      <c r="K25" s="59" t="str">
        <f>[1]MAT!BB33</f>
        <v/>
      </c>
      <c r="L25" s="59" t="str">
        <f>[1]MAT!Z33</f>
        <v/>
      </c>
      <c r="M25" s="59" t="str">
        <f>[1]MAT!AT33</f>
        <v/>
      </c>
      <c r="N25" s="59" t="str">
        <f>[1]MAT!BC33</f>
        <v/>
      </c>
      <c r="O25" s="59" t="str">
        <f>[1]CSOC!N33</f>
        <v/>
      </c>
      <c r="P25" s="59" t="str">
        <f>[1]CSOC!AH33</f>
        <v/>
      </c>
      <c r="Q25" s="59" t="str">
        <f>[1]CSOC!AZ33</f>
        <v/>
      </c>
      <c r="R25" s="59" t="str">
        <f>[1]CSOC!R33</f>
        <v/>
      </c>
      <c r="S25" s="59" t="str">
        <f>[1]CSOC!AL33</f>
        <v/>
      </c>
      <c r="T25" s="59" t="str">
        <f>[1]CSOC!BA33</f>
        <v/>
      </c>
      <c r="U25" s="59" t="str">
        <f>[1]CSOC!V33</f>
        <v/>
      </c>
      <c r="V25" s="59" t="str">
        <f>[1]CSOC!AP33</f>
        <v/>
      </c>
      <c r="W25" s="59" t="str">
        <f>[1]CSOC!BB33</f>
        <v/>
      </c>
      <c r="X25" s="59" t="str">
        <f>[1]EFIS!N33</f>
        <v/>
      </c>
      <c r="Y25" s="59" t="str">
        <f>[1]EFIS!AH33</f>
        <v/>
      </c>
      <c r="Z25" s="59" t="str">
        <f>[1]EFIS!AZ33</f>
        <v/>
      </c>
      <c r="AA25" s="59" t="str">
        <f>[1]EFIS!R33</f>
        <v/>
      </c>
      <c r="AB25" s="59" t="str">
        <f>[1]EFIS!AL33</f>
        <v/>
      </c>
      <c r="AC25" s="59" t="str">
        <f>[1]EFIS!BA33</f>
        <v/>
      </c>
      <c r="AD25" s="59" t="str">
        <f>[1]EFIS!V33</f>
        <v/>
      </c>
      <c r="AE25" s="59" t="str">
        <f>[1]EFIS!AP33</f>
        <v/>
      </c>
      <c r="AF25" s="59" t="str">
        <f>[1]EFIS!BB33</f>
        <v/>
      </c>
      <c r="AG25" s="59" t="str">
        <f>[1]DPCC!N33</f>
        <v/>
      </c>
      <c r="AH25" s="59" t="str">
        <f>[1]DPCC!AH33</f>
        <v/>
      </c>
      <c r="AI25" s="59" t="str">
        <f>[1]DPCC!AZ33</f>
        <v/>
      </c>
      <c r="AJ25" s="59" t="str">
        <f>[1]DPCC!R33</f>
        <v/>
      </c>
      <c r="AK25" s="59" t="str">
        <f>[1]DPCC!AL33</f>
        <v/>
      </c>
      <c r="AL25" s="59" t="str">
        <f>[1]DPCC!BA33</f>
        <v/>
      </c>
      <c r="AM25" s="59" t="str">
        <f>[1]ARTE!N33</f>
        <v/>
      </c>
      <c r="AN25" s="59" t="str">
        <f>[1]ARTE!AH33</f>
        <v/>
      </c>
      <c r="AO25" s="59" t="str">
        <f>[1]ARTE!AZ33</f>
        <v/>
      </c>
      <c r="AP25" s="59" t="str">
        <f>[1]ARTE!R33</f>
        <v/>
      </c>
      <c r="AQ25" s="59" t="str">
        <f>[1]ARTE!AL33</f>
        <v/>
      </c>
      <c r="AR25" s="59" t="str">
        <f>[1]ARTE!BA33</f>
        <v/>
      </c>
      <c r="AS25" s="59" t="str">
        <f>[1]COMU!N33</f>
        <v/>
      </c>
      <c r="AT25" s="59" t="str">
        <f>[1]COMU!AH33</f>
        <v/>
      </c>
      <c r="AU25" s="59" t="str">
        <f>[1]COMU!AZ33</f>
        <v/>
      </c>
      <c r="AV25" s="59" t="str">
        <f>[1]COMU!R33</f>
        <v/>
      </c>
      <c r="AW25" s="59" t="str">
        <f>[1]COMU!AL33</f>
        <v/>
      </c>
      <c r="AX25" s="59" t="str">
        <f>[1]COMU!BA33</f>
        <v/>
      </c>
      <c r="AY25" s="59" t="str">
        <f>[1]COMU!V33</f>
        <v/>
      </c>
      <c r="AZ25" s="59" t="str">
        <f>[1]COMU!AP33</f>
        <v/>
      </c>
      <c r="BA25" s="59" t="str">
        <f>[1]COMU!BB33</f>
        <v/>
      </c>
      <c r="BB25" s="59" t="str">
        <f>[1]CTEC!N33</f>
        <v/>
      </c>
      <c r="BC25" s="59" t="str">
        <f>[1]CTEC!AH33</f>
        <v/>
      </c>
      <c r="BD25" s="59" t="str">
        <f>[1]CTEC!AZ33</f>
        <v/>
      </c>
      <c r="BE25" s="59" t="str">
        <f>[1]CTEC!R33</f>
        <v/>
      </c>
      <c r="BF25" s="59" t="str">
        <f>[1]CTEC!AL33</f>
        <v/>
      </c>
      <c r="BG25" s="59" t="str">
        <f>[1]CTEC!BA33</f>
        <v/>
      </c>
      <c r="BH25" s="59" t="str">
        <f>[1]CTEC!V33</f>
        <v/>
      </c>
      <c r="BI25" s="59" t="str">
        <f>[1]CTEC!AP33</f>
        <v/>
      </c>
      <c r="BJ25" s="59" t="str">
        <f>[1]CTEC!BB33</f>
        <v/>
      </c>
      <c r="BK25" s="59" t="str">
        <f>[1]ING!N33</f>
        <v/>
      </c>
      <c r="BL25" s="59" t="str">
        <f>[1]ING!AH33</f>
        <v/>
      </c>
      <c r="BM25" s="59" t="str">
        <f>[1]ING!AZ33</f>
        <v/>
      </c>
      <c r="BN25" s="59" t="str">
        <f>[1]ING!R33</f>
        <v/>
      </c>
      <c r="BO25" s="59" t="str">
        <f>[1]ING!AL33</f>
        <v/>
      </c>
      <c r="BP25" s="59" t="str">
        <f>[1]ING!BA33</f>
        <v/>
      </c>
      <c r="BQ25" s="59" t="str">
        <f>[1]ING!V33</f>
        <v/>
      </c>
      <c r="BR25" s="59" t="str">
        <f>[1]ING!AP33</f>
        <v/>
      </c>
      <c r="BS25" s="59" t="str">
        <f>[1]ING!BB33</f>
        <v/>
      </c>
      <c r="BT25" s="59" t="str">
        <f>[1]REL!N33</f>
        <v/>
      </c>
      <c r="BU25" s="59" t="str">
        <f>[1]REL!AH33</f>
        <v/>
      </c>
      <c r="BV25" s="59" t="str">
        <f>[1]REL!AZ33</f>
        <v/>
      </c>
      <c r="BW25" s="59" t="str">
        <f>[1]REL!R33</f>
        <v/>
      </c>
      <c r="BX25" s="59" t="str">
        <f>[1]REL!AL33</f>
        <v/>
      </c>
      <c r="BY25" s="59" t="str">
        <f>[1]REL!BA33</f>
        <v/>
      </c>
      <c r="BZ25" s="59" t="str">
        <f>[1]EMPR!N33</f>
        <v/>
      </c>
      <c r="CA25" s="59" t="str">
        <f>[1]EMPR!AH33</f>
        <v/>
      </c>
      <c r="CB25" s="59" t="str">
        <f>[1]EMPR!AZ33</f>
        <v/>
      </c>
      <c r="CC25" s="59" t="str">
        <f>[1]COMPU!N33</f>
        <v/>
      </c>
      <c r="CD25" s="59" t="str">
        <f>[1]COMPU!AH33</f>
        <v/>
      </c>
      <c r="CE25" s="59" t="str">
        <f>[1]COMPU!AZ33</f>
        <v/>
      </c>
      <c r="CF25" s="59" t="str">
        <f>[1]ROBOTI!N33</f>
        <v/>
      </c>
      <c r="CG25" s="59" t="str">
        <f>[1]ROBOTI!AH33</f>
        <v/>
      </c>
      <c r="CH25" s="59" t="str">
        <f>[1]ROBOTI!AZ33</f>
        <v/>
      </c>
      <c r="CI25" s="60">
        <f>[1]APREPER!AK31</f>
        <v>0</v>
      </c>
      <c r="CJ25" s="60">
        <f>[1]APREPER!AL31</f>
        <v>0</v>
      </c>
      <c r="CK25" s="60">
        <f>[1]APREPER!I31</f>
        <v>0</v>
      </c>
      <c r="CL25" s="60">
        <f>[1]APREPER!J31</f>
        <v>0</v>
      </c>
      <c r="CM25" s="60">
        <f>[1]APREPER!K31</f>
        <v>0</v>
      </c>
      <c r="CN25" s="60">
        <f>[1]APREPER!L31</f>
        <v>0</v>
      </c>
      <c r="CO25" s="60">
        <f>[1]APREPER!M31</f>
        <v>0</v>
      </c>
      <c r="CP25" s="60">
        <f>[1]APREPER!N31</f>
        <v>0</v>
      </c>
      <c r="CQ25" s="60">
        <f>[1]APREPER!O31</f>
        <v>0</v>
      </c>
      <c r="CR25" s="60">
        <f>[1]APREPER!P31</f>
        <v>0</v>
      </c>
      <c r="CS25" s="60">
        <f>[1]APREPER!Q31</f>
        <v>0</v>
      </c>
      <c r="CT25" s="60">
        <f>[1]APREPER!R31</f>
        <v>0</v>
      </c>
      <c r="CU25" s="60">
        <f>[1]APREPER!S31</f>
        <v>0</v>
      </c>
      <c r="CV25" s="60">
        <f>[1]APREPER!T31</f>
        <v>0</v>
      </c>
      <c r="CW25" s="60">
        <f>[1]APREPER!U31</f>
        <v>0</v>
      </c>
      <c r="CX25" s="60">
        <f>[1]APREPER!V31</f>
        <v>0</v>
      </c>
      <c r="CY25" s="60">
        <f>[1]APREPER!W31</f>
        <v>0</v>
      </c>
      <c r="CZ25" s="60">
        <f>[1]APREPER!X31</f>
        <v>0</v>
      </c>
      <c r="DA25" s="60">
        <f>[1]APREPER!Y31</f>
        <v>0</v>
      </c>
      <c r="DB25" s="60">
        <f>[1]APREPER!Z31</f>
        <v>0</v>
      </c>
      <c r="DC25" s="60">
        <f>[1]APREPER!AA31</f>
        <v>0</v>
      </c>
      <c r="DD25" s="60">
        <f>[1]APREPER!AB31</f>
        <v>0</v>
      </c>
      <c r="DE25" s="60">
        <f>[1]APREPER!AC31</f>
        <v>0</v>
      </c>
      <c r="DF25" s="60">
        <f>[1]APREPER!AD31</f>
        <v>0</v>
      </c>
      <c r="DG25" s="60">
        <f>[1]APREPER!AE31</f>
        <v>0</v>
      </c>
      <c r="DH25" s="60">
        <f>[1]APREPER!AF31</f>
        <v>0</v>
      </c>
      <c r="DI25" s="60">
        <f>[1]APREPER!AG31</f>
        <v>0</v>
      </c>
      <c r="DJ25" s="60">
        <f>[1]APREPER!AH31</f>
        <v>0</v>
      </c>
      <c r="DK25" s="60">
        <f>[1]APREPER!AI31</f>
        <v>0</v>
      </c>
      <c r="DL25" s="60">
        <f>[1]APREPER!AJ31</f>
        <v>0</v>
      </c>
      <c r="DM25" s="61">
        <f>[1]APREPPFF!I31</f>
        <v>0</v>
      </c>
      <c r="DN25" s="61">
        <f>[1]APREPPFF!J31</f>
        <v>0</v>
      </c>
      <c r="DO25" s="61">
        <f>[1]APREPPFF!K31</f>
        <v>0</v>
      </c>
      <c r="DP25" s="61">
        <f>[1]APREPPFF!L31</f>
        <v>0</v>
      </c>
      <c r="DQ25" s="61">
        <f>[1]APREPPFF!M31</f>
        <v>0</v>
      </c>
      <c r="DR25" s="61">
        <f>[1]APREPPFF!N31</f>
        <v>0</v>
      </c>
      <c r="DS25" s="61">
        <f>[1]APREPPFF!O31</f>
        <v>0</v>
      </c>
      <c r="DT25" s="61">
        <f>[1]APREPPFF!P31</f>
        <v>0</v>
      </c>
      <c r="DU25" s="61">
        <f>[1]APREPPFF!Q31</f>
        <v>0</v>
      </c>
      <c r="DV25" s="61">
        <f>[1]APREPPFF!R31</f>
        <v>0</v>
      </c>
      <c r="DW25" s="61">
        <f>[1]APREPPFF!S31</f>
        <v>0</v>
      </c>
      <c r="DX25" s="61">
        <f>[1]APREPPFF!T31</f>
        <v>0</v>
      </c>
      <c r="DY25" s="61">
        <f>[1]APREPPFF!U31</f>
        <v>0</v>
      </c>
      <c r="DZ25" s="60"/>
      <c r="EA25" s="62"/>
      <c r="EB25" s="60"/>
      <c r="EC25" s="63"/>
      <c r="ED25" s="64"/>
      <c r="EE25" s="64"/>
      <c r="EF25" s="64">
        <f>[1]APREPER!AM31</f>
        <v>0</v>
      </c>
      <c r="EG25" s="65"/>
      <c r="EH25" s="65"/>
      <c r="EI25" s="66">
        <f t="shared" si="2"/>
        <v>0</v>
      </c>
      <c r="EJ25" s="66">
        <f t="shared" si="3"/>
        <v>0</v>
      </c>
      <c r="EK25" s="66">
        <f t="shared" si="4"/>
        <v>0</v>
      </c>
    </row>
    <row r="26" spans="1:141" ht="15.75" customHeight="1">
      <c r="A26" s="56" t="s">
        <v>33</v>
      </c>
      <c r="B26" s="57">
        <f>[1]MAT!C34</f>
        <v>0</v>
      </c>
      <c r="C26" s="58" t="str">
        <f>[1]MAT!N34</f>
        <v/>
      </c>
      <c r="D26" s="59" t="str">
        <f>[1]MAT!AH34</f>
        <v/>
      </c>
      <c r="E26" s="59" t="str">
        <f>[1]MAT!AZ34</f>
        <v/>
      </c>
      <c r="F26" s="59" t="str">
        <f>[1]MAT!R34</f>
        <v/>
      </c>
      <c r="G26" s="59" t="str">
        <f>[1]MAT!AL34</f>
        <v/>
      </c>
      <c r="H26" s="59" t="str">
        <f>[1]MAT!BA34</f>
        <v/>
      </c>
      <c r="I26" s="59" t="str">
        <f>[1]MAT!V34</f>
        <v/>
      </c>
      <c r="J26" s="59" t="str">
        <f>[1]MAT!AP34</f>
        <v/>
      </c>
      <c r="K26" s="59" t="str">
        <f>[1]MAT!BB34</f>
        <v/>
      </c>
      <c r="L26" s="59" t="str">
        <f>[1]MAT!Z34</f>
        <v/>
      </c>
      <c r="M26" s="59" t="str">
        <f>[1]MAT!AT34</f>
        <v/>
      </c>
      <c r="N26" s="59" t="str">
        <f>[1]MAT!BC34</f>
        <v/>
      </c>
      <c r="O26" s="59" t="str">
        <f>[1]CSOC!N34</f>
        <v/>
      </c>
      <c r="P26" s="59" t="str">
        <f>[1]CSOC!AH34</f>
        <v/>
      </c>
      <c r="Q26" s="59" t="str">
        <f>[1]CSOC!AZ34</f>
        <v/>
      </c>
      <c r="R26" s="59" t="str">
        <f>[1]CSOC!R34</f>
        <v/>
      </c>
      <c r="S26" s="59" t="str">
        <f>[1]CSOC!AL34</f>
        <v/>
      </c>
      <c r="T26" s="59" t="str">
        <f>[1]CSOC!BA34</f>
        <v/>
      </c>
      <c r="U26" s="59" t="str">
        <f>[1]CSOC!V34</f>
        <v/>
      </c>
      <c r="V26" s="59" t="str">
        <f>[1]CSOC!AP34</f>
        <v/>
      </c>
      <c r="W26" s="59" t="str">
        <f>[1]CSOC!BB34</f>
        <v/>
      </c>
      <c r="X26" s="59" t="str">
        <f>[1]EFIS!N34</f>
        <v/>
      </c>
      <c r="Y26" s="59" t="str">
        <f>[1]EFIS!AH34</f>
        <v/>
      </c>
      <c r="Z26" s="59" t="str">
        <f>[1]EFIS!AZ34</f>
        <v/>
      </c>
      <c r="AA26" s="59" t="str">
        <f>[1]EFIS!R34</f>
        <v/>
      </c>
      <c r="AB26" s="59" t="str">
        <f>[1]EFIS!AL34</f>
        <v/>
      </c>
      <c r="AC26" s="59" t="str">
        <f>[1]EFIS!BA34</f>
        <v/>
      </c>
      <c r="AD26" s="59" t="str">
        <f>[1]EFIS!V34</f>
        <v/>
      </c>
      <c r="AE26" s="59" t="str">
        <f>[1]EFIS!AP34</f>
        <v/>
      </c>
      <c r="AF26" s="59" t="str">
        <f>[1]EFIS!BB34</f>
        <v/>
      </c>
      <c r="AG26" s="59" t="str">
        <f>[1]DPCC!N34</f>
        <v/>
      </c>
      <c r="AH26" s="59" t="str">
        <f>[1]DPCC!AH34</f>
        <v/>
      </c>
      <c r="AI26" s="59" t="str">
        <f>[1]DPCC!AZ34</f>
        <v/>
      </c>
      <c r="AJ26" s="59" t="str">
        <f>[1]DPCC!R34</f>
        <v/>
      </c>
      <c r="AK26" s="59" t="str">
        <f>[1]DPCC!AL34</f>
        <v/>
      </c>
      <c r="AL26" s="59" t="str">
        <f>[1]DPCC!BA34</f>
        <v/>
      </c>
      <c r="AM26" s="59" t="str">
        <f>[1]ARTE!N34</f>
        <v/>
      </c>
      <c r="AN26" s="59" t="str">
        <f>[1]ARTE!AH34</f>
        <v/>
      </c>
      <c r="AO26" s="59" t="str">
        <f>[1]ARTE!AZ34</f>
        <v/>
      </c>
      <c r="AP26" s="59" t="str">
        <f>[1]ARTE!R34</f>
        <v/>
      </c>
      <c r="AQ26" s="59" t="str">
        <f>[1]ARTE!AL34</f>
        <v/>
      </c>
      <c r="AR26" s="59" t="str">
        <f>[1]ARTE!BA34</f>
        <v/>
      </c>
      <c r="AS26" s="59" t="str">
        <f>[1]COMU!N34</f>
        <v/>
      </c>
      <c r="AT26" s="59" t="str">
        <f>[1]COMU!AH34</f>
        <v/>
      </c>
      <c r="AU26" s="59" t="str">
        <f>[1]COMU!AZ34</f>
        <v/>
      </c>
      <c r="AV26" s="59" t="str">
        <f>[1]COMU!R34</f>
        <v/>
      </c>
      <c r="AW26" s="59" t="str">
        <f>[1]COMU!AL34</f>
        <v/>
      </c>
      <c r="AX26" s="59" t="str">
        <f>[1]COMU!BA34</f>
        <v/>
      </c>
      <c r="AY26" s="59" t="str">
        <f>[1]COMU!V34</f>
        <v/>
      </c>
      <c r="AZ26" s="59" t="str">
        <f>[1]COMU!AP34</f>
        <v/>
      </c>
      <c r="BA26" s="59" t="str">
        <f>[1]COMU!BB34</f>
        <v/>
      </c>
      <c r="BB26" s="59" t="str">
        <f>[1]CTEC!N34</f>
        <v/>
      </c>
      <c r="BC26" s="59" t="str">
        <f>[1]CTEC!AH34</f>
        <v/>
      </c>
      <c r="BD26" s="59" t="str">
        <f>[1]CTEC!AZ34</f>
        <v/>
      </c>
      <c r="BE26" s="59" t="str">
        <f>[1]CTEC!R34</f>
        <v/>
      </c>
      <c r="BF26" s="59" t="str">
        <f>[1]CTEC!AL34</f>
        <v/>
      </c>
      <c r="BG26" s="59" t="str">
        <f>[1]CTEC!BA34</f>
        <v/>
      </c>
      <c r="BH26" s="59" t="str">
        <f>[1]CTEC!V34</f>
        <v/>
      </c>
      <c r="BI26" s="59" t="str">
        <f>[1]CTEC!AP34</f>
        <v/>
      </c>
      <c r="BJ26" s="59" t="str">
        <f>[1]CTEC!BB34</f>
        <v/>
      </c>
      <c r="BK26" s="59" t="str">
        <f>[1]ING!N34</f>
        <v/>
      </c>
      <c r="BL26" s="59" t="str">
        <f>[1]ING!AH34</f>
        <v/>
      </c>
      <c r="BM26" s="59" t="str">
        <f>[1]ING!AZ34</f>
        <v/>
      </c>
      <c r="BN26" s="59" t="str">
        <f>[1]ING!R34</f>
        <v/>
      </c>
      <c r="BO26" s="59" t="str">
        <f>[1]ING!AL34</f>
        <v/>
      </c>
      <c r="BP26" s="59" t="str">
        <f>[1]ING!BA34</f>
        <v/>
      </c>
      <c r="BQ26" s="59" t="str">
        <f>[1]ING!V34</f>
        <v/>
      </c>
      <c r="BR26" s="59" t="str">
        <f>[1]ING!AP34</f>
        <v/>
      </c>
      <c r="BS26" s="59" t="str">
        <f>[1]ING!BB34</f>
        <v/>
      </c>
      <c r="BT26" s="59" t="str">
        <f>[1]REL!N34</f>
        <v/>
      </c>
      <c r="BU26" s="59" t="str">
        <f>[1]REL!AH34</f>
        <v/>
      </c>
      <c r="BV26" s="59" t="str">
        <f>[1]REL!AZ34</f>
        <v/>
      </c>
      <c r="BW26" s="59" t="str">
        <f>[1]REL!R34</f>
        <v/>
      </c>
      <c r="BX26" s="59" t="str">
        <f>[1]REL!AL34</f>
        <v/>
      </c>
      <c r="BY26" s="59" t="str">
        <f>[1]REL!BA34</f>
        <v/>
      </c>
      <c r="BZ26" s="59" t="str">
        <f>[1]EMPR!N34</f>
        <v/>
      </c>
      <c r="CA26" s="59" t="str">
        <f>[1]EMPR!AH34</f>
        <v/>
      </c>
      <c r="CB26" s="59" t="str">
        <f>[1]EMPR!AZ34</f>
        <v/>
      </c>
      <c r="CC26" s="59" t="str">
        <f>[1]COMPU!N34</f>
        <v/>
      </c>
      <c r="CD26" s="59" t="str">
        <f>[1]COMPU!AH34</f>
        <v/>
      </c>
      <c r="CE26" s="59" t="str">
        <f>[1]COMPU!AZ34</f>
        <v/>
      </c>
      <c r="CF26" s="59" t="str">
        <f>[1]ROBOTI!N34</f>
        <v/>
      </c>
      <c r="CG26" s="59" t="str">
        <f>[1]ROBOTI!AH34</f>
        <v/>
      </c>
      <c r="CH26" s="59" t="str">
        <f>[1]ROBOTI!AZ34</f>
        <v/>
      </c>
      <c r="CI26" s="60">
        <f>[1]APREPER!AK32</f>
        <v>0</v>
      </c>
      <c r="CJ26" s="60">
        <f>[1]APREPER!AL32</f>
        <v>0</v>
      </c>
      <c r="CK26" s="60">
        <f>[1]APREPER!I32</f>
        <v>0</v>
      </c>
      <c r="CL26" s="60">
        <f>[1]APREPER!J32</f>
        <v>0</v>
      </c>
      <c r="CM26" s="60">
        <f>[1]APREPER!K32</f>
        <v>0</v>
      </c>
      <c r="CN26" s="60">
        <f>[1]APREPER!L32</f>
        <v>0</v>
      </c>
      <c r="CO26" s="60">
        <f>[1]APREPER!M32</f>
        <v>0</v>
      </c>
      <c r="CP26" s="60">
        <f>[1]APREPER!N32</f>
        <v>0</v>
      </c>
      <c r="CQ26" s="60">
        <f>[1]APREPER!O32</f>
        <v>0</v>
      </c>
      <c r="CR26" s="60">
        <f>[1]APREPER!P32</f>
        <v>0</v>
      </c>
      <c r="CS26" s="60">
        <f>[1]APREPER!Q32</f>
        <v>0</v>
      </c>
      <c r="CT26" s="60">
        <f>[1]APREPER!R32</f>
        <v>0</v>
      </c>
      <c r="CU26" s="60">
        <f>[1]APREPER!S32</f>
        <v>0</v>
      </c>
      <c r="CV26" s="60">
        <f>[1]APREPER!T32</f>
        <v>0</v>
      </c>
      <c r="CW26" s="60">
        <f>[1]APREPER!U32</f>
        <v>0</v>
      </c>
      <c r="CX26" s="60">
        <f>[1]APREPER!V32</f>
        <v>0</v>
      </c>
      <c r="CY26" s="60">
        <f>[1]APREPER!W32</f>
        <v>0</v>
      </c>
      <c r="CZ26" s="60">
        <f>[1]APREPER!X32</f>
        <v>0</v>
      </c>
      <c r="DA26" s="60">
        <f>[1]APREPER!Y32</f>
        <v>0</v>
      </c>
      <c r="DB26" s="60">
        <f>[1]APREPER!Z32</f>
        <v>0</v>
      </c>
      <c r="DC26" s="60">
        <f>[1]APREPER!AA32</f>
        <v>0</v>
      </c>
      <c r="DD26" s="60">
        <f>[1]APREPER!AB32</f>
        <v>0</v>
      </c>
      <c r="DE26" s="60">
        <f>[1]APREPER!AC32</f>
        <v>0</v>
      </c>
      <c r="DF26" s="60">
        <f>[1]APREPER!AD32</f>
        <v>0</v>
      </c>
      <c r="DG26" s="60">
        <f>[1]APREPER!AE32</f>
        <v>0</v>
      </c>
      <c r="DH26" s="60">
        <f>[1]APREPER!AF32</f>
        <v>0</v>
      </c>
      <c r="DI26" s="60">
        <f>[1]APREPER!AG32</f>
        <v>0</v>
      </c>
      <c r="DJ26" s="60">
        <f>[1]APREPER!AH32</f>
        <v>0</v>
      </c>
      <c r="DK26" s="60">
        <f>[1]APREPER!AI32</f>
        <v>0</v>
      </c>
      <c r="DL26" s="60">
        <f>[1]APREPER!AJ32</f>
        <v>0</v>
      </c>
      <c r="DM26" s="61">
        <f>[1]APREPPFF!I32</f>
        <v>0</v>
      </c>
      <c r="DN26" s="61">
        <f>[1]APREPPFF!J32</f>
        <v>0</v>
      </c>
      <c r="DO26" s="61">
        <f>[1]APREPPFF!K32</f>
        <v>0</v>
      </c>
      <c r="DP26" s="61">
        <f>[1]APREPPFF!L32</f>
        <v>0</v>
      </c>
      <c r="DQ26" s="61">
        <f>[1]APREPPFF!M32</f>
        <v>0</v>
      </c>
      <c r="DR26" s="61">
        <f>[1]APREPPFF!N32</f>
        <v>0</v>
      </c>
      <c r="DS26" s="61">
        <f>[1]APREPPFF!O32</f>
        <v>0</v>
      </c>
      <c r="DT26" s="61">
        <f>[1]APREPPFF!P32</f>
        <v>0</v>
      </c>
      <c r="DU26" s="61">
        <f>[1]APREPPFF!Q32</f>
        <v>0</v>
      </c>
      <c r="DV26" s="61">
        <f>[1]APREPPFF!R32</f>
        <v>0</v>
      </c>
      <c r="DW26" s="61">
        <f>[1]APREPPFF!S32</f>
        <v>0</v>
      </c>
      <c r="DX26" s="61">
        <f>[1]APREPPFF!T32</f>
        <v>0</v>
      </c>
      <c r="DY26" s="61">
        <f>[1]APREPPFF!U32</f>
        <v>0</v>
      </c>
      <c r="DZ26" s="60"/>
      <c r="EA26" s="62"/>
      <c r="EB26" s="60"/>
      <c r="EC26" s="63"/>
      <c r="ED26" s="64"/>
      <c r="EE26" s="64"/>
      <c r="EF26" s="64">
        <f>[1]APREPER!AM32</f>
        <v>0</v>
      </c>
      <c r="EG26" s="65"/>
      <c r="EH26" s="65"/>
      <c r="EI26" s="66">
        <f t="shared" si="2"/>
        <v>0</v>
      </c>
      <c r="EJ26" s="66">
        <f t="shared" si="3"/>
        <v>0</v>
      </c>
      <c r="EK26" s="66">
        <f t="shared" si="4"/>
        <v>0</v>
      </c>
    </row>
    <row r="27" spans="1:141" ht="15.75" customHeight="1">
      <c r="A27" s="56" t="s">
        <v>34</v>
      </c>
      <c r="B27" s="57">
        <f>[1]MAT!C35</f>
        <v>0</v>
      </c>
      <c r="C27" s="58" t="str">
        <f>[1]MAT!N35</f>
        <v/>
      </c>
      <c r="D27" s="59" t="str">
        <f>[1]MAT!AH35</f>
        <v/>
      </c>
      <c r="E27" s="59" t="str">
        <f>[1]MAT!AZ35</f>
        <v/>
      </c>
      <c r="F27" s="59" t="str">
        <f>[1]MAT!R35</f>
        <v/>
      </c>
      <c r="G27" s="59" t="str">
        <f>[1]MAT!AL35</f>
        <v/>
      </c>
      <c r="H27" s="59" t="str">
        <f>[1]MAT!BA35</f>
        <v/>
      </c>
      <c r="I27" s="59" t="str">
        <f>[1]MAT!V35</f>
        <v/>
      </c>
      <c r="J27" s="59" t="str">
        <f>[1]MAT!AP35</f>
        <v/>
      </c>
      <c r="K27" s="59" t="str">
        <f>[1]MAT!BB35</f>
        <v/>
      </c>
      <c r="L27" s="59" t="str">
        <f>[1]MAT!Z35</f>
        <v/>
      </c>
      <c r="M27" s="59" t="str">
        <f>[1]MAT!AT35</f>
        <v/>
      </c>
      <c r="N27" s="59" t="str">
        <f>[1]MAT!BC35</f>
        <v/>
      </c>
      <c r="O27" s="59" t="str">
        <f>[1]CSOC!N35</f>
        <v/>
      </c>
      <c r="P27" s="59" t="str">
        <f>[1]CSOC!AH35</f>
        <v/>
      </c>
      <c r="Q27" s="59" t="str">
        <f>[1]CSOC!AZ35</f>
        <v/>
      </c>
      <c r="R27" s="59" t="str">
        <f>[1]CSOC!R35</f>
        <v/>
      </c>
      <c r="S27" s="59" t="str">
        <f>[1]CSOC!AL35</f>
        <v/>
      </c>
      <c r="T27" s="59" t="str">
        <f>[1]CSOC!BA35</f>
        <v/>
      </c>
      <c r="U27" s="59" t="str">
        <f>[1]CSOC!V35</f>
        <v/>
      </c>
      <c r="V27" s="59" t="str">
        <f>[1]CSOC!AP35</f>
        <v/>
      </c>
      <c r="W27" s="59" t="str">
        <f>[1]CSOC!BB35</f>
        <v/>
      </c>
      <c r="X27" s="59" t="str">
        <f>[1]EFIS!N35</f>
        <v/>
      </c>
      <c r="Y27" s="59" t="str">
        <f>[1]EFIS!AH35</f>
        <v/>
      </c>
      <c r="Z27" s="59" t="str">
        <f>[1]EFIS!AZ35</f>
        <v/>
      </c>
      <c r="AA27" s="59" t="str">
        <f>[1]EFIS!R35</f>
        <v/>
      </c>
      <c r="AB27" s="59" t="str">
        <f>[1]EFIS!AL35</f>
        <v/>
      </c>
      <c r="AC27" s="59" t="str">
        <f>[1]EFIS!BA35</f>
        <v/>
      </c>
      <c r="AD27" s="59" t="str">
        <f>[1]EFIS!V35</f>
        <v/>
      </c>
      <c r="AE27" s="59" t="str">
        <f>[1]EFIS!AP35</f>
        <v/>
      </c>
      <c r="AF27" s="59" t="str">
        <f>[1]EFIS!BB35</f>
        <v/>
      </c>
      <c r="AG27" s="59" t="str">
        <f>[1]DPCC!N35</f>
        <v/>
      </c>
      <c r="AH27" s="59" t="str">
        <f>[1]DPCC!AH35</f>
        <v/>
      </c>
      <c r="AI27" s="59" t="str">
        <f>[1]DPCC!AZ35</f>
        <v/>
      </c>
      <c r="AJ27" s="59" t="str">
        <f>[1]DPCC!R35</f>
        <v/>
      </c>
      <c r="AK27" s="59" t="str">
        <f>[1]DPCC!AL35</f>
        <v/>
      </c>
      <c r="AL27" s="59" t="str">
        <f>[1]DPCC!BA35</f>
        <v/>
      </c>
      <c r="AM27" s="59" t="str">
        <f>[1]ARTE!N35</f>
        <v/>
      </c>
      <c r="AN27" s="59" t="str">
        <f>[1]ARTE!AH35</f>
        <v/>
      </c>
      <c r="AO27" s="59" t="str">
        <f>[1]ARTE!AZ35</f>
        <v/>
      </c>
      <c r="AP27" s="59" t="str">
        <f>[1]ARTE!R35</f>
        <v/>
      </c>
      <c r="AQ27" s="59" t="str">
        <f>[1]ARTE!AL35</f>
        <v/>
      </c>
      <c r="AR27" s="59" t="str">
        <f>[1]ARTE!BA35</f>
        <v/>
      </c>
      <c r="AS27" s="59" t="str">
        <f>[1]COMU!N35</f>
        <v/>
      </c>
      <c r="AT27" s="59" t="str">
        <f>[1]COMU!AH35</f>
        <v/>
      </c>
      <c r="AU27" s="59" t="str">
        <f>[1]COMU!AZ35</f>
        <v/>
      </c>
      <c r="AV27" s="59" t="str">
        <f>[1]COMU!R35</f>
        <v/>
      </c>
      <c r="AW27" s="59" t="str">
        <f>[1]COMU!AL35</f>
        <v/>
      </c>
      <c r="AX27" s="59" t="str">
        <f>[1]COMU!BA35</f>
        <v/>
      </c>
      <c r="AY27" s="59" t="str">
        <f>[1]COMU!V35</f>
        <v/>
      </c>
      <c r="AZ27" s="59" t="str">
        <f>[1]COMU!AP35</f>
        <v/>
      </c>
      <c r="BA27" s="59" t="str">
        <f>[1]COMU!BB35</f>
        <v/>
      </c>
      <c r="BB27" s="59" t="str">
        <f>[1]CTEC!N35</f>
        <v/>
      </c>
      <c r="BC27" s="59" t="str">
        <f>[1]CTEC!AH35</f>
        <v/>
      </c>
      <c r="BD27" s="59" t="str">
        <f>[1]CTEC!AZ35</f>
        <v/>
      </c>
      <c r="BE27" s="59" t="str">
        <f>[1]CTEC!R35</f>
        <v/>
      </c>
      <c r="BF27" s="59" t="str">
        <f>[1]CTEC!AL35</f>
        <v/>
      </c>
      <c r="BG27" s="59" t="str">
        <f>[1]CTEC!BA35</f>
        <v/>
      </c>
      <c r="BH27" s="59" t="str">
        <f>[1]CTEC!V35</f>
        <v/>
      </c>
      <c r="BI27" s="59" t="str">
        <f>[1]CTEC!AP35</f>
        <v/>
      </c>
      <c r="BJ27" s="59" t="str">
        <f>[1]CTEC!BB35</f>
        <v/>
      </c>
      <c r="BK27" s="59" t="str">
        <f>[1]ING!N35</f>
        <v/>
      </c>
      <c r="BL27" s="59" t="str">
        <f>[1]ING!AH35</f>
        <v/>
      </c>
      <c r="BM27" s="59" t="str">
        <f>[1]ING!AZ35</f>
        <v/>
      </c>
      <c r="BN27" s="59" t="str">
        <f>[1]ING!R35</f>
        <v/>
      </c>
      <c r="BO27" s="59" t="str">
        <f>[1]ING!AL35</f>
        <v/>
      </c>
      <c r="BP27" s="59" t="str">
        <f>[1]ING!BA35</f>
        <v/>
      </c>
      <c r="BQ27" s="59" t="str">
        <f>[1]ING!V35</f>
        <v/>
      </c>
      <c r="BR27" s="59" t="str">
        <f>[1]ING!AP35</f>
        <v/>
      </c>
      <c r="BS27" s="59" t="str">
        <f>[1]ING!BB35</f>
        <v/>
      </c>
      <c r="BT27" s="59" t="str">
        <f>[1]REL!N35</f>
        <v/>
      </c>
      <c r="BU27" s="59" t="str">
        <f>[1]REL!AH35</f>
        <v/>
      </c>
      <c r="BV27" s="59" t="str">
        <f>[1]REL!AZ35</f>
        <v/>
      </c>
      <c r="BW27" s="59" t="str">
        <f>[1]REL!R35</f>
        <v/>
      </c>
      <c r="BX27" s="59" t="str">
        <f>[1]REL!AL35</f>
        <v/>
      </c>
      <c r="BY27" s="59" t="str">
        <f>[1]REL!BA35</f>
        <v/>
      </c>
      <c r="BZ27" s="59" t="str">
        <f>[1]EMPR!N35</f>
        <v/>
      </c>
      <c r="CA27" s="59" t="str">
        <f>[1]EMPR!AH35</f>
        <v/>
      </c>
      <c r="CB27" s="59" t="str">
        <f>[1]EMPR!AZ35</f>
        <v/>
      </c>
      <c r="CC27" s="59" t="str">
        <f>[1]COMPU!N35</f>
        <v/>
      </c>
      <c r="CD27" s="59" t="str">
        <f>[1]COMPU!AH35</f>
        <v/>
      </c>
      <c r="CE27" s="59" t="str">
        <f>[1]COMPU!AZ35</f>
        <v/>
      </c>
      <c r="CF27" s="59" t="str">
        <f>[1]ROBOTI!N35</f>
        <v/>
      </c>
      <c r="CG27" s="59" t="str">
        <f>[1]ROBOTI!AH35</f>
        <v/>
      </c>
      <c r="CH27" s="59" t="str">
        <f>[1]ROBOTI!AZ35</f>
        <v/>
      </c>
      <c r="CI27" s="60">
        <f>[1]APREPER!AK33</f>
        <v>0</v>
      </c>
      <c r="CJ27" s="60">
        <f>[1]APREPER!AL33</f>
        <v>0</v>
      </c>
      <c r="CK27" s="60">
        <f>[1]APREPER!I33</f>
        <v>0</v>
      </c>
      <c r="CL27" s="60">
        <f>[1]APREPER!J33</f>
        <v>0</v>
      </c>
      <c r="CM27" s="60">
        <f>[1]APREPER!K33</f>
        <v>0</v>
      </c>
      <c r="CN27" s="60">
        <f>[1]APREPER!L33</f>
        <v>0</v>
      </c>
      <c r="CO27" s="60">
        <f>[1]APREPER!M33</f>
        <v>0</v>
      </c>
      <c r="CP27" s="60">
        <f>[1]APREPER!N33</f>
        <v>0</v>
      </c>
      <c r="CQ27" s="60">
        <f>[1]APREPER!O33</f>
        <v>0</v>
      </c>
      <c r="CR27" s="60">
        <f>[1]APREPER!P33</f>
        <v>0</v>
      </c>
      <c r="CS27" s="60">
        <f>[1]APREPER!Q33</f>
        <v>0</v>
      </c>
      <c r="CT27" s="60">
        <f>[1]APREPER!R33</f>
        <v>0</v>
      </c>
      <c r="CU27" s="60">
        <f>[1]APREPER!S33</f>
        <v>0</v>
      </c>
      <c r="CV27" s="60">
        <f>[1]APREPER!T33</f>
        <v>0</v>
      </c>
      <c r="CW27" s="60">
        <f>[1]APREPER!U33</f>
        <v>0</v>
      </c>
      <c r="CX27" s="60">
        <f>[1]APREPER!V33</f>
        <v>0</v>
      </c>
      <c r="CY27" s="60">
        <f>[1]APREPER!W33</f>
        <v>0</v>
      </c>
      <c r="CZ27" s="60">
        <f>[1]APREPER!X33</f>
        <v>0</v>
      </c>
      <c r="DA27" s="60">
        <f>[1]APREPER!Y33</f>
        <v>0</v>
      </c>
      <c r="DB27" s="60">
        <f>[1]APREPER!Z33</f>
        <v>0</v>
      </c>
      <c r="DC27" s="60">
        <f>[1]APREPER!AA33</f>
        <v>0</v>
      </c>
      <c r="DD27" s="60">
        <f>[1]APREPER!AB33</f>
        <v>0</v>
      </c>
      <c r="DE27" s="60">
        <f>[1]APREPER!AC33</f>
        <v>0</v>
      </c>
      <c r="DF27" s="60">
        <f>[1]APREPER!AD33</f>
        <v>0</v>
      </c>
      <c r="DG27" s="60">
        <f>[1]APREPER!AE33</f>
        <v>0</v>
      </c>
      <c r="DH27" s="60">
        <f>[1]APREPER!AF33</f>
        <v>0</v>
      </c>
      <c r="DI27" s="60">
        <f>[1]APREPER!AG33</f>
        <v>0</v>
      </c>
      <c r="DJ27" s="60">
        <f>[1]APREPER!AH33</f>
        <v>0</v>
      </c>
      <c r="DK27" s="60">
        <f>[1]APREPER!AI33</f>
        <v>0</v>
      </c>
      <c r="DL27" s="60">
        <f>[1]APREPER!AJ33</f>
        <v>0</v>
      </c>
      <c r="DM27" s="61">
        <f>[1]APREPPFF!I33</f>
        <v>0</v>
      </c>
      <c r="DN27" s="61">
        <f>[1]APREPPFF!J33</f>
        <v>0</v>
      </c>
      <c r="DO27" s="61">
        <f>[1]APREPPFF!K33</f>
        <v>0</v>
      </c>
      <c r="DP27" s="61">
        <f>[1]APREPPFF!L33</f>
        <v>0</v>
      </c>
      <c r="DQ27" s="61">
        <f>[1]APREPPFF!M33</f>
        <v>0</v>
      </c>
      <c r="DR27" s="61">
        <f>[1]APREPPFF!N33</f>
        <v>0</v>
      </c>
      <c r="DS27" s="61">
        <f>[1]APREPPFF!O33</f>
        <v>0</v>
      </c>
      <c r="DT27" s="61">
        <f>[1]APREPPFF!P33</f>
        <v>0</v>
      </c>
      <c r="DU27" s="61">
        <f>[1]APREPPFF!Q33</f>
        <v>0</v>
      </c>
      <c r="DV27" s="61">
        <f>[1]APREPPFF!R33</f>
        <v>0</v>
      </c>
      <c r="DW27" s="61">
        <f>[1]APREPPFF!S33</f>
        <v>0</v>
      </c>
      <c r="DX27" s="61">
        <f>[1]APREPPFF!T33</f>
        <v>0</v>
      </c>
      <c r="DY27" s="61">
        <f>[1]APREPPFF!U33</f>
        <v>0</v>
      </c>
      <c r="DZ27" s="60"/>
      <c r="EA27" s="62"/>
      <c r="EB27" s="60"/>
      <c r="EC27" s="63"/>
      <c r="ED27" s="64"/>
      <c r="EE27" s="64"/>
      <c r="EF27" s="64">
        <f>[1]APREPER!AM33</f>
        <v>0</v>
      </c>
      <c r="EG27" s="65"/>
      <c r="EH27" s="65"/>
      <c r="EI27" s="66">
        <f t="shared" si="2"/>
        <v>0</v>
      </c>
      <c r="EJ27" s="66">
        <f t="shared" si="3"/>
        <v>0</v>
      </c>
      <c r="EK27" s="66">
        <f t="shared" si="4"/>
        <v>0</v>
      </c>
    </row>
    <row r="28" spans="1:141" ht="15.75" customHeight="1">
      <c r="A28" s="56" t="s">
        <v>35</v>
      </c>
      <c r="B28" s="57">
        <f>[1]MAT!C36</f>
        <v>0</v>
      </c>
      <c r="C28" s="58" t="str">
        <f>[1]MAT!N36</f>
        <v/>
      </c>
      <c r="D28" s="59" t="str">
        <f>[1]MAT!AH36</f>
        <v/>
      </c>
      <c r="E28" s="59" t="str">
        <f>[1]MAT!AZ36</f>
        <v/>
      </c>
      <c r="F28" s="59" t="str">
        <f>[1]MAT!R36</f>
        <v/>
      </c>
      <c r="G28" s="59" t="str">
        <f>[1]MAT!AL36</f>
        <v/>
      </c>
      <c r="H28" s="59" t="str">
        <f>[1]MAT!BA36</f>
        <v/>
      </c>
      <c r="I28" s="59" t="str">
        <f>[1]MAT!V36</f>
        <v/>
      </c>
      <c r="J28" s="59" t="str">
        <f>[1]MAT!AP36</f>
        <v/>
      </c>
      <c r="K28" s="59" t="str">
        <f>[1]MAT!BB36</f>
        <v/>
      </c>
      <c r="L28" s="59" t="str">
        <f>[1]MAT!Z36</f>
        <v/>
      </c>
      <c r="M28" s="59" t="str">
        <f>[1]MAT!AT36</f>
        <v/>
      </c>
      <c r="N28" s="59" t="str">
        <f>[1]MAT!BC36</f>
        <v/>
      </c>
      <c r="O28" s="59" t="str">
        <f>[1]CSOC!N36</f>
        <v/>
      </c>
      <c r="P28" s="59" t="str">
        <f>[1]CSOC!AH36</f>
        <v/>
      </c>
      <c r="Q28" s="59" t="str">
        <f>[1]CSOC!AZ36</f>
        <v/>
      </c>
      <c r="R28" s="59" t="str">
        <f>[1]CSOC!R36</f>
        <v/>
      </c>
      <c r="S28" s="59" t="str">
        <f>[1]CSOC!AL36</f>
        <v/>
      </c>
      <c r="T28" s="59" t="str">
        <f>[1]CSOC!BA36</f>
        <v/>
      </c>
      <c r="U28" s="59" t="str">
        <f>[1]CSOC!V36</f>
        <v/>
      </c>
      <c r="V28" s="59" t="str">
        <f>[1]CSOC!AP36</f>
        <v/>
      </c>
      <c r="W28" s="59" t="str">
        <f>[1]CSOC!BB36</f>
        <v/>
      </c>
      <c r="X28" s="59" t="str">
        <f>[1]EFIS!N36</f>
        <v/>
      </c>
      <c r="Y28" s="59" t="str">
        <f>[1]EFIS!AH36</f>
        <v/>
      </c>
      <c r="Z28" s="59" t="str">
        <f>[1]EFIS!AZ36</f>
        <v/>
      </c>
      <c r="AA28" s="59" t="str">
        <f>[1]EFIS!R36</f>
        <v/>
      </c>
      <c r="AB28" s="59" t="str">
        <f>[1]EFIS!AL36</f>
        <v/>
      </c>
      <c r="AC28" s="59" t="str">
        <f>[1]EFIS!BA36</f>
        <v/>
      </c>
      <c r="AD28" s="59" t="str">
        <f>[1]EFIS!V36</f>
        <v/>
      </c>
      <c r="AE28" s="59" t="str">
        <f>[1]EFIS!AP36</f>
        <v/>
      </c>
      <c r="AF28" s="59" t="str">
        <f>[1]EFIS!BB36</f>
        <v/>
      </c>
      <c r="AG28" s="59" t="str">
        <f>[1]DPCC!N36</f>
        <v/>
      </c>
      <c r="AH28" s="59" t="str">
        <f>[1]DPCC!AH36</f>
        <v/>
      </c>
      <c r="AI28" s="59" t="str">
        <f>[1]DPCC!AZ36</f>
        <v/>
      </c>
      <c r="AJ28" s="59" t="str">
        <f>[1]DPCC!R36</f>
        <v/>
      </c>
      <c r="AK28" s="59" t="str">
        <f>[1]DPCC!AL36</f>
        <v/>
      </c>
      <c r="AL28" s="59" t="str">
        <f>[1]DPCC!BA36</f>
        <v/>
      </c>
      <c r="AM28" s="59" t="str">
        <f>[1]ARTE!N36</f>
        <v/>
      </c>
      <c r="AN28" s="59" t="str">
        <f>[1]ARTE!AH36</f>
        <v/>
      </c>
      <c r="AO28" s="59" t="str">
        <f>[1]ARTE!AZ36</f>
        <v/>
      </c>
      <c r="AP28" s="59" t="str">
        <f>[1]ARTE!R36</f>
        <v/>
      </c>
      <c r="AQ28" s="59" t="str">
        <f>[1]ARTE!AL36</f>
        <v/>
      </c>
      <c r="AR28" s="59" t="str">
        <f>[1]ARTE!BA36</f>
        <v/>
      </c>
      <c r="AS28" s="59" t="str">
        <f>[1]COMU!N36</f>
        <v/>
      </c>
      <c r="AT28" s="59" t="str">
        <f>[1]COMU!AH36</f>
        <v/>
      </c>
      <c r="AU28" s="59" t="str">
        <f>[1]COMU!AZ36</f>
        <v/>
      </c>
      <c r="AV28" s="59" t="str">
        <f>[1]COMU!R36</f>
        <v/>
      </c>
      <c r="AW28" s="59" t="str">
        <f>[1]COMU!AL36</f>
        <v/>
      </c>
      <c r="AX28" s="59" t="str">
        <f>[1]COMU!BA36</f>
        <v/>
      </c>
      <c r="AY28" s="59" t="str">
        <f>[1]COMU!V36</f>
        <v/>
      </c>
      <c r="AZ28" s="59" t="str">
        <f>[1]COMU!AP36</f>
        <v/>
      </c>
      <c r="BA28" s="59" t="str">
        <f>[1]COMU!BB36</f>
        <v/>
      </c>
      <c r="BB28" s="59" t="str">
        <f>[1]CTEC!N36</f>
        <v/>
      </c>
      <c r="BC28" s="59" t="str">
        <f>[1]CTEC!AH36</f>
        <v/>
      </c>
      <c r="BD28" s="59" t="str">
        <f>[1]CTEC!AZ36</f>
        <v/>
      </c>
      <c r="BE28" s="59" t="str">
        <f>[1]CTEC!R36</f>
        <v/>
      </c>
      <c r="BF28" s="59" t="str">
        <f>[1]CTEC!AL36</f>
        <v/>
      </c>
      <c r="BG28" s="59" t="str">
        <f>[1]CTEC!BA36</f>
        <v/>
      </c>
      <c r="BH28" s="59" t="str">
        <f>[1]CTEC!V36</f>
        <v/>
      </c>
      <c r="BI28" s="59" t="str">
        <f>[1]CTEC!AP36</f>
        <v/>
      </c>
      <c r="BJ28" s="59" t="str">
        <f>[1]CTEC!BB36</f>
        <v/>
      </c>
      <c r="BK28" s="59" t="str">
        <f>[1]ING!N36</f>
        <v/>
      </c>
      <c r="BL28" s="59" t="str">
        <f>[1]ING!AH36</f>
        <v/>
      </c>
      <c r="BM28" s="59" t="str">
        <f>[1]ING!AZ36</f>
        <v/>
      </c>
      <c r="BN28" s="59" t="str">
        <f>[1]ING!R36</f>
        <v/>
      </c>
      <c r="BO28" s="59" t="str">
        <f>[1]ING!AL36</f>
        <v/>
      </c>
      <c r="BP28" s="59" t="str">
        <f>[1]ING!BA36</f>
        <v/>
      </c>
      <c r="BQ28" s="59" t="str">
        <f>[1]ING!V36</f>
        <v/>
      </c>
      <c r="BR28" s="59" t="str">
        <f>[1]ING!AP36</f>
        <v/>
      </c>
      <c r="BS28" s="59" t="str">
        <f>[1]ING!BB36</f>
        <v/>
      </c>
      <c r="BT28" s="59" t="str">
        <f>[1]REL!N36</f>
        <v/>
      </c>
      <c r="BU28" s="59" t="str">
        <f>[1]REL!AH36</f>
        <v/>
      </c>
      <c r="BV28" s="59" t="str">
        <f>[1]REL!AZ36</f>
        <v/>
      </c>
      <c r="BW28" s="59" t="str">
        <f>[1]REL!R36</f>
        <v/>
      </c>
      <c r="BX28" s="59" t="str">
        <f>[1]REL!AL36</f>
        <v/>
      </c>
      <c r="BY28" s="59" t="str">
        <f>[1]REL!BA36</f>
        <v/>
      </c>
      <c r="BZ28" s="59" t="str">
        <f>[1]EMPR!N36</f>
        <v/>
      </c>
      <c r="CA28" s="59" t="str">
        <f>[1]EMPR!AH36</f>
        <v/>
      </c>
      <c r="CB28" s="59" t="str">
        <f>[1]EMPR!AZ36</f>
        <v/>
      </c>
      <c r="CC28" s="59" t="str">
        <f>[1]COMPU!N36</f>
        <v/>
      </c>
      <c r="CD28" s="59" t="str">
        <f>[1]COMPU!AH36</f>
        <v/>
      </c>
      <c r="CE28" s="59" t="str">
        <f>[1]COMPU!AZ36</f>
        <v/>
      </c>
      <c r="CF28" s="59" t="str">
        <f>[1]ROBOTI!N36</f>
        <v/>
      </c>
      <c r="CG28" s="59" t="str">
        <f>[1]ROBOTI!AH36</f>
        <v/>
      </c>
      <c r="CH28" s="59" t="str">
        <f>[1]ROBOTI!AZ36</f>
        <v/>
      </c>
      <c r="CI28" s="60">
        <f>[1]APREPER!AK34</f>
        <v>0</v>
      </c>
      <c r="CJ28" s="60">
        <f>[1]APREPER!AL34</f>
        <v>0</v>
      </c>
      <c r="CK28" s="60">
        <f>[1]APREPER!I34</f>
        <v>0</v>
      </c>
      <c r="CL28" s="60">
        <f>[1]APREPER!J34</f>
        <v>0</v>
      </c>
      <c r="CM28" s="60">
        <f>[1]APREPER!K34</f>
        <v>0</v>
      </c>
      <c r="CN28" s="60">
        <f>[1]APREPER!L34</f>
        <v>0</v>
      </c>
      <c r="CO28" s="60">
        <f>[1]APREPER!M34</f>
        <v>0</v>
      </c>
      <c r="CP28" s="60">
        <f>[1]APREPER!N34</f>
        <v>0</v>
      </c>
      <c r="CQ28" s="60">
        <f>[1]APREPER!O34</f>
        <v>0</v>
      </c>
      <c r="CR28" s="60">
        <f>[1]APREPER!P34</f>
        <v>0</v>
      </c>
      <c r="CS28" s="60">
        <f>[1]APREPER!Q34</f>
        <v>0</v>
      </c>
      <c r="CT28" s="60">
        <f>[1]APREPER!R34</f>
        <v>0</v>
      </c>
      <c r="CU28" s="60">
        <f>[1]APREPER!S34</f>
        <v>0</v>
      </c>
      <c r="CV28" s="60">
        <f>[1]APREPER!T34</f>
        <v>0</v>
      </c>
      <c r="CW28" s="60">
        <f>[1]APREPER!U34</f>
        <v>0</v>
      </c>
      <c r="CX28" s="60">
        <f>[1]APREPER!V34</f>
        <v>0</v>
      </c>
      <c r="CY28" s="60">
        <f>[1]APREPER!W34</f>
        <v>0</v>
      </c>
      <c r="CZ28" s="60">
        <f>[1]APREPER!X34</f>
        <v>0</v>
      </c>
      <c r="DA28" s="60">
        <f>[1]APREPER!Y34</f>
        <v>0</v>
      </c>
      <c r="DB28" s="60">
        <f>[1]APREPER!Z34</f>
        <v>0</v>
      </c>
      <c r="DC28" s="60">
        <f>[1]APREPER!AA34</f>
        <v>0</v>
      </c>
      <c r="DD28" s="60">
        <f>[1]APREPER!AB34</f>
        <v>0</v>
      </c>
      <c r="DE28" s="60">
        <f>[1]APREPER!AC34</f>
        <v>0</v>
      </c>
      <c r="DF28" s="60">
        <f>[1]APREPER!AD34</f>
        <v>0</v>
      </c>
      <c r="DG28" s="60">
        <f>[1]APREPER!AE34</f>
        <v>0</v>
      </c>
      <c r="DH28" s="60">
        <f>[1]APREPER!AF34</f>
        <v>0</v>
      </c>
      <c r="DI28" s="60">
        <f>[1]APREPER!AG34</f>
        <v>0</v>
      </c>
      <c r="DJ28" s="60">
        <f>[1]APREPER!AH34</f>
        <v>0</v>
      </c>
      <c r="DK28" s="60">
        <f>[1]APREPER!AI34</f>
        <v>0</v>
      </c>
      <c r="DL28" s="60">
        <f>[1]APREPER!AJ34</f>
        <v>0</v>
      </c>
      <c r="DM28" s="61">
        <f>[1]APREPPFF!I34</f>
        <v>0</v>
      </c>
      <c r="DN28" s="61">
        <f>[1]APREPPFF!J34</f>
        <v>0</v>
      </c>
      <c r="DO28" s="61">
        <f>[1]APREPPFF!K34</f>
        <v>0</v>
      </c>
      <c r="DP28" s="61">
        <f>[1]APREPPFF!L34</f>
        <v>0</v>
      </c>
      <c r="DQ28" s="61">
        <f>[1]APREPPFF!M34</f>
        <v>0</v>
      </c>
      <c r="DR28" s="61">
        <f>[1]APREPPFF!N34</f>
        <v>0</v>
      </c>
      <c r="DS28" s="61">
        <f>[1]APREPPFF!O34</f>
        <v>0</v>
      </c>
      <c r="DT28" s="61">
        <f>[1]APREPPFF!P34</f>
        <v>0</v>
      </c>
      <c r="DU28" s="61">
        <f>[1]APREPPFF!Q34</f>
        <v>0</v>
      </c>
      <c r="DV28" s="61">
        <f>[1]APREPPFF!R34</f>
        <v>0</v>
      </c>
      <c r="DW28" s="61">
        <f>[1]APREPPFF!S34</f>
        <v>0</v>
      </c>
      <c r="DX28" s="61">
        <f>[1]APREPPFF!T34</f>
        <v>0</v>
      </c>
      <c r="DY28" s="61">
        <f>[1]APREPPFF!U34</f>
        <v>0</v>
      </c>
      <c r="DZ28" s="60"/>
      <c r="EA28" s="62"/>
      <c r="EB28" s="60"/>
      <c r="EC28" s="63"/>
      <c r="ED28" s="64"/>
      <c r="EE28" s="64"/>
      <c r="EF28" s="64">
        <f>[1]APREPER!AM34</f>
        <v>0</v>
      </c>
      <c r="EG28" s="65"/>
      <c r="EH28" s="65"/>
      <c r="EI28" s="66">
        <f t="shared" si="2"/>
        <v>0</v>
      </c>
      <c r="EJ28" s="66">
        <f t="shared" si="3"/>
        <v>0</v>
      </c>
      <c r="EK28" s="66">
        <f t="shared" si="4"/>
        <v>0</v>
      </c>
    </row>
    <row r="29" spans="1:141" ht="15.75" customHeight="1">
      <c r="A29" s="56" t="s">
        <v>36</v>
      </c>
      <c r="B29" s="57">
        <f>[1]MAT!C37</f>
        <v>0</v>
      </c>
      <c r="C29" s="58" t="str">
        <f>[1]MAT!N37</f>
        <v/>
      </c>
      <c r="D29" s="59" t="str">
        <f>[1]MAT!AH37</f>
        <v/>
      </c>
      <c r="E29" s="59" t="str">
        <f>[1]MAT!AZ37</f>
        <v/>
      </c>
      <c r="F29" s="59" t="str">
        <f>[1]MAT!R37</f>
        <v/>
      </c>
      <c r="G29" s="59" t="str">
        <f>[1]MAT!AL37</f>
        <v/>
      </c>
      <c r="H29" s="59" t="str">
        <f>[1]MAT!BA37</f>
        <v/>
      </c>
      <c r="I29" s="59" t="str">
        <f>[1]MAT!V37</f>
        <v/>
      </c>
      <c r="J29" s="59" t="str">
        <f>[1]MAT!AP37</f>
        <v/>
      </c>
      <c r="K29" s="59" t="str">
        <f>[1]MAT!BB37</f>
        <v/>
      </c>
      <c r="L29" s="59" t="str">
        <f>[1]MAT!Z37</f>
        <v/>
      </c>
      <c r="M29" s="59" t="str">
        <f>[1]MAT!AT37</f>
        <v/>
      </c>
      <c r="N29" s="59" t="str">
        <f>[1]MAT!BC37</f>
        <v/>
      </c>
      <c r="O29" s="59" t="str">
        <f>[1]CSOC!N37</f>
        <v/>
      </c>
      <c r="P29" s="59" t="str">
        <f>[1]CSOC!AH37</f>
        <v/>
      </c>
      <c r="Q29" s="59" t="str">
        <f>[1]CSOC!AZ37</f>
        <v/>
      </c>
      <c r="R29" s="59" t="str">
        <f>[1]CSOC!R37</f>
        <v/>
      </c>
      <c r="S29" s="59" t="str">
        <f>[1]CSOC!AL37</f>
        <v/>
      </c>
      <c r="T29" s="59" t="str">
        <f>[1]CSOC!BA37</f>
        <v/>
      </c>
      <c r="U29" s="59" t="str">
        <f>[1]CSOC!V37</f>
        <v/>
      </c>
      <c r="V29" s="59" t="str">
        <f>[1]CSOC!AP37</f>
        <v/>
      </c>
      <c r="W29" s="59" t="str">
        <f>[1]CSOC!BB37</f>
        <v/>
      </c>
      <c r="X29" s="59" t="str">
        <f>[1]EFIS!N37</f>
        <v/>
      </c>
      <c r="Y29" s="59" t="str">
        <f>[1]EFIS!AH37</f>
        <v/>
      </c>
      <c r="Z29" s="59" t="str">
        <f>[1]EFIS!AZ37</f>
        <v/>
      </c>
      <c r="AA29" s="59" t="str">
        <f>[1]EFIS!R37</f>
        <v/>
      </c>
      <c r="AB29" s="59" t="str">
        <f>[1]EFIS!AL37</f>
        <v/>
      </c>
      <c r="AC29" s="59" t="str">
        <f>[1]EFIS!BA37</f>
        <v/>
      </c>
      <c r="AD29" s="59" t="str">
        <f>[1]EFIS!V37</f>
        <v/>
      </c>
      <c r="AE29" s="59" t="str">
        <f>[1]EFIS!AP37</f>
        <v/>
      </c>
      <c r="AF29" s="59" t="str">
        <f>[1]EFIS!BB37</f>
        <v/>
      </c>
      <c r="AG29" s="59" t="str">
        <f>[1]DPCC!N37</f>
        <v/>
      </c>
      <c r="AH29" s="59" t="str">
        <f>[1]DPCC!AH37</f>
        <v/>
      </c>
      <c r="AI29" s="59" t="str">
        <f>[1]DPCC!AZ37</f>
        <v/>
      </c>
      <c r="AJ29" s="59" t="str">
        <f>[1]DPCC!R37</f>
        <v/>
      </c>
      <c r="AK29" s="59" t="str">
        <f>[1]DPCC!AL37</f>
        <v/>
      </c>
      <c r="AL29" s="59" t="str">
        <f>[1]DPCC!BA37</f>
        <v/>
      </c>
      <c r="AM29" s="59" t="str">
        <f>[1]ARTE!N37</f>
        <v/>
      </c>
      <c r="AN29" s="59" t="str">
        <f>[1]ARTE!AH37</f>
        <v/>
      </c>
      <c r="AO29" s="59" t="str">
        <f>[1]ARTE!AZ37</f>
        <v/>
      </c>
      <c r="AP29" s="59" t="str">
        <f>[1]ARTE!R37</f>
        <v/>
      </c>
      <c r="AQ29" s="59" t="str">
        <f>[1]ARTE!AL37</f>
        <v/>
      </c>
      <c r="AR29" s="59" t="str">
        <f>[1]ARTE!BA37</f>
        <v/>
      </c>
      <c r="AS29" s="59" t="str">
        <f>[1]COMU!N37</f>
        <v/>
      </c>
      <c r="AT29" s="59" t="str">
        <f>[1]COMU!AH37</f>
        <v/>
      </c>
      <c r="AU29" s="59" t="str">
        <f>[1]COMU!AZ37</f>
        <v/>
      </c>
      <c r="AV29" s="59" t="str">
        <f>[1]COMU!R37</f>
        <v/>
      </c>
      <c r="AW29" s="59" t="str">
        <f>[1]COMU!AL37</f>
        <v/>
      </c>
      <c r="AX29" s="59" t="str">
        <f>[1]COMU!BA37</f>
        <v/>
      </c>
      <c r="AY29" s="59" t="str">
        <f>[1]COMU!V37</f>
        <v/>
      </c>
      <c r="AZ29" s="59" t="str">
        <f>[1]COMU!AP37</f>
        <v/>
      </c>
      <c r="BA29" s="59" t="str">
        <f>[1]COMU!BB37</f>
        <v/>
      </c>
      <c r="BB29" s="59" t="str">
        <f>[1]CTEC!N37</f>
        <v/>
      </c>
      <c r="BC29" s="59" t="str">
        <f>[1]CTEC!AH37</f>
        <v/>
      </c>
      <c r="BD29" s="59" t="str">
        <f>[1]CTEC!AZ37</f>
        <v/>
      </c>
      <c r="BE29" s="59" t="str">
        <f>[1]CTEC!R37</f>
        <v/>
      </c>
      <c r="BF29" s="59" t="str">
        <f>[1]CTEC!AL37</f>
        <v/>
      </c>
      <c r="BG29" s="59" t="str">
        <f>[1]CTEC!BA37</f>
        <v/>
      </c>
      <c r="BH29" s="59" t="str">
        <f>[1]CTEC!V37</f>
        <v/>
      </c>
      <c r="BI29" s="59" t="str">
        <f>[1]CTEC!AP37</f>
        <v/>
      </c>
      <c r="BJ29" s="59" t="str">
        <f>[1]CTEC!BB37</f>
        <v/>
      </c>
      <c r="BK29" s="59" t="str">
        <f>[1]ING!N37</f>
        <v/>
      </c>
      <c r="BL29" s="59" t="str">
        <f>[1]ING!AH37</f>
        <v/>
      </c>
      <c r="BM29" s="59" t="str">
        <f>[1]ING!AZ37</f>
        <v/>
      </c>
      <c r="BN29" s="59" t="str">
        <f>[1]ING!R37</f>
        <v/>
      </c>
      <c r="BO29" s="59" t="str">
        <f>[1]ING!AL37</f>
        <v/>
      </c>
      <c r="BP29" s="59" t="str">
        <f>[1]ING!BA37</f>
        <v/>
      </c>
      <c r="BQ29" s="59" t="str">
        <f>[1]ING!V37</f>
        <v/>
      </c>
      <c r="BR29" s="59" t="str">
        <f>[1]ING!AP37</f>
        <v/>
      </c>
      <c r="BS29" s="59" t="str">
        <f>[1]ING!BB37</f>
        <v/>
      </c>
      <c r="BT29" s="59" t="str">
        <f>[1]REL!N37</f>
        <v/>
      </c>
      <c r="BU29" s="59" t="str">
        <f>[1]REL!AH37</f>
        <v/>
      </c>
      <c r="BV29" s="59" t="str">
        <f>[1]REL!AZ37</f>
        <v/>
      </c>
      <c r="BW29" s="59" t="str">
        <f>[1]REL!R37</f>
        <v/>
      </c>
      <c r="BX29" s="59" t="str">
        <f>[1]REL!AL37</f>
        <v/>
      </c>
      <c r="BY29" s="59" t="str">
        <f>[1]REL!BA37</f>
        <v/>
      </c>
      <c r="BZ29" s="59" t="str">
        <f>[1]EMPR!N37</f>
        <v/>
      </c>
      <c r="CA29" s="59" t="str">
        <f>[1]EMPR!AH37</f>
        <v/>
      </c>
      <c r="CB29" s="59" t="str">
        <f>[1]EMPR!AZ37</f>
        <v/>
      </c>
      <c r="CC29" s="59" t="str">
        <f>[1]COMPU!N37</f>
        <v/>
      </c>
      <c r="CD29" s="59" t="str">
        <f>[1]COMPU!AH37</f>
        <v/>
      </c>
      <c r="CE29" s="59" t="str">
        <f>[1]COMPU!AZ37</f>
        <v/>
      </c>
      <c r="CF29" s="59" t="str">
        <f>[1]ROBOTI!N37</f>
        <v/>
      </c>
      <c r="CG29" s="59" t="str">
        <f>[1]ROBOTI!AH37</f>
        <v/>
      </c>
      <c r="CH29" s="59" t="str">
        <f>[1]ROBOTI!AZ37</f>
        <v/>
      </c>
      <c r="CI29" s="60">
        <f>[1]APREPER!AK35</f>
        <v>0</v>
      </c>
      <c r="CJ29" s="60">
        <f>[1]APREPER!AL35</f>
        <v>0</v>
      </c>
      <c r="CK29" s="60">
        <f>[1]APREPER!I35</f>
        <v>0</v>
      </c>
      <c r="CL29" s="60">
        <f>[1]APREPER!J35</f>
        <v>0</v>
      </c>
      <c r="CM29" s="60">
        <f>[1]APREPER!K35</f>
        <v>0</v>
      </c>
      <c r="CN29" s="60">
        <f>[1]APREPER!L35</f>
        <v>0</v>
      </c>
      <c r="CO29" s="60">
        <f>[1]APREPER!M35</f>
        <v>0</v>
      </c>
      <c r="CP29" s="60">
        <f>[1]APREPER!N35</f>
        <v>0</v>
      </c>
      <c r="CQ29" s="60">
        <f>[1]APREPER!O35</f>
        <v>0</v>
      </c>
      <c r="CR29" s="60">
        <f>[1]APREPER!P35</f>
        <v>0</v>
      </c>
      <c r="CS29" s="60">
        <f>[1]APREPER!Q35</f>
        <v>0</v>
      </c>
      <c r="CT29" s="60">
        <f>[1]APREPER!R35</f>
        <v>0</v>
      </c>
      <c r="CU29" s="60">
        <f>[1]APREPER!S35</f>
        <v>0</v>
      </c>
      <c r="CV29" s="60">
        <f>[1]APREPER!T35</f>
        <v>0</v>
      </c>
      <c r="CW29" s="60">
        <f>[1]APREPER!U35</f>
        <v>0</v>
      </c>
      <c r="CX29" s="60">
        <f>[1]APREPER!V35</f>
        <v>0</v>
      </c>
      <c r="CY29" s="60">
        <f>[1]APREPER!W35</f>
        <v>0</v>
      </c>
      <c r="CZ29" s="60">
        <f>[1]APREPER!X35</f>
        <v>0</v>
      </c>
      <c r="DA29" s="60">
        <f>[1]APREPER!Y35</f>
        <v>0</v>
      </c>
      <c r="DB29" s="60">
        <f>[1]APREPER!Z35</f>
        <v>0</v>
      </c>
      <c r="DC29" s="60">
        <f>[1]APREPER!AA35</f>
        <v>0</v>
      </c>
      <c r="DD29" s="60">
        <f>[1]APREPER!AB35</f>
        <v>0</v>
      </c>
      <c r="DE29" s="60">
        <f>[1]APREPER!AC35</f>
        <v>0</v>
      </c>
      <c r="DF29" s="60">
        <f>[1]APREPER!AD35</f>
        <v>0</v>
      </c>
      <c r="DG29" s="60">
        <f>[1]APREPER!AE35</f>
        <v>0</v>
      </c>
      <c r="DH29" s="60">
        <f>[1]APREPER!AF35</f>
        <v>0</v>
      </c>
      <c r="DI29" s="60">
        <f>[1]APREPER!AG35</f>
        <v>0</v>
      </c>
      <c r="DJ29" s="60">
        <f>[1]APREPER!AH35</f>
        <v>0</v>
      </c>
      <c r="DK29" s="60">
        <f>[1]APREPER!AI35</f>
        <v>0</v>
      </c>
      <c r="DL29" s="60">
        <f>[1]APREPER!AJ35</f>
        <v>0</v>
      </c>
      <c r="DM29" s="61">
        <f>[1]APREPPFF!I35</f>
        <v>0</v>
      </c>
      <c r="DN29" s="61">
        <f>[1]APREPPFF!J35</f>
        <v>0</v>
      </c>
      <c r="DO29" s="61">
        <f>[1]APREPPFF!K35</f>
        <v>0</v>
      </c>
      <c r="DP29" s="61">
        <f>[1]APREPPFF!L35</f>
        <v>0</v>
      </c>
      <c r="DQ29" s="61">
        <f>[1]APREPPFF!M35</f>
        <v>0</v>
      </c>
      <c r="DR29" s="61">
        <f>[1]APREPPFF!N35</f>
        <v>0</v>
      </c>
      <c r="DS29" s="61">
        <f>[1]APREPPFF!O35</f>
        <v>0</v>
      </c>
      <c r="DT29" s="61">
        <f>[1]APREPPFF!P35</f>
        <v>0</v>
      </c>
      <c r="DU29" s="61">
        <f>[1]APREPPFF!Q35</f>
        <v>0</v>
      </c>
      <c r="DV29" s="61">
        <f>[1]APREPPFF!R35</f>
        <v>0</v>
      </c>
      <c r="DW29" s="61">
        <f>[1]APREPPFF!S35</f>
        <v>0</v>
      </c>
      <c r="DX29" s="61">
        <f>[1]APREPPFF!T35</f>
        <v>0</v>
      </c>
      <c r="DY29" s="61">
        <f>[1]APREPPFF!U35</f>
        <v>0</v>
      </c>
      <c r="DZ29" s="60"/>
      <c r="EA29" s="62"/>
      <c r="EB29" s="60"/>
      <c r="EC29" s="63"/>
      <c r="ED29" s="64"/>
      <c r="EE29" s="64"/>
      <c r="EF29" s="64">
        <f>[1]APREPER!AM35</f>
        <v>0</v>
      </c>
      <c r="EG29" s="65"/>
      <c r="EH29" s="65"/>
      <c r="EI29" s="66">
        <f t="shared" si="2"/>
        <v>0</v>
      </c>
      <c r="EJ29" s="66">
        <f t="shared" si="3"/>
        <v>0</v>
      </c>
      <c r="EK29" s="66">
        <f t="shared" si="4"/>
        <v>0</v>
      </c>
    </row>
    <row r="30" spans="1:141" ht="15.75" customHeight="1">
      <c r="A30" s="56" t="s">
        <v>37</v>
      </c>
      <c r="B30" s="57">
        <f>[1]MAT!C38</f>
        <v>0</v>
      </c>
      <c r="C30" s="58" t="str">
        <f>[1]MAT!N38</f>
        <v/>
      </c>
      <c r="D30" s="59" t="str">
        <f>[1]MAT!AH38</f>
        <v/>
      </c>
      <c r="E30" s="59" t="str">
        <f>[1]MAT!AZ38</f>
        <v/>
      </c>
      <c r="F30" s="59" t="str">
        <f>[1]MAT!R38</f>
        <v/>
      </c>
      <c r="G30" s="59" t="str">
        <f>[1]MAT!AL38</f>
        <v/>
      </c>
      <c r="H30" s="59" t="str">
        <f>[1]MAT!BA38</f>
        <v/>
      </c>
      <c r="I30" s="59" t="str">
        <f>[1]MAT!V38</f>
        <v/>
      </c>
      <c r="J30" s="59" t="str">
        <f>[1]MAT!AP38</f>
        <v/>
      </c>
      <c r="K30" s="59" t="str">
        <f>[1]MAT!BB38</f>
        <v/>
      </c>
      <c r="L30" s="59" t="str">
        <f>[1]MAT!Z38</f>
        <v/>
      </c>
      <c r="M30" s="59" t="str">
        <f>[1]MAT!AT38</f>
        <v/>
      </c>
      <c r="N30" s="59" t="str">
        <f>[1]MAT!BC38</f>
        <v/>
      </c>
      <c r="O30" s="59" t="str">
        <f>[1]CSOC!N38</f>
        <v/>
      </c>
      <c r="P30" s="59" t="str">
        <f>[1]CSOC!AH38</f>
        <v/>
      </c>
      <c r="Q30" s="59" t="str">
        <f>[1]CSOC!AZ38</f>
        <v/>
      </c>
      <c r="R30" s="59" t="str">
        <f>[1]CSOC!R38</f>
        <v/>
      </c>
      <c r="S30" s="59" t="str">
        <f>[1]CSOC!AL38</f>
        <v/>
      </c>
      <c r="T30" s="59" t="str">
        <f>[1]CSOC!BA38</f>
        <v/>
      </c>
      <c r="U30" s="59" t="str">
        <f>[1]CSOC!V38</f>
        <v/>
      </c>
      <c r="V30" s="59" t="str">
        <f>[1]CSOC!AP38</f>
        <v/>
      </c>
      <c r="W30" s="59" t="str">
        <f>[1]CSOC!BB38</f>
        <v/>
      </c>
      <c r="X30" s="59" t="str">
        <f>[1]EFIS!N38</f>
        <v/>
      </c>
      <c r="Y30" s="59" t="str">
        <f>[1]EFIS!AH38</f>
        <v/>
      </c>
      <c r="Z30" s="59" t="str">
        <f>[1]EFIS!AZ38</f>
        <v/>
      </c>
      <c r="AA30" s="59" t="str">
        <f>[1]EFIS!R38</f>
        <v/>
      </c>
      <c r="AB30" s="59" t="str">
        <f>[1]EFIS!AL38</f>
        <v/>
      </c>
      <c r="AC30" s="59" t="str">
        <f>[1]EFIS!BA38</f>
        <v/>
      </c>
      <c r="AD30" s="59" t="str">
        <f>[1]EFIS!V38</f>
        <v/>
      </c>
      <c r="AE30" s="59" t="str">
        <f>[1]EFIS!AP38</f>
        <v/>
      </c>
      <c r="AF30" s="59" t="str">
        <f>[1]EFIS!BB38</f>
        <v/>
      </c>
      <c r="AG30" s="59" t="str">
        <f>[1]DPCC!N38</f>
        <v/>
      </c>
      <c r="AH30" s="59" t="str">
        <f>[1]DPCC!AH38</f>
        <v/>
      </c>
      <c r="AI30" s="59" t="str">
        <f>[1]DPCC!AZ38</f>
        <v/>
      </c>
      <c r="AJ30" s="59" t="str">
        <f>[1]DPCC!R38</f>
        <v/>
      </c>
      <c r="AK30" s="59" t="str">
        <f>[1]DPCC!AL38</f>
        <v/>
      </c>
      <c r="AL30" s="59" t="str">
        <f>[1]DPCC!BA38</f>
        <v/>
      </c>
      <c r="AM30" s="59" t="str">
        <f>[1]ARTE!N38</f>
        <v/>
      </c>
      <c r="AN30" s="59" t="str">
        <f>[1]ARTE!AH38</f>
        <v/>
      </c>
      <c r="AO30" s="59" t="str">
        <f>[1]ARTE!AZ38</f>
        <v/>
      </c>
      <c r="AP30" s="59" t="str">
        <f>[1]ARTE!R38</f>
        <v/>
      </c>
      <c r="AQ30" s="59" t="str">
        <f>[1]ARTE!AL38</f>
        <v/>
      </c>
      <c r="AR30" s="59" t="str">
        <f>[1]ARTE!BA38</f>
        <v/>
      </c>
      <c r="AS30" s="59" t="str">
        <f>[1]COMU!N38</f>
        <v/>
      </c>
      <c r="AT30" s="59" t="str">
        <f>[1]COMU!AH38</f>
        <v/>
      </c>
      <c r="AU30" s="59" t="str">
        <f>[1]COMU!AZ38</f>
        <v/>
      </c>
      <c r="AV30" s="59" t="str">
        <f>[1]COMU!R38</f>
        <v/>
      </c>
      <c r="AW30" s="59" t="str">
        <f>[1]COMU!AL38</f>
        <v/>
      </c>
      <c r="AX30" s="59" t="str">
        <f>[1]COMU!BA38</f>
        <v/>
      </c>
      <c r="AY30" s="59" t="str">
        <f>[1]COMU!V38</f>
        <v/>
      </c>
      <c r="AZ30" s="59" t="str">
        <f>[1]COMU!AP38</f>
        <v/>
      </c>
      <c r="BA30" s="59" t="str">
        <f>[1]COMU!BB38</f>
        <v/>
      </c>
      <c r="BB30" s="59" t="str">
        <f>[1]CTEC!N38</f>
        <v/>
      </c>
      <c r="BC30" s="59" t="str">
        <f>[1]CTEC!AH38</f>
        <v/>
      </c>
      <c r="BD30" s="59" t="str">
        <f>[1]CTEC!AZ38</f>
        <v/>
      </c>
      <c r="BE30" s="59" t="str">
        <f>[1]CTEC!R38</f>
        <v/>
      </c>
      <c r="BF30" s="59" t="str">
        <f>[1]CTEC!AL38</f>
        <v/>
      </c>
      <c r="BG30" s="59" t="str">
        <f>[1]CTEC!BA38</f>
        <v/>
      </c>
      <c r="BH30" s="59" t="str">
        <f>[1]CTEC!V38</f>
        <v/>
      </c>
      <c r="BI30" s="59" t="str">
        <f>[1]CTEC!AP38</f>
        <v/>
      </c>
      <c r="BJ30" s="59" t="str">
        <f>[1]CTEC!BB38</f>
        <v/>
      </c>
      <c r="BK30" s="59" t="str">
        <f>[1]ING!N38</f>
        <v/>
      </c>
      <c r="BL30" s="59" t="str">
        <f>[1]ING!AH38</f>
        <v/>
      </c>
      <c r="BM30" s="59" t="str">
        <f>[1]ING!AZ38</f>
        <v/>
      </c>
      <c r="BN30" s="59" t="str">
        <f>[1]ING!R38</f>
        <v/>
      </c>
      <c r="BO30" s="59" t="str">
        <f>[1]ING!AL38</f>
        <v/>
      </c>
      <c r="BP30" s="59" t="str">
        <f>[1]ING!BA38</f>
        <v/>
      </c>
      <c r="BQ30" s="59" t="str">
        <f>[1]ING!V38</f>
        <v/>
      </c>
      <c r="BR30" s="59" t="str">
        <f>[1]ING!AP38</f>
        <v/>
      </c>
      <c r="BS30" s="59" t="str">
        <f>[1]ING!BB38</f>
        <v/>
      </c>
      <c r="BT30" s="59" t="str">
        <f>[1]REL!N38</f>
        <v/>
      </c>
      <c r="BU30" s="59" t="str">
        <f>[1]REL!AH38</f>
        <v/>
      </c>
      <c r="BV30" s="59" t="str">
        <f>[1]REL!AZ38</f>
        <v/>
      </c>
      <c r="BW30" s="59" t="str">
        <f>[1]REL!R38</f>
        <v/>
      </c>
      <c r="BX30" s="59" t="str">
        <f>[1]REL!AL38</f>
        <v/>
      </c>
      <c r="BY30" s="59" t="str">
        <f>[1]REL!BA38</f>
        <v/>
      </c>
      <c r="BZ30" s="59" t="str">
        <f>[1]EMPR!N38</f>
        <v/>
      </c>
      <c r="CA30" s="59" t="str">
        <f>[1]EMPR!AH38</f>
        <v/>
      </c>
      <c r="CB30" s="59" t="str">
        <f>[1]EMPR!AZ38</f>
        <v/>
      </c>
      <c r="CC30" s="59" t="str">
        <f>[1]COMPU!N38</f>
        <v/>
      </c>
      <c r="CD30" s="59" t="str">
        <f>[1]COMPU!AH38</f>
        <v/>
      </c>
      <c r="CE30" s="59" t="str">
        <f>[1]COMPU!AZ38</f>
        <v/>
      </c>
      <c r="CF30" s="59" t="str">
        <f>[1]ROBOTI!N38</f>
        <v/>
      </c>
      <c r="CG30" s="59" t="str">
        <f>[1]ROBOTI!AH38</f>
        <v/>
      </c>
      <c r="CH30" s="59" t="str">
        <f>[1]ROBOTI!AZ38</f>
        <v/>
      </c>
      <c r="CI30" s="60">
        <f>[1]APREPER!AK36</f>
        <v>0</v>
      </c>
      <c r="CJ30" s="60">
        <f>[1]APREPER!AL36</f>
        <v>0</v>
      </c>
      <c r="CK30" s="60">
        <f>[1]APREPER!I36</f>
        <v>0</v>
      </c>
      <c r="CL30" s="60">
        <f>[1]APREPER!J36</f>
        <v>0</v>
      </c>
      <c r="CM30" s="60">
        <f>[1]APREPER!K36</f>
        <v>0</v>
      </c>
      <c r="CN30" s="60">
        <f>[1]APREPER!L36</f>
        <v>0</v>
      </c>
      <c r="CO30" s="60">
        <f>[1]APREPER!M36</f>
        <v>0</v>
      </c>
      <c r="CP30" s="60">
        <f>[1]APREPER!N36</f>
        <v>0</v>
      </c>
      <c r="CQ30" s="60">
        <f>[1]APREPER!O36</f>
        <v>0</v>
      </c>
      <c r="CR30" s="60">
        <f>[1]APREPER!P36</f>
        <v>0</v>
      </c>
      <c r="CS30" s="60">
        <f>[1]APREPER!Q36</f>
        <v>0</v>
      </c>
      <c r="CT30" s="60">
        <f>[1]APREPER!R36</f>
        <v>0</v>
      </c>
      <c r="CU30" s="60">
        <f>[1]APREPER!S36</f>
        <v>0</v>
      </c>
      <c r="CV30" s="60">
        <f>[1]APREPER!T36</f>
        <v>0</v>
      </c>
      <c r="CW30" s="60">
        <f>[1]APREPER!U36</f>
        <v>0</v>
      </c>
      <c r="CX30" s="60">
        <f>[1]APREPER!V36</f>
        <v>0</v>
      </c>
      <c r="CY30" s="60">
        <f>[1]APREPER!W36</f>
        <v>0</v>
      </c>
      <c r="CZ30" s="60">
        <f>[1]APREPER!X36</f>
        <v>0</v>
      </c>
      <c r="DA30" s="60">
        <f>[1]APREPER!Y36</f>
        <v>0</v>
      </c>
      <c r="DB30" s="60">
        <f>[1]APREPER!Z36</f>
        <v>0</v>
      </c>
      <c r="DC30" s="60">
        <f>[1]APREPER!AA36</f>
        <v>0</v>
      </c>
      <c r="DD30" s="60">
        <f>[1]APREPER!AB36</f>
        <v>0</v>
      </c>
      <c r="DE30" s="60">
        <f>[1]APREPER!AC36</f>
        <v>0</v>
      </c>
      <c r="DF30" s="60">
        <f>[1]APREPER!AD36</f>
        <v>0</v>
      </c>
      <c r="DG30" s="60">
        <f>[1]APREPER!AE36</f>
        <v>0</v>
      </c>
      <c r="DH30" s="60">
        <f>[1]APREPER!AF36</f>
        <v>0</v>
      </c>
      <c r="DI30" s="60">
        <f>[1]APREPER!AG36</f>
        <v>0</v>
      </c>
      <c r="DJ30" s="60">
        <f>[1]APREPER!AH36</f>
        <v>0</v>
      </c>
      <c r="DK30" s="60">
        <f>[1]APREPER!AI36</f>
        <v>0</v>
      </c>
      <c r="DL30" s="60">
        <f>[1]APREPER!AJ36</f>
        <v>0</v>
      </c>
      <c r="DM30" s="61">
        <f>[1]APREPPFF!I36</f>
        <v>0</v>
      </c>
      <c r="DN30" s="61">
        <f>[1]APREPPFF!J36</f>
        <v>0</v>
      </c>
      <c r="DO30" s="61">
        <f>[1]APREPPFF!K36</f>
        <v>0</v>
      </c>
      <c r="DP30" s="61">
        <f>[1]APREPPFF!L36</f>
        <v>0</v>
      </c>
      <c r="DQ30" s="61">
        <f>[1]APREPPFF!M36</f>
        <v>0</v>
      </c>
      <c r="DR30" s="61">
        <f>[1]APREPPFF!N36</f>
        <v>0</v>
      </c>
      <c r="DS30" s="61">
        <f>[1]APREPPFF!O36</f>
        <v>0</v>
      </c>
      <c r="DT30" s="61">
        <f>[1]APREPPFF!P36</f>
        <v>0</v>
      </c>
      <c r="DU30" s="61">
        <f>[1]APREPPFF!Q36</f>
        <v>0</v>
      </c>
      <c r="DV30" s="61">
        <f>[1]APREPPFF!R36</f>
        <v>0</v>
      </c>
      <c r="DW30" s="61">
        <f>[1]APREPPFF!S36</f>
        <v>0</v>
      </c>
      <c r="DX30" s="61">
        <f>[1]APREPPFF!T36</f>
        <v>0</v>
      </c>
      <c r="DY30" s="61">
        <f>[1]APREPPFF!U36</f>
        <v>0</v>
      </c>
      <c r="DZ30" s="60"/>
      <c r="EA30" s="62"/>
      <c r="EB30" s="60"/>
      <c r="EC30" s="63"/>
      <c r="ED30" s="64"/>
      <c r="EE30" s="64"/>
      <c r="EF30" s="64">
        <f>[1]APREPER!AM36</f>
        <v>0</v>
      </c>
      <c r="EG30" s="65"/>
      <c r="EH30" s="65"/>
      <c r="EI30" s="66">
        <f t="shared" si="2"/>
        <v>0</v>
      </c>
      <c r="EJ30" s="66">
        <f t="shared" si="3"/>
        <v>0</v>
      </c>
      <c r="EK30" s="66">
        <f t="shared" si="4"/>
        <v>0</v>
      </c>
    </row>
    <row r="31" spans="1:141" ht="15.75" customHeight="1">
      <c r="A31" s="56" t="s">
        <v>38</v>
      </c>
      <c r="B31" s="67">
        <f>[1]MAT!C39</f>
        <v>0</v>
      </c>
      <c r="C31" s="58" t="str">
        <f>[1]MAT!N39</f>
        <v/>
      </c>
      <c r="D31" s="59" t="str">
        <f>[1]MAT!AH39</f>
        <v/>
      </c>
      <c r="E31" s="59" t="str">
        <f>[1]MAT!AZ39</f>
        <v/>
      </c>
      <c r="F31" s="59" t="str">
        <f>[1]MAT!R39</f>
        <v/>
      </c>
      <c r="G31" s="59" t="str">
        <f>[1]MAT!AL39</f>
        <v/>
      </c>
      <c r="H31" s="59" t="str">
        <f>[1]MAT!BA39</f>
        <v/>
      </c>
      <c r="I31" s="59" t="str">
        <f>[1]MAT!V39</f>
        <v/>
      </c>
      <c r="J31" s="59" t="str">
        <f>[1]MAT!AP39</f>
        <v/>
      </c>
      <c r="K31" s="59" t="str">
        <f>[1]MAT!BB39</f>
        <v/>
      </c>
      <c r="L31" s="59" t="str">
        <f>[1]MAT!Z39</f>
        <v/>
      </c>
      <c r="M31" s="59" t="str">
        <f>[1]MAT!AT39</f>
        <v/>
      </c>
      <c r="N31" s="59" t="str">
        <f>[1]MAT!BC39</f>
        <v/>
      </c>
      <c r="O31" s="59" t="str">
        <f>[1]CSOC!N39</f>
        <v/>
      </c>
      <c r="P31" s="59" t="str">
        <f>[1]CSOC!AH39</f>
        <v/>
      </c>
      <c r="Q31" s="59" t="str">
        <f>[1]CSOC!AZ39</f>
        <v/>
      </c>
      <c r="R31" s="59" t="str">
        <f>[1]CSOC!R39</f>
        <v/>
      </c>
      <c r="S31" s="59" t="str">
        <f>[1]CSOC!AL39</f>
        <v/>
      </c>
      <c r="T31" s="59" t="str">
        <f>[1]CSOC!BA39</f>
        <v/>
      </c>
      <c r="U31" s="59" t="str">
        <f>[1]CSOC!V39</f>
        <v/>
      </c>
      <c r="V31" s="59" t="str">
        <f>[1]CSOC!AP39</f>
        <v/>
      </c>
      <c r="W31" s="59" t="str">
        <f>[1]CSOC!BB39</f>
        <v/>
      </c>
      <c r="X31" s="59" t="str">
        <f>[1]EFIS!N39</f>
        <v/>
      </c>
      <c r="Y31" s="59" t="str">
        <f>[1]EFIS!AH39</f>
        <v/>
      </c>
      <c r="Z31" s="59" t="str">
        <f>[1]EFIS!AZ39</f>
        <v/>
      </c>
      <c r="AA31" s="59" t="str">
        <f>[1]EFIS!R39</f>
        <v/>
      </c>
      <c r="AB31" s="59" t="str">
        <f>[1]EFIS!AL39</f>
        <v/>
      </c>
      <c r="AC31" s="59" t="str">
        <f>[1]EFIS!BA39</f>
        <v/>
      </c>
      <c r="AD31" s="59" t="str">
        <f>[1]EFIS!V39</f>
        <v/>
      </c>
      <c r="AE31" s="59" t="str">
        <f>[1]EFIS!AP39</f>
        <v/>
      </c>
      <c r="AF31" s="59" t="str">
        <f>[1]EFIS!BB39</f>
        <v/>
      </c>
      <c r="AG31" s="59" t="str">
        <f>[1]DPCC!N39</f>
        <v/>
      </c>
      <c r="AH31" s="59" t="str">
        <f>[1]DPCC!AH39</f>
        <v/>
      </c>
      <c r="AI31" s="59" t="str">
        <f>[1]DPCC!AZ39</f>
        <v/>
      </c>
      <c r="AJ31" s="59" t="str">
        <f>[1]DPCC!R39</f>
        <v/>
      </c>
      <c r="AK31" s="59" t="str">
        <f>[1]DPCC!AL39</f>
        <v/>
      </c>
      <c r="AL31" s="59" t="str">
        <f>[1]DPCC!BA39</f>
        <v/>
      </c>
      <c r="AM31" s="59" t="str">
        <f>[1]ARTE!N39</f>
        <v/>
      </c>
      <c r="AN31" s="59" t="str">
        <f>[1]ARTE!AH39</f>
        <v/>
      </c>
      <c r="AO31" s="59" t="str">
        <f>[1]ARTE!AZ39</f>
        <v/>
      </c>
      <c r="AP31" s="59" t="str">
        <f>[1]ARTE!R39</f>
        <v/>
      </c>
      <c r="AQ31" s="59" t="str">
        <f>[1]ARTE!AL39</f>
        <v/>
      </c>
      <c r="AR31" s="59" t="str">
        <f>[1]ARTE!BA39</f>
        <v/>
      </c>
      <c r="AS31" s="59" t="str">
        <f>[1]COMU!N39</f>
        <v/>
      </c>
      <c r="AT31" s="59" t="str">
        <f>[1]COMU!AH39</f>
        <v/>
      </c>
      <c r="AU31" s="59" t="str">
        <f>[1]COMU!AZ39</f>
        <v/>
      </c>
      <c r="AV31" s="59" t="str">
        <f>[1]COMU!R39</f>
        <v/>
      </c>
      <c r="AW31" s="59" t="str">
        <f>[1]COMU!AL39</f>
        <v/>
      </c>
      <c r="AX31" s="59" t="str">
        <f>[1]COMU!BA39</f>
        <v/>
      </c>
      <c r="AY31" s="59" t="str">
        <f>[1]COMU!V39</f>
        <v/>
      </c>
      <c r="AZ31" s="59" t="str">
        <f>[1]COMU!AP39</f>
        <v/>
      </c>
      <c r="BA31" s="59" t="str">
        <f>[1]COMU!BB39</f>
        <v/>
      </c>
      <c r="BB31" s="59" t="str">
        <f>[1]CTEC!N39</f>
        <v/>
      </c>
      <c r="BC31" s="59" t="str">
        <f>[1]CTEC!AH39</f>
        <v/>
      </c>
      <c r="BD31" s="59" t="str">
        <f>[1]CTEC!AZ39</f>
        <v/>
      </c>
      <c r="BE31" s="59" t="str">
        <f>[1]CTEC!R39</f>
        <v/>
      </c>
      <c r="BF31" s="59" t="str">
        <f>[1]CTEC!AL39</f>
        <v/>
      </c>
      <c r="BG31" s="59" t="str">
        <f>[1]CTEC!BA39</f>
        <v/>
      </c>
      <c r="BH31" s="59" t="str">
        <f>[1]CTEC!V39</f>
        <v/>
      </c>
      <c r="BI31" s="59" t="str">
        <f>[1]CTEC!AP39</f>
        <v/>
      </c>
      <c r="BJ31" s="59" t="str">
        <f>[1]CTEC!BB39</f>
        <v/>
      </c>
      <c r="BK31" s="59" t="str">
        <f>[1]ING!N39</f>
        <v/>
      </c>
      <c r="BL31" s="59" t="str">
        <f>[1]ING!AH39</f>
        <v/>
      </c>
      <c r="BM31" s="59" t="str">
        <f>[1]ING!AZ39</f>
        <v/>
      </c>
      <c r="BN31" s="59" t="str">
        <f>[1]ING!R39</f>
        <v/>
      </c>
      <c r="BO31" s="59" t="str">
        <f>[1]ING!AL39</f>
        <v/>
      </c>
      <c r="BP31" s="59" t="str">
        <f>[1]ING!BA39</f>
        <v/>
      </c>
      <c r="BQ31" s="59" t="str">
        <f>[1]ING!V39</f>
        <v/>
      </c>
      <c r="BR31" s="59" t="str">
        <f>[1]ING!AP39</f>
        <v/>
      </c>
      <c r="BS31" s="59" t="str">
        <f>[1]ING!BB39</f>
        <v/>
      </c>
      <c r="BT31" s="59" t="str">
        <f>[1]REL!N39</f>
        <v/>
      </c>
      <c r="BU31" s="59" t="str">
        <f>[1]REL!AH39</f>
        <v/>
      </c>
      <c r="BV31" s="59" t="str">
        <f>[1]REL!AZ39</f>
        <v/>
      </c>
      <c r="BW31" s="59" t="str">
        <f>[1]REL!R39</f>
        <v/>
      </c>
      <c r="BX31" s="59" t="str">
        <f>[1]REL!AL39</f>
        <v/>
      </c>
      <c r="BY31" s="59" t="str">
        <f>[1]REL!BA39</f>
        <v/>
      </c>
      <c r="BZ31" s="59" t="str">
        <f>[1]EMPR!N39</f>
        <v/>
      </c>
      <c r="CA31" s="59" t="str">
        <f>[1]EMPR!AH39</f>
        <v/>
      </c>
      <c r="CB31" s="59" t="str">
        <f>[1]EMPR!AZ39</f>
        <v/>
      </c>
      <c r="CC31" s="59" t="str">
        <f>[1]COMPU!N39</f>
        <v/>
      </c>
      <c r="CD31" s="59" t="str">
        <f>[1]COMPU!AH39</f>
        <v/>
      </c>
      <c r="CE31" s="59" t="str">
        <f>[1]COMPU!AZ39</f>
        <v/>
      </c>
      <c r="CF31" s="59" t="str">
        <f>[1]ROBOTI!N39</f>
        <v/>
      </c>
      <c r="CG31" s="59" t="str">
        <f>[1]ROBOTI!AH39</f>
        <v/>
      </c>
      <c r="CH31" s="59" t="str">
        <f>[1]ROBOTI!AZ39</f>
        <v/>
      </c>
      <c r="CI31" s="60">
        <f>[1]APREPER!AK37</f>
        <v>0</v>
      </c>
      <c r="CJ31" s="60">
        <f>[1]APREPER!AL37</f>
        <v>0</v>
      </c>
      <c r="CK31" s="60">
        <f>[1]APREPER!I37</f>
        <v>0</v>
      </c>
      <c r="CL31" s="60">
        <f>[1]APREPER!J37</f>
        <v>0</v>
      </c>
      <c r="CM31" s="60">
        <f>[1]APREPER!K37</f>
        <v>0</v>
      </c>
      <c r="CN31" s="60">
        <f>[1]APREPER!L37</f>
        <v>0</v>
      </c>
      <c r="CO31" s="60">
        <f>[1]APREPER!M37</f>
        <v>0</v>
      </c>
      <c r="CP31" s="60">
        <f>[1]APREPER!N37</f>
        <v>0</v>
      </c>
      <c r="CQ31" s="60">
        <f>[1]APREPER!O37</f>
        <v>0</v>
      </c>
      <c r="CR31" s="60">
        <f>[1]APREPER!P37</f>
        <v>0</v>
      </c>
      <c r="CS31" s="60">
        <f>[1]APREPER!Q37</f>
        <v>0</v>
      </c>
      <c r="CT31" s="60">
        <f>[1]APREPER!R37</f>
        <v>0</v>
      </c>
      <c r="CU31" s="60">
        <f>[1]APREPER!S37</f>
        <v>0</v>
      </c>
      <c r="CV31" s="60">
        <f>[1]APREPER!T37</f>
        <v>0</v>
      </c>
      <c r="CW31" s="60">
        <f>[1]APREPER!U37</f>
        <v>0</v>
      </c>
      <c r="CX31" s="60">
        <f>[1]APREPER!V37</f>
        <v>0</v>
      </c>
      <c r="CY31" s="60">
        <f>[1]APREPER!W37</f>
        <v>0</v>
      </c>
      <c r="CZ31" s="60">
        <f>[1]APREPER!X37</f>
        <v>0</v>
      </c>
      <c r="DA31" s="60">
        <f>[1]APREPER!Y37</f>
        <v>0</v>
      </c>
      <c r="DB31" s="60">
        <f>[1]APREPER!Z37</f>
        <v>0</v>
      </c>
      <c r="DC31" s="60">
        <f>[1]APREPER!AA37</f>
        <v>0</v>
      </c>
      <c r="DD31" s="60">
        <f>[1]APREPER!AB37</f>
        <v>0</v>
      </c>
      <c r="DE31" s="60">
        <f>[1]APREPER!AC37</f>
        <v>0</v>
      </c>
      <c r="DF31" s="60">
        <f>[1]APREPER!AD37</f>
        <v>0</v>
      </c>
      <c r="DG31" s="60">
        <f>[1]APREPER!AE37</f>
        <v>0</v>
      </c>
      <c r="DH31" s="60">
        <f>[1]APREPER!AF37</f>
        <v>0</v>
      </c>
      <c r="DI31" s="60">
        <f>[1]APREPER!AG37</f>
        <v>0</v>
      </c>
      <c r="DJ31" s="60">
        <f>[1]APREPER!AH37</f>
        <v>0</v>
      </c>
      <c r="DK31" s="60">
        <f>[1]APREPER!AI37</f>
        <v>0</v>
      </c>
      <c r="DL31" s="60">
        <f>[1]APREPER!AJ37</f>
        <v>0</v>
      </c>
      <c r="DM31" s="61">
        <f>[1]APREPPFF!I37</f>
        <v>0</v>
      </c>
      <c r="DN31" s="61">
        <f>[1]APREPPFF!J37</f>
        <v>0</v>
      </c>
      <c r="DO31" s="61">
        <f>[1]APREPPFF!K37</f>
        <v>0</v>
      </c>
      <c r="DP31" s="61">
        <f>[1]APREPPFF!L37</f>
        <v>0</v>
      </c>
      <c r="DQ31" s="61">
        <f>[1]APREPPFF!M37</f>
        <v>0</v>
      </c>
      <c r="DR31" s="61">
        <f>[1]APREPPFF!N37</f>
        <v>0</v>
      </c>
      <c r="DS31" s="61">
        <f>[1]APREPPFF!O37</f>
        <v>0</v>
      </c>
      <c r="DT31" s="61">
        <f>[1]APREPPFF!P37</f>
        <v>0</v>
      </c>
      <c r="DU31" s="61">
        <f>[1]APREPPFF!Q37</f>
        <v>0</v>
      </c>
      <c r="DV31" s="61">
        <f>[1]APREPPFF!R37</f>
        <v>0</v>
      </c>
      <c r="DW31" s="61">
        <f>[1]APREPPFF!S37</f>
        <v>0</v>
      </c>
      <c r="DX31" s="61">
        <f>[1]APREPPFF!T37</f>
        <v>0</v>
      </c>
      <c r="DY31" s="61">
        <f>[1]APREPPFF!U37</f>
        <v>0</v>
      </c>
      <c r="DZ31" s="60"/>
      <c r="EA31" s="62" t="str">
        <f>[1]ASISTEN!BS39</f>
        <v/>
      </c>
      <c r="EB31" s="60" t="str">
        <f>[1]ASISTEN!BO39</f>
        <v/>
      </c>
      <c r="EC31" s="63" t="str">
        <f>[1]ASISTEN!BP39</f>
        <v/>
      </c>
      <c r="ED31" s="64" t="str">
        <f>[1]ASISTEN!BQ39</f>
        <v/>
      </c>
      <c r="EE31" s="64" t="str">
        <f>[1]ASISTEN!BR39</f>
        <v/>
      </c>
      <c r="EF31" s="64">
        <f>[1]APREPER!AM37</f>
        <v>0</v>
      </c>
      <c r="EG31" s="65"/>
      <c r="EH31" s="65"/>
      <c r="EI31" s="66">
        <f t="shared" si="2"/>
        <v>0</v>
      </c>
      <c r="EJ31" s="66">
        <f t="shared" si="3"/>
        <v>0</v>
      </c>
      <c r="EK31" s="66">
        <f t="shared" si="4"/>
        <v>0</v>
      </c>
    </row>
    <row r="32" spans="1:141" ht="15.75" customHeight="1">
      <c r="A32" s="56" t="s">
        <v>39</v>
      </c>
      <c r="B32" s="67">
        <f>[1]MAT!C40</f>
        <v>0</v>
      </c>
      <c r="C32" s="58" t="str">
        <f>[1]MAT!N40</f>
        <v/>
      </c>
      <c r="D32" s="59" t="str">
        <f>[1]MAT!AH40</f>
        <v/>
      </c>
      <c r="E32" s="59" t="str">
        <f>[1]MAT!AZ40</f>
        <v/>
      </c>
      <c r="F32" s="59" t="str">
        <f>[1]MAT!R40</f>
        <v/>
      </c>
      <c r="G32" s="59" t="str">
        <f>[1]MAT!AL40</f>
        <v/>
      </c>
      <c r="H32" s="59" t="str">
        <f>[1]MAT!BA40</f>
        <v/>
      </c>
      <c r="I32" s="59" t="str">
        <f>[1]MAT!V40</f>
        <v/>
      </c>
      <c r="J32" s="59" t="str">
        <f>[1]MAT!AP40</f>
        <v/>
      </c>
      <c r="K32" s="59" t="str">
        <f>[1]MAT!BB40</f>
        <v/>
      </c>
      <c r="L32" s="59" t="str">
        <f>[1]MAT!Z40</f>
        <v/>
      </c>
      <c r="M32" s="59" t="str">
        <f>[1]MAT!AT40</f>
        <v/>
      </c>
      <c r="N32" s="59" t="str">
        <f>[1]MAT!BC40</f>
        <v/>
      </c>
      <c r="O32" s="59" t="str">
        <f>[1]CSOC!N40</f>
        <v/>
      </c>
      <c r="P32" s="59" t="str">
        <f>[1]CSOC!AH40</f>
        <v/>
      </c>
      <c r="Q32" s="59" t="str">
        <f>[1]CSOC!AZ40</f>
        <v/>
      </c>
      <c r="R32" s="59" t="str">
        <f>[1]CSOC!R40</f>
        <v/>
      </c>
      <c r="S32" s="59" t="str">
        <f>[1]CSOC!AL40</f>
        <v/>
      </c>
      <c r="T32" s="59" t="str">
        <f>[1]CSOC!BA40</f>
        <v/>
      </c>
      <c r="U32" s="59" t="str">
        <f>[1]CSOC!V40</f>
        <v/>
      </c>
      <c r="V32" s="59" t="str">
        <f>[1]CSOC!AP40</f>
        <v/>
      </c>
      <c r="W32" s="59" t="str">
        <f>[1]CSOC!BB40</f>
        <v/>
      </c>
      <c r="X32" s="59" t="str">
        <f>[1]EFIS!N40</f>
        <v/>
      </c>
      <c r="Y32" s="59" t="str">
        <f>[1]EFIS!AH40</f>
        <v/>
      </c>
      <c r="Z32" s="59" t="str">
        <f>[1]EFIS!AZ40</f>
        <v/>
      </c>
      <c r="AA32" s="59" t="str">
        <f>[1]EFIS!R40</f>
        <v/>
      </c>
      <c r="AB32" s="59" t="str">
        <f>[1]EFIS!AL40</f>
        <v/>
      </c>
      <c r="AC32" s="59" t="str">
        <f>[1]EFIS!BA40</f>
        <v/>
      </c>
      <c r="AD32" s="59" t="str">
        <f>[1]EFIS!V40</f>
        <v/>
      </c>
      <c r="AE32" s="59" t="str">
        <f>[1]EFIS!AP40</f>
        <v/>
      </c>
      <c r="AF32" s="59" t="str">
        <f>[1]EFIS!BB40</f>
        <v/>
      </c>
      <c r="AG32" s="59" t="str">
        <f>[1]DPCC!N40</f>
        <v/>
      </c>
      <c r="AH32" s="59" t="str">
        <f>[1]DPCC!AH40</f>
        <v/>
      </c>
      <c r="AI32" s="59" t="str">
        <f>[1]DPCC!AZ40</f>
        <v/>
      </c>
      <c r="AJ32" s="59" t="str">
        <f>[1]DPCC!R40</f>
        <v/>
      </c>
      <c r="AK32" s="59" t="str">
        <f>[1]DPCC!AL40</f>
        <v/>
      </c>
      <c r="AL32" s="59" t="str">
        <f>[1]DPCC!BA40</f>
        <v/>
      </c>
      <c r="AM32" s="59" t="str">
        <f>[1]ARTE!N40</f>
        <v/>
      </c>
      <c r="AN32" s="59" t="str">
        <f>[1]ARTE!AH40</f>
        <v/>
      </c>
      <c r="AO32" s="59" t="str">
        <f>[1]ARTE!AZ40</f>
        <v/>
      </c>
      <c r="AP32" s="59" t="str">
        <f>[1]ARTE!R40</f>
        <v/>
      </c>
      <c r="AQ32" s="59" t="str">
        <f>[1]ARTE!AL40</f>
        <v/>
      </c>
      <c r="AR32" s="59" t="str">
        <f>[1]ARTE!BA40</f>
        <v/>
      </c>
      <c r="AS32" s="59" t="str">
        <f>[1]COMU!N40</f>
        <v/>
      </c>
      <c r="AT32" s="59" t="str">
        <f>[1]COMU!AH40</f>
        <v/>
      </c>
      <c r="AU32" s="59" t="str">
        <f>[1]COMU!AZ40</f>
        <v/>
      </c>
      <c r="AV32" s="59" t="str">
        <f>[1]COMU!R40</f>
        <v/>
      </c>
      <c r="AW32" s="59" t="str">
        <f>[1]COMU!AL40</f>
        <v/>
      </c>
      <c r="AX32" s="59" t="str">
        <f>[1]COMU!BA40</f>
        <v/>
      </c>
      <c r="AY32" s="59" t="str">
        <f>[1]COMU!V40</f>
        <v/>
      </c>
      <c r="AZ32" s="59" t="str">
        <f>[1]COMU!AP40</f>
        <v/>
      </c>
      <c r="BA32" s="59" t="str">
        <f>[1]COMU!BB40</f>
        <v/>
      </c>
      <c r="BB32" s="59" t="str">
        <f>[1]CTEC!N40</f>
        <v/>
      </c>
      <c r="BC32" s="59" t="str">
        <f>[1]CTEC!AH40</f>
        <v/>
      </c>
      <c r="BD32" s="59" t="str">
        <f>[1]CTEC!AZ40</f>
        <v/>
      </c>
      <c r="BE32" s="59" t="str">
        <f>[1]CTEC!R40</f>
        <v/>
      </c>
      <c r="BF32" s="59" t="str">
        <f>[1]CTEC!AL40</f>
        <v/>
      </c>
      <c r="BG32" s="59" t="str">
        <f>[1]CTEC!BA40</f>
        <v/>
      </c>
      <c r="BH32" s="59" t="str">
        <f>[1]CTEC!V40</f>
        <v/>
      </c>
      <c r="BI32" s="59" t="str">
        <f>[1]CTEC!AP40</f>
        <v/>
      </c>
      <c r="BJ32" s="59" t="str">
        <f>[1]CTEC!BB40</f>
        <v/>
      </c>
      <c r="BK32" s="59" t="str">
        <f>[1]ING!N40</f>
        <v/>
      </c>
      <c r="BL32" s="59" t="str">
        <f>[1]ING!AH40</f>
        <v/>
      </c>
      <c r="BM32" s="59" t="str">
        <f>[1]ING!AZ40</f>
        <v/>
      </c>
      <c r="BN32" s="59" t="str">
        <f>[1]ING!R40</f>
        <v/>
      </c>
      <c r="BO32" s="59" t="str">
        <f>[1]ING!AL40</f>
        <v/>
      </c>
      <c r="BP32" s="59" t="str">
        <f>[1]ING!BA40</f>
        <v/>
      </c>
      <c r="BQ32" s="59" t="str">
        <f>[1]ING!V40</f>
        <v/>
      </c>
      <c r="BR32" s="59" t="str">
        <f>[1]ING!AP40</f>
        <v/>
      </c>
      <c r="BS32" s="59" t="str">
        <f>[1]ING!BB40</f>
        <v/>
      </c>
      <c r="BT32" s="59" t="str">
        <f>[1]REL!N40</f>
        <v/>
      </c>
      <c r="BU32" s="59" t="str">
        <f>[1]REL!AH40</f>
        <v/>
      </c>
      <c r="BV32" s="59" t="str">
        <f>[1]REL!AZ40</f>
        <v/>
      </c>
      <c r="BW32" s="59" t="str">
        <f>[1]REL!R40</f>
        <v/>
      </c>
      <c r="BX32" s="59" t="str">
        <f>[1]REL!AL40</f>
        <v/>
      </c>
      <c r="BY32" s="59" t="str">
        <f>[1]REL!BA40</f>
        <v/>
      </c>
      <c r="BZ32" s="59" t="str">
        <f>[1]EMPR!N40</f>
        <v/>
      </c>
      <c r="CA32" s="59" t="str">
        <f>[1]EMPR!AH40</f>
        <v/>
      </c>
      <c r="CB32" s="59" t="str">
        <f>[1]EMPR!AZ40</f>
        <v/>
      </c>
      <c r="CC32" s="59" t="str">
        <f>[1]COMPU!N40</f>
        <v/>
      </c>
      <c r="CD32" s="59" t="str">
        <f>[1]COMPU!AH40</f>
        <v/>
      </c>
      <c r="CE32" s="59" t="str">
        <f>[1]COMPU!AZ40</f>
        <v/>
      </c>
      <c r="CF32" s="59" t="str">
        <f>[1]ROBOTI!N40</f>
        <v/>
      </c>
      <c r="CG32" s="59" t="str">
        <f>[1]ROBOTI!AH40</f>
        <v/>
      </c>
      <c r="CH32" s="59" t="str">
        <f>[1]ROBOTI!AZ40</f>
        <v/>
      </c>
      <c r="CI32" s="60">
        <f>[1]APREPER!AK38</f>
        <v>0</v>
      </c>
      <c r="CJ32" s="60">
        <f>[1]APREPER!AL38</f>
        <v>0</v>
      </c>
      <c r="CK32" s="60">
        <f>[1]APREPER!I38</f>
        <v>0</v>
      </c>
      <c r="CL32" s="60">
        <f>[1]APREPER!J38</f>
        <v>0</v>
      </c>
      <c r="CM32" s="60">
        <f>[1]APREPER!K38</f>
        <v>0</v>
      </c>
      <c r="CN32" s="60">
        <f>[1]APREPER!L38</f>
        <v>0</v>
      </c>
      <c r="CO32" s="60">
        <f>[1]APREPER!M38</f>
        <v>0</v>
      </c>
      <c r="CP32" s="60">
        <f>[1]APREPER!N38</f>
        <v>0</v>
      </c>
      <c r="CQ32" s="60">
        <f>[1]APREPER!O38</f>
        <v>0</v>
      </c>
      <c r="CR32" s="60">
        <f>[1]APREPER!P38</f>
        <v>0</v>
      </c>
      <c r="CS32" s="60">
        <f>[1]APREPER!Q38</f>
        <v>0</v>
      </c>
      <c r="CT32" s="60">
        <f>[1]APREPER!R38</f>
        <v>0</v>
      </c>
      <c r="CU32" s="60">
        <f>[1]APREPER!S38</f>
        <v>0</v>
      </c>
      <c r="CV32" s="60">
        <f>[1]APREPER!T38</f>
        <v>0</v>
      </c>
      <c r="CW32" s="60">
        <f>[1]APREPER!U38</f>
        <v>0</v>
      </c>
      <c r="CX32" s="60">
        <f>[1]APREPER!V38</f>
        <v>0</v>
      </c>
      <c r="CY32" s="60">
        <f>[1]APREPER!W38</f>
        <v>0</v>
      </c>
      <c r="CZ32" s="60">
        <f>[1]APREPER!X38</f>
        <v>0</v>
      </c>
      <c r="DA32" s="60">
        <f>[1]APREPER!Y38</f>
        <v>0</v>
      </c>
      <c r="DB32" s="60">
        <f>[1]APREPER!Z38</f>
        <v>0</v>
      </c>
      <c r="DC32" s="60">
        <f>[1]APREPER!AA38</f>
        <v>0</v>
      </c>
      <c r="DD32" s="60">
        <f>[1]APREPER!AB38</f>
        <v>0</v>
      </c>
      <c r="DE32" s="60">
        <f>[1]APREPER!AC38</f>
        <v>0</v>
      </c>
      <c r="DF32" s="60">
        <f>[1]APREPER!AD38</f>
        <v>0</v>
      </c>
      <c r="DG32" s="60">
        <f>[1]APREPER!AE38</f>
        <v>0</v>
      </c>
      <c r="DH32" s="60">
        <f>[1]APREPER!AF38</f>
        <v>0</v>
      </c>
      <c r="DI32" s="60">
        <f>[1]APREPER!AG38</f>
        <v>0</v>
      </c>
      <c r="DJ32" s="60">
        <f>[1]APREPER!AH38</f>
        <v>0</v>
      </c>
      <c r="DK32" s="60">
        <f>[1]APREPER!AI38</f>
        <v>0</v>
      </c>
      <c r="DL32" s="60">
        <f>[1]APREPER!AJ38</f>
        <v>0</v>
      </c>
      <c r="DM32" s="61">
        <f>[1]APREPPFF!I38</f>
        <v>0</v>
      </c>
      <c r="DN32" s="61">
        <f>[1]APREPPFF!J38</f>
        <v>0</v>
      </c>
      <c r="DO32" s="61">
        <f>[1]APREPPFF!K38</f>
        <v>0</v>
      </c>
      <c r="DP32" s="61">
        <f>[1]APREPPFF!L38</f>
        <v>0</v>
      </c>
      <c r="DQ32" s="61">
        <f>[1]APREPPFF!M38</f>
        <v>0</v>
      </c>
      <c r="DR32" s="61">
        <f>[1]APREPPFF!N38</f>
        <v>0</v>
      </c>
      <c r="DS32" s="61">
        <f>[1]APREPPFF!O38</f>
        <v>0</v>
      </c>
      <c r="DT32" s="61">
        <f>[1]APREPPFF!P38</f>
        <v>0</v>
      </c>
      <c r="DU32" s="61">
        <f>[1]APREPPFF!Q38</f>
        <v>0</v>
      </c>
      <c r="DV32" s="61">
        <f>[1]APREPPFF!R38</f>
        <v>0</v>
      </c>
      <c r="DW32" s="61">
        <f>[1]APREPPFF!S38</f>
        <v>0</v>
      </c>
      <c r="DX32" s="61">
        <f>[1]APREPPFF!T38</f>
        <v>0</v>
      </c>
      <c r="DY32" s="61">
        <f>[1]APREPPFF!U38</f>
        <v>0</v>
      </c>
      <c r="DZ32" s="60"/>
      <c r="EA32" s="62">
        <f>[1]ASISTEN!BS40</f>
        <v>0</v>
      </c>
      <c r="EB32" s="60">
        <f>[1]ASISTEN!BO40</f>
        <v>0</v>
      </c>
      <c r="EC32" s="63">
        <f>[1]ASISTEN!BP40</f>
        <v>0</v>
      </c>
      <c r="ED32" s="64">
        <f>[1]ASISTEN!BQ40</f>
        <v>0</v>
      </c>
      <c r="EE32" s="64">
        <f>[1]ASISTEN!BR40</f>
        <v>0</v>
      </c>
      <c r="EF32" s="64">
        <f>[1]APREPER!AM38</f>
        <v>0</v>
      </c>
      <c r="EG32" s="65"/>
      <c r="EH32" s="65"/>
      <c r="EI32" s="66">
        <f t="shared" si="2"/>
        <v>0</v>
      </c>
      <c r="EJ32" s="66">
        <f t="shared" si="3"/>
        <v>0</v>
      </c>
      <c r="EK32" s="66">
        <f t="shared" si="4"/>
        <v>0</v>
      </c>
    </row>
    <row r="33" spans="1:138" ht="15.75" customHeight="1">
      <c r="A33" s="56"/>
      <c r="B33" s="67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8"/>
      <c r="X33" s="63"/>
      <c r="Y33" s="63"/>
      <c r="Z33" s="63"/>
      <c r="AA33" s="63"/>
      <c r="AB33" s="63"/>
      <c r="AC33" s="63"/>
      <c r="AD33" s="63"/>
      <c r="AE33" s="63"/>
      <c r="AF33" s="68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9"/>
      <c r="DL33" s="64"/>
      <c r="DM33" s="64"/>
      <c r="DN33" s="64"/>
      <c r="DO33" s="64"/>
      <c r="DP33" s="69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5"/>
      <c r="EH33" s="65"/>
    </row>
    <row r="34" spans="1:138" ht="15.75" customHeight="1">
      <c r="A34" s="56"/>
      <c r="B34" s="6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8"/>
      <c r="X34" s="63"/>
      <c r="Y34" s="63"/>
      <c r="Z34" s="63"/>
      <c r="AA34" s="63"/>
      <c r="AB34" s="63"/>
      <c r="AC34" s="63"/>
      <c r="AD34" s="63"/>
      <c r="AE34" s="63"/>
      <c r="AF34" s="68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9"/>
      <c r="DL34" s="64"/>
      <c r="DM34" s="64"/>
      <c r="DN34" s="64"/>
      <c r="DO34" s="64"/>
      <c r="DP34" s="69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5"/>
      <c r="EH34" s="65"/>
    </row>
    <row r="35" spans="1:138" ht="15.75" customHeight="1"/>
    <row r="36" spans="1:138" ht="15.75" customHeight="1"/>
    <row r="37" spans="1:138" ht="15.75" customHeight="1"/>
    <row r="38" spans="1:138" ht="15.75" customHeight="1"/>
    <row r="39" spans="1:138" ht="15.75" customHeight="1"/>
    <row r="40" spans="1:138" ht="15.75" customHeight="1"/>
    <row r="41" spans="1:138" ht="15.75" customHeight="1"/>
    <row r="42" spans="1:138" ht="15.75" customHeight="1"/>
    <row r="43" spans="1:138" ht="15.75" customHeight="1"/>
    <row r="44" spans="1:138" ht="15.75" customHeight="1"/>
    <row r="45" spans="1:138" ht="15.75" customHeight="1"/>
    <row r="46" spans="1:138" ht="15.75" customHeight="1"/>
    <row r="47" spans="1:138" ht="15.75" customHeight="1"/>
    <row r="48" spans="1:138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67">
    <mergeCell ref="DS3:DU3"/>
    <mergeCell ref="CK3:CM3"/>
    <mergeCell ref="CN3:CP3"/>
    <mergeCell ref="CQ3:CS3"/>
    <mergeCell ref="BK2:BS2"/>
    <mergeCell ref="BT2:BY2"/>
    <mergeCell ref="BZ2:CB2"/>
    <mergeCell ref="CC2:CE2"/>
    <mergeCell ref="CF2:CH2"/>
    <mergeCell ref="BW3:BY3"/>
    <mergeCell ref="CT3:CV3"/>
    <mergeCell ref="CW3:CY3"/>
    <mergeCell ref="BT3:BV3"/>
    <mergeCell ref="DZ2:EE2"/>
    <mergeCell ref="EG3:EG4"/>
    <mergeCell ref="EH3:EH4"/>
    <mergeCell ref="BZ3:CB3"/>
    <mergeCell ref="CC3:CE3"/>
    <mergeCell ref="DL3:DL4"/>
    <mergeCell ref="DZ3:DZ4"/>
    <mergeCell ref="EA3:EA4"/>
    <mergeCell ref="EB3:EB4"/>
    <mergeCell ref="EC3:EC4"/>
    <mergeCell ref="CZ3:DB3"/>
    <mergeCell ref="DC3:DE3"/>
    <mergeCell ref="DF3:DH3"/>
    <mergeCell ref="DI3:DK3"/>
    <mergeCell ref="DM3:DO3"/>
    <mergeCell ref="DP3:DR3"/>
    <mergeCell ref="EG2:EH2"/>
    <mergeCell ref="C2:N2"/>
    <mergeCell ref="O2:W2"/>
    <mergeCell ref="X2:AF2"/>
    <mergeCell ref="AG2:AL2"/>
    <mergeCell ref="AM2:AR2"/>
    <mergeCell ref="AS2:BA2"/>
    <mergeCell ref="BB2:BJ2"/>
    <mergeCell ref="CI2:CJ3"/>
    <mergeCell ref="BK3:BM3"/>
    <mergeCell ref="CF3:CH3"/>
    <mergeCell ref="ED3:ED4"/>
    <mergeCell ref="EE3:EE4"/>
    <mergeCell ref="CK2:DL2"/>
    <mergeCell ref="DM2:DY2"/>
    <mergeCell ref="DV3:DX3"/>
    <mergeCell ref="AV3:AX3"/>
    <mergeCell ref="AY3:BA3"/>
    <mergeCell ref="AG3:AI3"/>
    <mergeCell ref="AJ3:AL3"/>
    <mergeCell ref="AM3:AO3"/>
    <mergeCell ref="AP3:AR3"/>
    <mergeCell ref="AS3:AU3"/>
    <mergeCell ref="BB3:BD3"/>
    <mergeCell ref="BE3:BG3"/>
    <mergeCell ref="BH3:BJ3"/>
    <mergeCell ref="BN3:BP3"/>
    <mergeCell ref="BQ3:BS3"/>
    <mergeCell ref="R3:T3"/>
    <mergeCell ref="U3:W3"/>
    <mergeCell ref="X3:Z3"/>
    <mergeCell ref="AA3:AC3"/>
    <mergeCell ref="AD3:AF3"/>
    <mergeCell ref="C3:E3"/>
    <mergeCell ref="F3:H3"/>
    <mergeCell ref="I3:K3"/>
    <mergeCell ref="L3:N3"/>
    <mergeCell ref="O3:Q3"/>
  </mergeCells>
  <phoneticPr fontId="2" type="noConversion"/>
  <conditionalFormatting sqref="B5:B30">
    <cfRule type="expression" dxfId="0" priority="1">
      <formula>$J5="R"</formula>
    </cfRule>
  </conditionalFormatting>
  <pageMargins left="0.25" right="0.25" top="0.75" bottom="0.75" header="0.3" footer="0.3"/>
  <pageSetup scale="92" orientation="landscape" horizontalDpi="360" verticalDpi="360" r:id="rId1"/>
  <colBreaks count="2" manualBreakCount="2">
    <brk id="108" max="33" man="1"/>
    <brk id="135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Libreta</vt:lpstr>
      <vt:lpstr>CONSOLIDADO</vt:lpstr>
      <vt:lpstr>Libreta!Área_de_impresión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Mathias Laura</cp:lastModifiedBy>
  <cp:lastPrinted>2025-12-24T05:07:22Z</cp:lastPrinted>
  <dcterms:created xsi:type="dcterms:W3CDTF">2025-03-04T01:03:41Z</dcterms:created>
  <dcterms:modified xsi:type="dcterms:W3CDTF">2026-07-30T17:12:01Z</dcterms:modified>
</cp:coreProperties>
</file>