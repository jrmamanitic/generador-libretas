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r\Desktop\"/>
    </mc:Choice>
  </mc:AlternateContent>
  <xr:revisionPtr revIDLastSave="0" documentId="8_{AC775671-46E5-4680-881D-B1374D3BA5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breta" sheetId="12" r:id="rId1"/>
    <sheet name="PRIMARIA" sheetId="1" r:id="rId2"/>
  </sheets>
  <externalReferences>
    <externalReference r:id="rId3"/>
  </externalReferences>
  <definedNames>
    <definedName name="_xlnm.Print_Area" localSheetId="0">Libreta!$A$1:$F$84</definedName>
    <definedName name="_xlnm.Print_Area" localSheetId="1">PRIMARIA!$A$1:$EF$33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32" i="1" l="1"/>
  <c r="EE32" i="1"/>
  <c r="ED32" i="1"/>
  <c r="EC32" i="1"/>
  <c r="EB32" i="1"/>
  <c r="EA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EL32" i="1" s="1"/>
  <c r="EF31" i="1"/>
  <c r="EE31" i="1"/>
  <c r="ED31" i="1"/>
  <c r="EC31" i="1"/>
  <c r="EB31" i="1"/>
  <c r="EA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EJ31" i="1" s="1"/>
  <c r="D31" i="1"/>
  <c r="C31" i="1"/>
  <c r="EL31" i="1" s="1"/>
  <c r="EF30" i="1"/>
  <c r="EE30" i="1"/>
  <c r="ED30" i="1"/>
  <c r="EC30" i="1"/>
  <c r="EB30" i="1"/>
  <c r="EA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EL30" i="1" s="1"/>
  <c r="D30" i="1"/>
  <c r="C30" i="1"/>
  <c r="EK30" i="1" s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EL29" i="1" s="1"/>
  <c r="D29" i="1"/>
  <c r="C29" i="1"/>
  <c r="EK29" i="1" s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EL28" i="1" s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EL27" i="1" s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EL26" i="1" s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EK25" i="1" s="1"/>
  <c r="H25" i="1"/>
  <c r="G25" i="1"/>
  <c r="F25" i="1"/>
  <c r="E25" i="1"/>
  <c r="D25" i="1"/>
  <c r="C25" i="1"/>
  <c r="EL25" i="1" s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D45" i="12" s="1"/>
  <c r="CP24" i="1"/>
  <c r="CO24" i="1"/>
  <c r="CN24" i="1"/>
  <c r="D44" i="12" s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EK24" i="1" s="1"/>
  <c r="C24" i="1"/>
  <c r="EJ24" i="1" s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EL23" i="1" s="1"/>
  <c r="C23" i="1"/>
  <c r="EJ23" i="1" s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EL22" i="1" s="1"/>
  <c r="D22" i="1"/>
  <c r="C22" i="1"/>
  <c r="EK22" i="1" s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EL21" i="1" s="1"/>
  <c r="D21" i="1"/>
  <c r="C21" i="1"/>
  <c r="EK21" i="1" s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EL20" i="1" s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EL19" i="1" s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EL18" i="1" s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EK17" i="1" s="1"/>
  <c r="C17" i="1"/>
  <c r="EL17" i="1" s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EK16" i="1" s="1"/>
  <c r="C16" i="1"/>
  <c r="EJ16" i="1" s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EL15" i="1" s="1"/>
  <c r="C15" i="1"/>
  <c r="EJ15" i="1" s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EL14" i="1" s="1"/>
  <c r="D14" i="1"/>
  <c r="C14" i="1"/>
  <c r="EK14" i="1" s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EL13" i="1" s="1"/>
  <c r="D13" i="1"/>
  <c r="C13" i="1"/>
  <c r="EK13" i="1" s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EL12" i="1" s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EL11" i="1" s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EL10" i="1" s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EK9" i="1" s="1"/>
  <c r="H9" i="1"/>
  <c r="G9" i="1"/>
  <c r="F9" i="1"/>
  <c r="E9" i="1"/>
  <c r="D9" i="1"/>
  <c r="C9" i="1"/>
  <c r="EL9" i="1" s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EK8" i="1" s="1"/>
  <c r="C8" i="1"/>
  <c r="EJ8" i="1" s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EL7" i="1" s="1"/>
  <c r="C7" i="1"/>
  <c r="EJ7" i="1" s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EL6" i="1" s="1"/>
  <c r="D6" i="1"/>
  <c r="C6" i="1"/>
  <c r="EK6" i="1" s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EL5" i="1" s="1"/>
  <c r="D5" i="1"/>
  <c r="C5" i="1"/>
  <c r="EK5" i="1" s="1"/>
  <c r="D47" i="12"/>
  <c r="D46" i="12"/>
  <c r="D43" i="12"/>
  <c r="D50" i="12"/>
  <c r="D48" i="12"/>
  <c r="D51" i="12"/>
  <c r="D66" i="12"/>
  <c r="EG16" i="1" l="1"/>
  <c r="EJ6" i="1"/>
  <c r="EG6" i="1" s="1"/>
  <c r="EL8" i="1"/>
  <c r="EG8" i="1" s="1"/>
  <c r="EK11" i="1"/>
  <c r="EJ14" i="1"/>
  <c r="EG14" i="1" s="1"/>
  <c r="EL16" i="1"/>
  <c r="EK19" i="1"/>
  <c r="EJ22" i="1"/>
  <c r="EG22" i="1" s="1"/>
  <c r="EL24" i="1"/>
  <c r="EG24" i="1" s="1"/>
  <c r="EK27" i="1"/>
  <c r="EK31" i="1"/>
  <c r="EJ11" i="1"/>
  <c r="EG11" i="1" s="1"/>
  <c r="EJ19" i="1"/>
  <c r="EG19" i="1" s="1"/>
  <c r="EJ27" i="1"/>
  <c r="EJ9" i="1"/>
  <c r="EG9" i="1" s="1"/>
  <c r="EJ17" i="1"/>
  <c r="EG17" i="1" s="1"/>
  <c r="EJ25" i="1"/>
  <c r="EG25" i="1" s="1"/>
  <c r="EJ12" i="1"/>
  <c r="EG12" i="1" s="1"/>
  <c r="EJ20" i="1"/>
  <c r="EG20" i="1" s="1"/>
  <c r="EJ28" i="1"/>
  <c r="EJ30" i="1"/>
  <c r="EK12" i="1"/>
  <c r="EK20" i="1"/>
  <c r="EK28" i="1"/>
  <c r="EK7" i="1"/>
  <c r="EG7" i="1" s="1"/>
  <c r="EJ10" i="1"/>
  <c r="EG10" i="1" s="1"/>
  <c r="EK15" i="1"/>
  <c r="EG15" i="1" s="1"/>
  <c r="EJ18" i="1"/>
  <c r="EK23" i="1"/>
  <c r="EG23" i="1" s="1"/>
  <c r="EJ26" i="1"/>
  <c r="EJ32" i="1"/>
  <c r="EJ5" i="1"/>
  <c r="EG5" i="1" s="1"/>
  <c r="EK10" i="1"/>
  <c r="EJ13" i="1"/>
  <c r="EG13" i="1" s="1"/>
  <c r="EK18" i="1"/>
  <c r="EJ21" i="1"/>
  <c r="EG21" i="1" s="1"/>
  <c r="EK26" i="1"/>
  <c r="EJ29" i="1"/>
  <c r="EG29" i="1" s="1"/>
  <c r="EK32" i="1"/>
  <c r="D49" i="12"/>
  <c r="F57" i="12"/>
  <c r="E16" i="12"/>
  <c r="D12" i="12"/>
  <c r="EH24" i="1" l="1"/>
  <c r="EH16" i="1"/>
  <c r="EH9" i="1"/>
  <c r="EG26" i="1"/>
  <c r="EH26" i="1" s="1"/>
  <c r="EG27" i="1"/>
  <c r="EH14" i="1"/>
  <c r="EH5" i="1"/>
  <c r="EG18" i="1"/>
  <c r="EG28" i="1"/>
  <c r="EH28" i="1" s="1"/>
  <c r="C73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EH18" i="1" l="1"/>
  <c r="EH29" i="1"/>
  <c r="EH12" i="1"/>
  <c r="EH6" i="1"/>
  <c r="EH21" i="1"/>
  <c r="EH17" i="1"/>
  <c r="EH10" i="1"/>
  <c r="EH7" i="1"/>
  <c r="EH19" i="1"/>
  <c r="EH25" i="1"/>
  <c r="EH8" i="1"/>
  <c r="EH22" i="1"/>
  <c r="EH13" i="1"/>
  <c r="EH15" i="1"/>
  <c r="EH11" i="1"/>
  <c r="EH27" i="1"/>
  <c r="EH20" i="1"/>
  <c r="EH23" i="1"/>
  <c r="F61" i="12"/>
  <c r="F60" i="12"/>
  <c r="F59" i="12"/>
  <c r="F58" i="12"/>
  <c r="F56" i="12"/>
  <c r="D52" i="12"/>
  <c r="F51" i="12"/>
  <c r="E51" i="12"/>
  <c r="F50" i="12"/>
  <c r="E50" i="12"/>
  <c r="F49" i="12"/>
  <c r="E49" i="12"/>
  <c r="F48" i="12"/>
  <c r="E48" i="12"/>
  <c r="F47" i="12"/>
  <c r="E47" i="12"/>
  <c r="F46" i="12"/>
  <c r="E46" i="12"/>
  <c r="F45" i="12"/>
  <c r="E45" i="12"/>
  <c r="F44" i="12"/>
  <c r="E44" i="12"/>
  <c r="F43" i="12"/>
  <c r="E43" i="12"/>
  <c r="E70" i="12" l="1"/>
  <c r="E40" i="12"/>
  <c r="E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2" i="12"/>
  <c r="F33" i="12"/>
  <c r="E33" i="12"/>
  <c r="D33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E13" i="12"/>
  <c r="D13" i="12"/>
  <c r="F18" i="12"/>
  <c r="E18" i="12"/>
  <c r="D18" i="12"/>
  <c r="F17" i="12"/>
  <c r="E17" i="12"/>
  <c r="D17" i="12"/>
  <c r="F16" i="12"/>
  <c r="D16" i="12"/>
  <c r="F15" i="12"/>
  <c r="E15" i="12"/>
  <c r="D15" i="12"/>
  <c r="F14" i="12"/>
  <c r="E14" i="12"/>
  <c r="D14" i="12"/>
  <c r="F13" i="12"/>
  <c r="F12" i="12"/>
  <c r="E12" i="12"/>
  <c r="F11" i="12"/>
  <c r="E11" i="12"/>
  <c r="D11" i="12"/>
  <c r="C7" i="12"/>
</calcChain>
</file>

<file path=xl/sharedStrings.xml><?xml version="1.0" encoding="utf-8"?>
<sst xmlns="http://schemas.openxmlformats.org/spreadsheetml/2006/main" count="238" uniqueCount="142">
  <si>
    <t>N°</t>
  </si>
  <si>
    <t>LIBRETA INFORMATIVA DE NOTAS</t>
  </si>
  <si>
    <t>AÑO/GRADO:</t>
  </si>
  <si>
    <t>N° LISTA:</t>
  </si>
  <si>
    <t>ESTUDIANTE:</t>
  </si>
  <si>
    <t>AREAS</t>
  </si>
  <si>
    <t>COMPETENCIAS</t>
  </si>
  <si>
    <t>NOTAS FINALES</t>
  </si>
  <si>
    <t>U1</t>
  </si>
  <si>
    <t>U2</t>
  </si>
  <si>
    <t>BIM</t>
  </si>
  <si>
    <t>Personal Social</t>
  </si>
  <si>
    <t>ACTITUDES DEL ESTUDIANTE</t>
  </si>
  <si>
    <t>A</t>
  </si>
  <si>
    <t>Educación Fisica</t>
  </si>
  <si>
    <t>Lee diversos tipos de textos escritos.</t>
  </si>
  <si>
    <t>Construye su identidad.</t>
  </si>
  <si>
    <t>Construye interpretaciones históricas.</t>
  </si>
  <si>
    <t>Asume una vida saludable.</t>
  </si>
  <si>
    <t>Se comunica oralmente en lengua materna.</t>
  </si>
  <si>
    <t>Escribe diversos tipos de texto.</t>
  </si>
  <si>
    <t>Comunicación</t>
  </si>
  <si>
    <t>Aprecia de manera crítica manifestaciones artístico-culturales.</t>
  </si>
  <si>
    <t>Crea proyectos desde los lenguajes artísticos.</t>
  </si>
  <si>
    <t>Arte y Cultura</t>
  </si>
  <si>
    <t>Ingles</t>
  </si>
  <si>
    <t>Resuelve problemas de cantidad.</t>
  </si>
  <si>
    <t>Resuelve problemas de movimiento, forma y localización.</t>
  </si>
  <si>
    <t>Resuelve problemas de regularidad, equivalencia y cambio.</t>
  </si>
  <si>
    <t>Matemática</t>
  </si>
  <si>
    <t>Indaga mediante métodos científicos para construir conocimientos.</t>
  </si>
  <si>
    <t>Ciencia y Tecnología</t>
  </si>
  <si>
    <t>Educación Religiosa</t>
  </si>
  <si>
    <t>Gestiona proyectos de emprendimiento económico social.</t>
  </si>
  <si>
    <t>Taller de Emprendimiento</t>
  </si>
  <si>
    <t>Crea, ejecuta y aplica las diferentes herramientas tecnológicas en programas informáticos.</t>
  </si>
  <si>
    <t>Taller de Computo</t>
  </si>
  <si>
    <t>Utiliza la lógica para crear programas utilizando código abierto y desarrolla habilidades en el uso de prototipos robóticos.</t>
  </si>
  <si>
    <t>Taller Programación y Robótica</t>
  </si>
  <si>
    <t>Gestiona su aprendizaje de manera autónoma.</t>
  </si>
  <si>
    <t>Se desenvuelve en entornos virtuales generados por las TICs.</t>
  </si>
  <si>
    <t>Tranversalidad</t>
  </si>
  <si>
    <t>SI</t>
  </si>
  <si>
    <t>A VECES</t>
  </si>
  <si>
    <t>NO</t>
  </si>
  <si>
    <t>NOTA DE ACTITUDES:</t>
  </si>
  <si>
    <t>S</t>
  </si>
  <si>
    <t>N</t>
  </si>
  <si>
    <t>Evaluación y Monitoreo al PPFF con respecto a las actitudes del Estudiante</t>
  </si>
  <si>
    <t>Calificación al PPFF o Apoderado:</t>
  </si>
  <si>
    <t>Asiste puntualmente a clases.</t>
  </si>
  <si>
    <t>Cumple con responsabilidad las actividades y tareas que se le asignen.</t>
  </si>
  <si>
    <t>Respeta las normas de convivencia y estándares contribuyendo con un adecuado clima escolar.</t>
  </si>
  <si>
    <t>Respeta su turno para intervenir y mantiene una actitud correcta en clase</t>
  </si>
  <si>
    <t>Realiza diferentes actividades con autonomía</t>
  </si>
  <si>
    <t>Participa constantemente en las actividades programadas por el colegio (reuniones de padres de familia, escuela de padres, otros).</t>
  </si>
  <si>
    <t>Envia a su menor hijo(a) correctamente uniformado(a), y una adecuada presentación personal, respetando el Reglamento Interno (cabello corto en varones, cabello sujetado en las damas con pulcritud y limpieza).</t>
  </si>
  <si>
    <t>Realiza consultas a los docentes y/o asiste cuando es llamado para dialogar sobre su situación acádemica o conductual.</t>
  </si>
  <si>
    <t>Apuntes y/o Observaciones del Tutor:</t>
  </si>
  <si>
    <t>Total asistido en el BIM:</t>
  </si>
  <si>
    <t>% Asistencias del Estudiante:</t>
  </si>
  <si>
    <t>Tardanzas en el BIM:</t>
  </si>
  <si>
    <t>Faltas Justificadas BIM:</t>
  </si>
  <si>
    <t>Faltas BIM:</t>
  </si>
  <si>
    <t>Tutor(a)                                                                                                              Vb°</t>
  </si>
  <si>
    <t xml:space="preserve">    ___________________________                                                            ______________________</t>
  </si>
  <si>
    <t>NIVEL PRIMARIA 2025</t>
  </si>
  <si>
    <t>Ed. Fisica</t>
  </si>
  <si>
    <t>Arte</t>
  </si>
  <si>
    <t>C. Tecnologia</t>
  </si>
  <si>
    <t>Religión</t>
  </si>
  <si>
    <t>T. Emprende</t>
  </si>
  <si>
    <t>T. Computo</t>
  </si>
  <si>
    <t>T.Robotica</t>
  </si>
  <si>
    <t>Transversal</t>
  </si>
  <si>
    <t>Nota Aprec. Personal</t>
  </si>
  <si>
    <t>Participación PP.FF</t>
  </si>
  <si>
    <t>Asistencia</t>
  </si>
  <si>
    <t>Apuntes del Tutor</t>
  </si>
  <si>
    <t>ESTUDIANTES</t>
  </si>
  <si>
    <t>Comp 1</t>
  </si>
  <si>
    <t>Comp 2</t>
  </si>
  <si>
    <t>Comp 3</t>
  </si>
  <si>
    <t>Comp 4</t>
  </si>
  <si>
    <t>Comp 5</t>
  </si>
  <si>
    <t>NF</t>
  </si>
  <si>
    <t>AT</t>
  </si>
  <si>
    <t>A%</t>
  </si>
  <si>
    <t>T</t>
  </si>
  <si>
    <t>FJ</t>
  </si>
  <si>
    <t>F</t>
  </si>
  <si>
    <t>DOCENTE:</t>
  </si>
  <si>
    <t>Convive y participa democráticamente.</t>
  </si>
  <si>
    <t>Gestiona responsablemente el espacio y el ambiente.</t>
  </si>
  <si>
    <t>Gestiona responsablemente los recursos económicos.</t>
  </si>
  <si>
    <t>Se desenvuelve de manera autónoma a través de su identidad.</t>
  </si>
  <si>
    <t>Interactúa a través de sus habilidades sociomotrices.</t>
  </si>
  <si>
    <t>Se comunica oralmente en inglés como lengua extranjera.</t>
  </si>
  <si>
    <t>Lee diversos tipos de texto en inglés como lengua extranjera.</t>
  </si>
  <si>
    <t>Escribe diversos tipos de texto en inglés como lengua extranjera.</t>
  </si>
  <si>
    <t>Resuelve problemas de gestión de datos e incertidumbre.</t>
  </si>
  <si>
    <t>Explica el mundo natural y artificial en base a conocimiento sobre los seres vivos, materia, energía, biodiversidad, tierra y universo.</t>
  </si>
  <si>
    <t>Diseña y construye soluciones tecnológicas para resolver problemas de entorno.</t>
  </si>
  <si>
    <t>Construye su identidad como persona humana amada por Dios, digna, libre y transparente, comprendiendo la doctrina de su propia religión y abierto al diálogo con las personas cercanas.</t>
  </si>
  <si>
    <t>Asume la experiencia el encuentro personal comunitario con Dios en su proyecto de vida en coherencia con su creencia religiosa.</t>
  </si>
  <si>
    <t>Asiste a clases cuidando su presentación personal en todo momento.</t>
  </si>
  <si>
    <t>Se expresa con un vocabulario de respeto y cortesía (saluda, se despide, dice por favor, gracias, etc.).</t>
  </si>
  <si>
    <t>Escucha y pone en práctica las indicaciones</t>
  </si>
  <si>
    <t>Practica el buen comportamiento razonando, reflexionando y revirtiendo las conductas inadecuadas.</t>
  </si>
  <si>
    <t>DATOS BÁSICOS - Total asist. BIM:</t>
  </si>
  <si>
    <t>Realiza monitoreo constante a su hijo(a) respecto a su avance académico, práctica en valores y conductual (revisión de cuadernos, agenda y evaluaciones).</t>
  </si>
  <si>
    <t>OTROS</t>
  </si>
  <si>
    <t>Puntaje AD-A</t>
  </si>
  <si>
    <t>Orden Merito</t>
  </si>
  <si>
    <t>LUZ MENDOZA CAMI</t>
  </si>
  <si>
    <t>6° GRADO</t>
  </si>
  <si>
    <t>ACERO VARGAS MAIDA NADINE</t>
  </si>
  <si>
    <t>CHACHAQUE MAMANI BETSY NOEMI</t>
  </si>
  <si>
    <t>CHALCO HEREDIA SHJENKA KATALEYA</t>
  </si>
  <si>
    <t>CHARA MAMANI NAHUEL HAGEN</t>
  </si>
  <si>
    <t>COAQUIRA FERNANDEZ RASECK LUCIO LYZER</t>
  </si>
  <si>
    <t>CONDORI QUISPE JOSSEPH MILAN</t>
  </si>
  <si>
    <t>CORNEJO CHALLO JAZAEL RICHARTH</t>
  </si>
  <si>
    <t>CURO GARCÍA ADRIANA YESENIA</t>
  </si>
  <si>
    <t>FLORES FERNANDEZ NATHALY YAMILEH</t>
  </si>
  <si>
    <t>GAMARRA RIPALDA AZRAEL ALEJANDRO</t>
  </si>
  <si>
    <t>GARCIA CONDORI HEYDREAN SOFIA</t>
  </si>
  <si>
    <t>GONZÁLEZ CAIÑA FELIPE ARNALDO</t>
  </si>
  <si>
    <t>GONZALO TORRES LEANDRO DANIEL</t>
  </si>
  <si>
    <t>HURTADO MAMANI CAMILA ALESSANDRA</t>
  </si>
  <si>
    <t>ILLA QUISPE SEBASTIAN CALEB</t>
  </si>
  <si>
    <t>ITO NINA THIAGO JOSUÉ</t>
  </si>
  <si>
    <t>LEÓN DOUMENZ RENATA MARCELA</t>
  </si>
  <si>
    <t>LEVANO ARAGON ESTEFANIA ALEJANDRA</t>
  </si>
  <si>
    <t>LOPEZ CARPIO DANNA ROUS</t>
  </si>
  <si>
    <t>MÁLAGA LUNA JAHEL MATHIAS</t>
  </si>
  <si>
    <t>MANRIQUE RUA EVAN RAÚL</t>
  </si>
  <si>
    <t>RAMOS RONDÓN DANNA VALENTINA</t>
  </si>
  <si>
    <t>RODRIGUEZ FLORES FABRICCIO ALEJANDRO</t>
  </si>
  <si>
    <t>SOTO SEGURA JHEAN MARCO</t>
  </si>
  <si>
    <t>VEGA BUSTINZA LUCIANA NATALIA</t>
  </si>
  <si>
    <t>I BIMESTRE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</si>
</sst>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#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0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F2F2F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1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4" fillId="0" borderId="4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2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0" fontId="4" fillId="0" borderId="7" xfId="0" applyFont="1" applyBorder="1" applyAlignment="1" applyProtection="1">
      <alignment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wrapText="1"/>
      <protection locked="0"/>
    </xf>
    <xf numFmtId="0" fontId="5" fillId="2" borderId="16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wrapText="1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right" vertical="center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right" vertical="center"/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22" xfId="0" applyFont="1" applyBorder="1" applyAlignment="1" applyProtection="1">
      <alignment horizontal="left" vertical="center"/>
      <protection locked="0"/>
    </xf>
    <xf numFmtId="0" fontId="4" fillId="0" borderId="25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0" fillId="0" borderId="0" xfId="0"/>
    <xf numFmtId="0" fontId="11" fillId="0" borderId="27" xfId="0" applyFont="1" applyBorder="1"/>
    <xf numFmtId="0" fontId="11" fillId="0" borderId="28" xfId="0" applyFont="1" applyBorder="1"/>
    <xf numFmtId="0" fontId="11" fillId="0" borderId="34" xfId="0" applyFont="1" applyBorder="1"/>
    <xf numFmtId="0" fontId="11" fillId="0" borderId="36" xfId="0" applyFont="1" applyBorder="1"/>
    <xf numFmtId="0" fontId="11" fillId="0" borderId="33" xfId="0" applyFont="1" applyBorder="1"/>
    <xf numFmtId="49" fontId="9" fillId="0" borderId="26" xfId="0" applyNumberFormat="1" applyFont="1" applyBorder="1"/>
    <xf numFmtId="0" fontId="11" fillId="0" borderId="30" xfId="0" applyFont="1" applyBorder="1"/>
    <xf numFmtId="0" fontId="9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3" borderId="26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vertical="center"/>
    </xf>
    <xf numFmtId="0" fontId="10" fillId="0" borderId="31" xfId="0" applyFont="1" applyBorder="1" applyAlignment="1">
      <alignment horizontal="center" vertical="center" textRotation="90" wrapText="1"/>
    </xf>
    <xf numFmtId="0" fontId="10" fillId="3" borderId="36" xfId="0" applyFont="1" applyFill="1" applyBorder="1" applyAlignment="1">
      <alignment vertical="center"/>
    </xf>
    <xf numFmtId="0" fontId="10" fillId="3" borderId="3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textRotation="90"/>
    </xf>
    <xf numFmtId="165" fontId="12" fillId="0" borderId="32" xfId="0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9" fontId="9" fillId="0" borderId="32" xfId="0" applyNumberFormat="1" applyFont="1" applyBorder="1"/>
    <xf numFmtId="0" fontId="9" fillId="0" borderId="32" xfId="0" applyFont="1" applyBorder="1" applyAlignment="1">
      <alignment vertical="center" wrapText="1"/>
    </xf>
    <xf numFmtId="0" fontId="9" fillId="0" borderId="32" xfId="0" applyFont="1" applyBorder="1" applyAlignment="1">
      <alignment vertical="top" wrapText="1"/>
    </xf>
    <xf numFmtId="0" fontId="9" fillId="0" borderId="32" xfId="0" applyFont="1" applyBorder="1" applyAlignment="1">
      <alignment wrapText="1"/>
    </xf>
    <xf numFmtId="165" fontId="1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2" xfId="1" xr:uid="{160F0470-DE2E-49DE-9F6C-4DF77F9379DF}"/>
  </cellStyles>
  <dxfs count="6"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GRÁFICO DE ASISTENCIA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6.4356688238397686E-2"/>
          <c:y val="0.24664997698667324"/>
          <c:w val="0.88136002083708997"/>
          <c:h val="0.526029669650108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Libreta!$E$58:$E$61</c:f>
              <c:strCache>
                <c:ptCount val="4"/>
                <c:pt idx="0">
                  <c:v>Total asistido en el BIM:</c:v>
                </c:pt>
                <c:pt idx="1">
                  <c:v>Tardanzas en el BIM:</c:v>
                </c:pt>
                <c:pt idx="2">
                  <c:v>Faltas Justificadas BIM:</c:v>
                </c:pt>
                <c:pt idx="3">
                  <c:v>Faltas BIM:</c:v>
                </c:pt>
              </c:strCache>
            </c:strRef>
          </c:cat>
          <c:val>
            <c:numRef>
              <c:f>Libreta!$F$58:$F$61</c:f>
              <c:numCache>
                <c:formatCode>General</c:formatCode>
                <c:ptCount val="4"/>
                <c:pt idx="0">
                  <c:v>43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B-4E5B-961D-CFFD8D3F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682527"/>
        <c:axId val="1871865711"/>
      </c:barChart>
      <c:catAx>
        <c:axId val="187668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1865711"/>
        <c:crosses val="autoZero"/>
        <c:auto val="1"/>
        <c:lblAlgn val="ctr"/>
        <c:lblOffset val="100"/>
        <c:noMultiLvlLbl val="0"/>
      </c:catAx>
      <c:valAx>
        <c:axId val="18718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7668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526AA7-04E7-4A28-96F0-725E45DD44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66675</xdr:rowOff>
    </xdr:to>
    <xdr:sp macro="" textlink="">
      <xdr:nvSpPr>
        <xdr:cNvPr id="1030" name="AutoShape 6" descr="ministerio de educacion peru Logo PNG Vector (CDR) Free Download">
          <a:extLst>
            <a:ext uri="{FF2B5EF4-FFF2-40B4-BE49-F238E27FC236}">
              <a16:creationId xmlns:a16="http://schemas.microsoft.com/office/drawing/2014/main" id="{B00D19BE-D366-46D6-BF24-8794FBB45155}"/>
            </a:ext>
          </a:extLst>
        </xdr:cNvPr>
        <xdr:cNvSpPr>
          <a:spLocks noChangeAspect="1" noChangeArrowheads="1"/>
        </xdr:cNvSpPr>
      </xdr:nvSpPr>
      <xdr:spPr bwMode="auto">
        <a:xfrm>
          <a:off x="7839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95250</xdr:colOff>
      <xdr:row>0</xdr:row>
      <xdr:rowOff>0</xdr:rowOff>
    </xdr:from>
    <xdr:to>
      <xdr:col>5</xdr:col>
      <xdr:colOff>352425</xdr:colOff>
      <xdr:row>3</xdr:row>
      <xdr:rowOff>99831</xdr:rowOff>
    </xdr:to>
    <xdr:pic>
      <xdr:nvPicPr>
        <xdr:cNvPr id="4" name="Imagen 3" descr="ministerio de educacion peru Logo PNG Vector (CDR) Free Download">
          <a:extLst>
            <a:ext uri="{FF2B5EF4-FFF2-40B4-BE49-F238E27FC236}">
              <a16:creationId xmlns:a16="http://schemas.microsoft.com/office/drawing/2014/main" id="{ECDAE836-FC0A-48A2-AE82-8A1B73BF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0"/>
          <a:ext cx="981075" cy="71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219075</xdr:colOff>
      <xdr:row>52</xdr:row>
      <xdr:rowOff>147637</xdr:rowOff>
    </xdr:from>
    <xdr:to>
      <xdr:col>2</xdr:col>
      <xdr:colOff>3019425</xdr:colOff>
      <xdr:row>62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9539FF-08C4-44F0-BA6E-A0A99BC19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REG_PRIMARIA_6TO%20GRADO.xlsx" TargetMode="External"/><Relationship Id="rId2" Type="http://schemas.openxmlformats.org/officeDocument/2006/relationships/externalLinkPath" Target="file:///C:\Users\Jair\Downloads\REG_PRIMARIA_6TO%20GRADO.xlsx" TargetMode="External"/><Relationship Id="rId1" Type="http://schemas.openxmlformats.org/officeDocument/2006/relationships/externalLinkPath" Target="/Users/Jair/Downloads/REG_PRIMARIA_6TO%20GR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S"/>
      <sheetName val="EFIS"/>
      <sheetName val="COMU"/>
      <sheetName val="ARTE"/>
      <sheetName val="ING"/>
      <sheetName val="MATE"/>
      <sheetName val="CTEC"/>
      <sheetName val="REL"/>
      <sheetName val="EMPR"/>
      <sheetName val="COMPU"/>
      <sheetName val="ROBOTI"/>
      <sheetName val="APREPER"/>
      <sheetName val="APREPPFF"/>
      <sheetName val="ASISTEN"/>
      <sheetName val="CONSOLIDADO"/>
    </sheetNames>
    <sheetDataSet>
      <sheetData sheetId="0">
        <row r="13">
          <cell r="N13" t="str">
            <v>A</v>
          </cell>
          <cell r="R13" t="str">
            <v>A</v>
          </cell>
          <cell r="V13" t="str">
            <v>A</v>
          </cell>
          <cell r="Z13" t="str">
            <v>A</v>
          </cell>
          <cell r="AD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T13" t="str">
            <v>A</v>
          </cell>
          <cell r="AX13" t="str">
            <v>A</v>
          </cell>
          <cell r="AZ13" t="str">
            <v>A</v>
          </cell>
          <cell r="BA13" t="str">
            <v>A</v>
          </cell>
          <cell r="BB13" t="str">
            <v>A</v>
          </cell>
          <cell r="BC13" t="str">
            <v>A</v>
          </cell>
          <cell r="BD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Z14" t="str">
            <v>A</v>
          </cell>
          <cell r="AD14" t="str">
            <v>A</v>
          </cell>
          <cell r="AH14" t="str">
            <v>A</v>
          </cell>
          <cell r="AL14" t="str">
            <v>A</v>
          </cell>
          <cell r="AP14" t="str">
            <v>A</v>
          </cell>
          <cell r="AT14" t="str">
            <v>A</v>
          </cell>
          <cell r="AX14" t="str">
            <v>A</v>
          </cell>
          <cell r="AZ14" t="str">
            <v>A</v>
          </cell>
          <cell r="BA14" t="str">
            <v>A</v>
          </cell>
          <cell r="BB14" t="str">
            <v>A</v>
          </cell>
          <cell r="BC14" t="str">
            <v>A</v>
          </cell>
          <cell r="BD14" t="str">
            <v>A</v>
          </cell>
        </row>
        <row r="15">
          <cell r="N15" t="str">
            <v>A</v>
          </cell>
          <cell r="R15" t="str">
            <v>A</v>
          </cell>
          <cell r="V15" t="str">
            <v>B</v>
          </cell>
          <cell r="Z15" t="str">
            <v>A</v>
          </cell>
          <cell r="AD15" t="str">
            <v>A</v>
          </cell>
          <cell r="AH15" t="str">
            <v>A</v>
          </cell>
          <cell r="AL15" t="str">
            <v>A</v>
          </cell>
          <cell r="AP15" t="str">
            <v>B</v>
          </cell>
          <cell r="AT15" t="str">
            <v>A</v>
          </cell>
          <cell r="AX15" t="str">
            <v>A</v>
          </cell>
          <cell r="AZ15" t="str">
            <v>A</v>
          </cell>
          <cell r="BA15" t="str">
            <v>A</v>
          </cell>
          <cell r="BB15" t="str">
            <v>B</v>
          </cell>
          <cell r="BC15" t="str">
            <v>A</v>
          </cell>
          <cell r="BD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Z16" t="str">
            <v>A</v>
          </cell>
          <cell r="AD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T16" t="str">
            <v>A</v>
          </cell>
          <cell r="AX16" t="str">
            <v>A</v>
          </cell>
          <cell r="AZ16" t="str">
            <v>A</v>
          </cell>
          <cell r="BA16" t="str">
            <v>A</v>
          </cell>
          <cell r="BB16" t="str">
            <v>A</v>
          </cell>
          <cell r="BC16" t="str">
            <v>A</v>
          </cell>
          <cell r="BD16" t="str">
            <v>A</v>
          </cell>
        </row>
        <row r="17">
          <cell r="N17" t="str">
            <v>C</v>
          </cell>
          <cell r="R17" t="str">
            <v>A</v>
          </cell>
          <cell r="V17" t="str">
            <v>B</v>
          </cell>
          <cell r="Z17" t="str">
            <v>A</v>
          </cell>
          <cell r="AD17" t="str">
            <v>A</v>
          </cell>
          <cell r="AH17" t="str">
            <v>A</v>
          </cell>
          <cell r="AL17" t="str">
            <v>A</v>
          </cell>
          <cell r="AP17" t="str">
            <v>B</v>
          </cell>
          <cell r="AT17" t="str">
            <v>A</v>
          </cell>
          <cell r="AX17" t="str">
            <v>B</v>
          </cell>
          <cell r="AZ17" t="str">
            <v>B</v>
          </cell>
          <cell r="BA17" t="str">
            <v>A</v>
          </cell>
          <cell r="BB17" t="str">
            <v>B</v>
          </cell>
          <cell r="BC17" t="str">
            <v>A</v>
          </cell>
          <cell r="BD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Z18" t="str">
            <v>A</v>
          </cell>
          <cell r="AD18" t="str">
            <v>A</v>
          </cell>
          <cell r="AH18" t="str">
            <v>B</v>
          </cell>
          <cell r="AL18" t="str">
            <v>A</v>
          </cell>
          <cell r="AP18" t="str">
            <v>A</v>
          </cell>
          <cell r="AT18" t="str">
            <v>A</v>
          </cell>
          <cell r="AX18" t="str">
            <v>A</v>
          </cell>
          <cell r="AZ18" t="str">
            <v>A</v>
          </cell>
          <cell r="BA18" t="str">
            <v>A</v>
          </cell>
          <cell r="BB18" t="str">
            <v>A</v>
          </cell>
          <cell r="BC18" t="str">
            <v>A</v>
          </cell>
          <cell r="BD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Z19" t="str">
            <v>A</v>
          </cell>
          <cell r="AD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T19" t="str">
            <v>A</v>
          </cell>
          <cell r="AX19" t="str">
            <v>A</v>
          </cell>
          <cell r="AZ19" t="str">
            <v>A</v>
          </cell>
          <cell r="BA19" t="str">
            <v>A</v>
          </cell>
          <cell r="BB19" t="str">
            <v>A</v>
          </cell>
          <cell r="BC19" t="str">
            <v>A</v>
          </cell>
          <cell r="BD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B</v>
          </cell>
          <cell r="Z20" t="str">
            <v>A</v>
          </cell>
          <cell r="AD20" t="str">
            <v>A</v>
          </cell>
          <cell r="AH20" t="str">
            <v>A</v>
          </cell>
          <cell r="AL20" t="str">
            <v>A</v>
          </cell>
          <cell r="AP20" t="str">
            <v>B</v>
          </cell>
          <cell r="AT20" t="str">
            <v>A</v>
          </cell>
          <cell r="AX20" t="str">
            <v>A</v>
          </cell>
          <cell r="AZ20" t="str">
            <v>A</v>
          </cell>
          <cell r="BA20" t="str">
            <v>A</v>
          </cell>
          <cell r="BB20" t="str">
            <v>B</v>
          </cell>
          <cell r="BC20" t="str">
            <v>A</v>
          </cell>
          <cell r="BD20" t="str">
            <v>A</v>
          </cell>
        </row>
        <row r="21">
          <cell r="N21" t="str">
            <v>A</v>
          </cell>
          <cell r="R21" t="str">
            <v>A</v>
          </cell>
          <cell r="V21" t="str">
            <v>B</v>
          </cell>
          <cell r="Z21" t="str">
            <v>A</v>
          </cell>
          <cell r="AD21" t="str">
            <v>A</v>
          </cell>
          <cell r="AH21" t="str">
            <v>A</v>
          </cell>
          <cell r="AL21" t="str">
            <v>A</v>
          </cell>
          <cell r="AP21" t="str">
            <v>A</v>
          </cell>
          <cell r="AT21" t="str">
            <v>A</v>
          </cell>
          <cell r="AX21" t="str">
            <v>A</v>
          </cell>
          <cell r="AZ21" t="str">
            <v>A</v>
          </cell>
          <cell r="BA21" t="str">
            <v>A</v>
          </cell>
          <cell r="BB21" t="str">
            <v>A</v>
          </cell>
          <cell r="BC21" t="str">
            <v>A</v>
          </cell>
          <cell r="BD21" t="str">
            <v>A</v>
          </cell>
        </row>
        <row r="22">
          <cell r="N22" t="str">
            <v>A</v>
          </cell>
          <cell r="R22" t="str">
            <v>A</v>
          </cell>
          <cell r="V22" t="str">
            <v>A</v>
          </cell>
          <cell r="Z22" t="str">
            <v>A</v>
          </cell>
          <cell r="AD22" t="str">
            <v>A</v>
          </cell>
          <cell r="AH22" t="str">
            <v>A</v>
          </cell>
          <cell r="AL22" t="str">
            <v>A</v>
          </cell>
          <cell r="AP22" t="str">
            <v>A</v>
          </cell>
          <cell r="AT22" t="str">
            <v>A</v>
          </cell>
          <cell r="AX22" t="str">
            <v>B</v>
          </cell>
          <cell r="AZ22" t="str">
            <v>A</v>
          </cell>
          <cell r="BA22" t="str">
            <v>A</v>
          </cell>
          <cell r="BB22" t="str">
            <v>A</v>
          </cell>
          <cell r="BC22" t="str">
            <v>A</v>
          </cell>
          <cell r="BD22" t="str">
            <v>A</v>
          </cell>
        </row>
        <row r="23">
          <cell r="N23" t="str">
            <v>A</v>
          </cell>
          <cell r="R23" t="str">
            <v>A</v>
          </cell>
          <cell r="V23" t="str">
            <v>B</v>
          </cell>
          <cell r="Z23" t="str">
            <v>A</v>
          </cell>
          <cell r="AD23" t="str">
            <v>A</v>
          </cell>
          <cell r="AH23" t="str">
            <v>A</v>
          </cell>
          <cell r="AL23" t="str">
            <v>A</v>
          </cell>
          <cell r="AP23" t="str">
            <v>A</v>
          </cell>
          <cell r="AT23" t="str">
            <v>A</v>
          </cell>
          <cell r="AX23" t="str">
            <v>A</v>
          </cell>
          <cell r="AZ23" t="str">
            <v>A</v>
          </cell>
          <cell r="BA23" t="str">
            <v>A</v>
          </cell>
          <cell r="BB23" t="str">
            <v>A</v>
          </cell>
          <cell r="BC23" t="str">
            <v>A</v>
          </cell>
          <cell r="BD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Z24" t="str">
            <v>A</v>
          </cell>
          <cell r="AD24" t="str">
            <v>A</v>
          </cell>
          <cell r="AH24" t="str">
            <v>A</v>
          </cell>
          <cell r="AL24" t="str">
            <v>A</v>
          </cell>
          <cell r="AP24" t="str">
            <v>A</v>
          </cell>
          <cell r="AT24" t="str">
            <v>A</v>
          </cell>
          <cell r="AX24" t="str">
            <v>A</v>
          </cell>
          <cell r="AZ24" t="str">
            <v>A</v>
          </cell>
          <cell r="BA24" t="str">
            <v>A</v>
          </cell>
          <cell r="BB24" t="str">
            <v>A</v>
          </cell>
          <cell r="BC24" t="str">
            <v>A</v>
          </cell>
          <cell r="BD24" t="str">
            <v>A</v>
          </cell>
        </row>
        <row r="25">
          <cell r="N25" t="str">
            <v>A</v>
          </cell>
          <cell r="R25" t="str">
            <v>A</v>
          </cell>
          <cell r="V25" t="str">
            <v>A</v>
          </cell>
          <cell r="Z25" t="str">
            <v>A</v>
          </cell>
          <cell r="AD25" t="str">
            <v>A</v>
          </cell>
          <cell r="AH25" t="str">
            <v>A</v>
          </cell>
          <cell r="AL25" t="str">
            <v>A</v>
          </cell>
          <cell r="AP25" t="str">
            <v>B</v>
          </cell>
          <cell r="AT25" t="str">
            <v>A</v>
          </cell>
          <cell r="AX25" t="str">
            <v>A</v>
          </cell>
          <cell r="AZ25" t="str">
            <v>A</v>
          </cell>
          <cell r="BA25" t="str">
            <v>A</v>
          </cell>
          <cell r="BB25" t="str">
            <v>A</v>
          </cell>
          <cell r="BC25" t="str">
            <v>A</v>
          </cell>
          <cell r="BD25" t="str">
            <v>A</v>
          </cell>
        </row>
        <row r="26">
          <cell r="N26" t="str">
            <v>A</v>
          </cell>
          <cell r="R26" t="str">
            <v>A</v>
          </cell>
          <cell r="V26" t="str">
            <v>A</v>
          </cell>
          <cell r="Z26" t="str">
            <v>A</v>
          </cell>
          <cell r="AD26" t="str">
            <v>A</v>
          </cell>
          <cell r="AH26" t="str">
            <v>B</v>
          </cell>
          <cell r="AL26" t="str">
            <v>A</v>
          </cell>
          <cell r="AP26" t="str">
            <v>B</v>
          </cell>
          <cell r="AT26" t="str">
            <v>A</v>
          </cell>
          <cell r="AX26" t="str">
            <v>A</v>
          </cell>
          <cell r="AZ26" t="str">
            <v>A</v>
          </cell>
          <cell r="BA26" t="str">
            <v>A</v>
          </cell>
          <cell r="BB26" t="str">
            <v>A</v>
          </cell>
          <cell r="BC26" t="str">
            <v>A</v>
          </cell>
          <cell r="BD26" t="str">
            <v>A</v>
          </cell>
        </row>
        <row r="27">
          <cell r="N27" t="str">
            <v>A</v>
          </cell>
          <cell r="R27" t="str">
            <v>A</v>
          </cell>
          <cell r="V27" t="str">
            <v>A</v>
          </cell>
          <cell r="Z27" t="str">
            <v>A</v>
          </cell>
          <cell r="AD27" t="str">
            <v>A</v>
          </cell>
          <cell r="AH27" t="str">
            <v>A</v>
          </cell>
          <cell r="AL27" t="str">
            <v>A</v>
          </cell>
          <cell r="AP27" t="str">
            <v>A</v>
          </cell>
          <cell r="AT27" t="str">
            <v>A</v>
          </cell>
          <cell r="AX27" t="str">
            <v>A</v>
          </cell>
          <cell r="AZ27" t="str">
            <v>A</v>
          </cell>
          <cell r="BA27" t="str">
            <v>A</v>
          </cell>
          <cell r="BB27" t="str">
            <v>A</v>
          </cell>
          <cell r="BC27" t="str">
            <v>A</v>
          </cell>
          <cell r="BD27" t="str">
            <v>A</v>
          </cell>
        </row>
        <row r="28">
          <cell r="N28" t="str">
            <v>C</v>
          </cell>
          <cell r="R28" t="str">
            <v>B</v>
          </cell>
          <cell r="V28" t="str">
            <v>C</v>
          </cell>
          <cell r="Z28" t="str">
            <v>B</v>
          </cell>
          <cell r="AD28" t="str">
            <v>B</v>
          </cell>
          <cell r="AH28" t="str">
            <v>B</v>
          </cell>
          <cell r="AL28" t="str">
            <v>B</v>
          </cell>
          <cell r="AP28" t="str">
            <v>B</v>
          </cell>
          <cell r="AT28" t="str">
            <v>A</v>
          </cell>
          <cell r="AX28" t="str">
            <v>B</v>
          </cell>
          <cell r="AZ28" t="str">
            <v>B</v>
          </cell>
          <cell r="BA28" t="str">
            <v>B</v>
          </cell>
          <cell r="BB28" t="str">
            <v>B</v>
          </cell>
          <cell r="BC28" t="str">
            <v>A</v>
          </cell>
          <cell r="BD28" t="str">
            <v>B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Z29" t="str">
            <v>A</v>
          </cell>
          <cell r="AD29" t="str">
            <v>A</v>
          </cell>
          <cell r="AH29" t="str">
            <v>A</v>
          </cell>
          <cell r="AL29" t="str">
            <v>A</v>
          </cell>
          <cell r="AP29" t="str">
            <v>A</v>
          </cell>
          <cell r="AT29" t="str">
            <v>A</v>
          </cell>
          <cell r="AX29" t="str">
            <v>A</v>
          </cell>
          <cell r="AZ29" t="str">
            <v>A</v>
          </cell>
          <cell r="BA29" t="str">
            <v>A</v>
          </cell>
          <cell r="BB29" t="str">
            <v>A</v>
          </cell>
          <cell r="BC29" t="str">
            <v>A</v>
          </cell>
          <cell r="BD29" t="str">
            <v>A</v>
          </cell>
        </row>
        <row r="30">
          <cell r="N30" t="str">
            <v>A</v>
          </cell>
          <cell r="R30" t="str">
            <v>A</v>
          </cell>
          <cell r="V30" t="str">
            <v>B</v>
          </cell>
          <cell r="Z30" t="str">
            <v>A</v>
          </cell>
          <cell r="AD30" t="str">
            <v>A</v>
          </cell>
          <cell r="AH30" t="str">
            <v>A</v>
          </cell>
          <cell r="AL30" t="str">
            <v>A</v>
          </cell>
          <cell r="AP30" t="str">
            <v>B</v>
          </cell>
          <cell r="AT30" t="str">
            <v>A</v>
          </cell>
          <cell r="AX30" t="str">
            <v>A</v>
          </cell>
          <cell r="AZ30" t="str">
            <v>A</v>
          </cell>
          <cell r="BA30" t="str">
            <v>A</v>
          </cell>
          <cell r="BB30" t="str">
            <v>B</v>
          </cell>
          <cell r="BC30" t="str">
            <v>A</v>
          </cell>
          <cell r="BD30" t="str">
            <v>A</v>
          </cell>
        </row>
        <row r="31">
          <cell r="N31" t="str">
            <v>A</v>
          </cell>
          <cell r="R31" t="str">
            <v>A</v>
          </cell>
          <cell r="V31" t="str">
            <v>A</v>
          </cell>
          <cell r="Z31" t="str">
            <v>A</v>
          </cell>
          <cell r="AD31" t="str">
            <v>A</v>
          </cell>
          <cell r="AH31" t="str">
            <v>A</v>
          </cell>
          <cell r="AL31" t="str">
            <v>A</v>
          </cell>
          <cell r="AP31" t="str">
            <v>A</v>
          </cell>
          <cell r="AT31" t="str">
            <v>A</v>
          </cell>
          <cell r="AX31" t="str">
            <v>A</v>
          </cell>
          <cell r="AZ31" t="str">
            <v>A</v>
          </cell>
          <cell r="BA31" t="str">
            <v>A</v>
          </cell>
          <cell r="BB31" t="str">
            <v>A</v>
          </cell>
          <cell r="BC31" t="str">
            <v>A</v>
          </cell>
          <cell r="BD31" t="str">
            <v>A</v>
          </cell>
        </row>
        <row r="32">
          <cell r="N32" t="str">
            <v>B</v>
          </cell>
          <cell r="R32" t="str">
            <v>B</v>
          </cell>
          <cell r="V32" t="str">
            <v>B</v>
          </cell>
          <cell r="Z32" t="str">
            <v>A</v>
          </cell>
          <cell r="AD32" t="str">
            <v>A</v>
          </cell>
          <cell r="AH32" t="str">
            <v>B</v>
          </cell>
          <cell r="AL32" t="str">
            <v>A</v>
          </cell>
          <cell r="AP32" t="str">
            <v>A</v>
          </cell>
          <cell r="AT32" t="str">
            <v>B</v>
          </cell>
          <cell r="AX32" t="str">
            <v>B</v>
          </cell>
          <cell r="AZ32" t="str">
            <v>B</v>
          </cell>
          <cell r="BA32" t="str">
            <v>A</v>
          </cell>
          <cell r="BB32" t="str">
            <v>A</v>
          </cell>
          <cell r="BC32" t="str">
            <v>A</v>
          </cell>
          <cell r="BD32" t="str">
            <v>A</v>
          </cell>
        </row>
        <row r="33">
          <cell r="N33" t="str">
            <v>B</v>
          </cell>
          <cell r="R33" t="str">
            <v>A</v>
          </cell>
          <cell r="V33" t="str">
            <v>A</v>
          </cell>
          <cell r="Z33" t="str">
            <v>A</v>
          </cell>
          <cell r="AD33" t="str">
            <v>A</v>
          </cell>
          <cell r="AH33" t="str">
            <v>A</v>
          </cell>
          <cell r="AL33" t="str">
            <v>A</v>
          </cell>
          <cell r="AP33" t="str">
            <v>A</v>
          </cell>
          <cell r="AT33" t="str">
            <v>A</v>
          </cell>
          <cell r="AX33" t="str">
            <v>A</v>
          </cell>
          <cell r="AZ33" t="str">
            <v>A</v>
          </cell>
          <cell r="BA33" t="str">
            <v>A</v>
          </cell>
          <cell r="BB33" t="str">
            <v>A</v>
          </cell>
          <cell r="BC33" t="str">
            <v>A</v>
          </cell>
          <cell r="BD33" t="str">
            <v>A</v>
          </cell>
        </row>
        <row r="34">
          <cell r="N34" t="str">
            <v>A</v>
          </cell>
          <cell r="R34" t="str">
            <v>A</v>
          </cell>
          <cell r="V34" t="str">
            <v>A</v>
          </cell>
          <cell r="Z34" t="str">
            <v>A</v>
          </cell>
          <cell r="AD34" t="str">
            <v>A</v>
          </cell>
          <cell r="AH34" t="str">
            <v>A</v>
          </cell>
          <cell r="AL34" t="str">
            <v>A</v>
          </cell>
          <cell r="AP34" t="str">
            <v>A</v>
          </cell>
          <cell r="AT34" t="str">
            <v>A</v>
          </cell>
          <cell r="AX34" t="str">
            <v>A</v>
          </cell>
          <cell r="AZ34" t="str">
            <v>A</v>
          </cell>
          <cell r="BA34" t="str">
            <v>A</v>
          </cell>
          <cell r="BB34" t="str">
            <v>A</v>
          </cell>
          <cell r="BC34" t="str">
            <v>A</v>
          </cell>
          <cell r="BD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Z35" t="str">
            <v>A</v>
          </cell>
          <cell r="AD35" t="str">
            <v>A</v>
          </cell>
          <cell r="AH35" t="str">
            <v>A</v>
          </cell>
          <cell r="AL35" t="str">
            <v>A</v>
          </cell>
          <cell r="AP35" t="str">
            <v>A</v>
          </cell>
          <cell r="AT35" t="str">
            <v>A</v>
          </cell>
          <cell r="AX35" t="str">
            <v>A</v>
          </cell>
          <cell r="AZ35" t="str">
            <v>A</v>
          </cell>
          <cell r="BA35" t="str">
            <v>A</v>
          </cell>
          <cell r="BB35" t="str">
            <v>A</v>
          </cell>
          <cell r="BC35" t="str">
            <v>A</v>
          </cell>
          <cell r="BD35" t="str">
            <v>A</v>
          </cell>
        </row>
        <row r="36">
          <cell r="N36" t="str">
            <v>A</v>
          </cell>
          <cell r="R36" t="str">
            <v>A</v>
          </cell>
          <cell r="V36" t="str">
            <v>A</v>
          </cell>
          <cell r="Z36" t="str">
            <v>B</v>
          </cell>
          <cell r="AD36" t="str">
            <v>A</v>
          </cell>
          <cell r="AH36" t="str">
            <v>A</v>
          </cell>
          <cell r="AL36" t="str">
            <v>B</v>
          </cell>
          <cell r="AP36" t="str">
            <v>A</v>
          </cell>
          <cell r="AT36" t="str">
            <v>B</v>
          </cell>
          <cell r="AX36" t="str">
            <v>C</v>
          </cell>
          <cell r="AZ36" t="str">
            <v>A</v>
          </cell>
          <cell r="BA36" t="str">
            <v>A</v>
          </cell>
          <cell r="BB36" t="str">
            <v>A</v>
          </cell>
          <cell r="BC36" t="str">
            <v>B</v>
          </cell>
          <cell r="BD36" t="str">
            <v>B</v>
          </cell>
        </row>
        <row r="37">
          <cell r="N37" t="str">
            <v>A</v>
          </cell>
          <cell r="R37" t="str">
            <v>A</v>
          </cell>
          <cell r="V37" t="str">
            <v>A</v>
          </cell>
          <cell r="Z37" t="str">
            <v>A</v>
          </cell>
          <cell r="AD37" t="str">
            <v>A</v>
          </cell>
          <cell r="AH37" t="str">
            <v>A</v>
          </cell>
          <cell r="AL37" t="str">
            <v>A</v>
          </cell>
          <cell r="AP37" t="str">
            <v>A</v>
          </cell>
          <cell r="AT37" t="str">
            <v>A</v>
          </cell>
          <cell r="AX37" t="str">
            <v>A</v>
          </cell>
          <cell r="AZ37" t="str">
            <v>A</v>
          </cell>
          <cell r="BA37" t="str">
            <v>A</v>
          </cell>
          <cell r="BB37" t="str">
            <v>A</v>
          </cell>
          <cell r="BC37" t="str">
            <v>A</v>
          </cell>
          <cell r="BD37" t="str">
            <v>A</v>
          </cell>
        </row>
        <row r="38">
          <cell r="N38" t="str">
            <v/>
          </cell>
          <cell r="R38" t="str">
            <v/>
          </cell>
          <cell r="V38" t="str">
            <v/>
          </cell>
          <cell r="Z38" t="str">
            <v/>
          </cell>
          <cell r="AD38" t="str">
            <v/>
          </cell>
          <cell r="AH38" t="str">
            <v/>
          </cell>
          <cell r="AL38" t="str">
            <v/>
          </cell>
          <cell r="AP38" t="str">
            <v/>
          </cell>
          <cell r="AT38" t="str">
            <v/>
          </cell>
          <cell r="AX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Z39" t="str">
            <v/>
          </cell>
          <cell r="AD39" t="str">
            <v/>
          </cell>
          <cell r="AH39" t="str">
            <v/>
          </cell>
          <cell r="AL39" t="str">
            <v/>
          </cell>
          <cell r="AP39" t="str">
            <v/>
          </cell>
          <cell r="AT39" t="str">
            <v/>
          </cell>
          <cell r="AX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Z40" t="str">
            <v/>
          </cell>
          <cell r="AD40" t="str">
            <v/>
          </cell>
          <cell r="AH40" t="str">
            <v/>
          </cell>
          <cell r="AL40" t="str">
            <v/>
          </cell>
          <cell r="AP40" t="str">
            <v/>
          </cell>
          <cell r="AT40" t="str">
            <v/>
          </cell>
          <cell r="AX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</row>
      </sheetData>
      <sheetData sheetId="1">
        <row r="13">
          <cell r="N13" t="str">
            <v>AD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Z13" t="str">
            <v>AD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A</v>
          </cell>
          <cell r="AL14" t="str">
            <v>A</v>
          </cell>
          <cell r="AP14" t="str">
            <v>A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AD</v>
          </cell>
          <cell r="R15" t="str">
            <v>A</v>
          </cell>
          <cell r="V15" t="str">
            <v>A</v>
          </cell>
          <cell r="AH15" t="str">
            <v>A</v>
          </cell>
          <cell r="AL15" t="str">
            <v>A</v>
          </cell>
          <cell r="AP15" t="str">
            <v>A</v>
          </cell>
          <cell r="AZ15" t="str">
            <v>AD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A</v>
          </cell>
          <cell r="V17" t="str">
            <v>A</v>
          </cell>
          <cell r="AH17" t="str">
            <v>A</v>
          </cell>
          <cell r="AL17" t="str">
            <v>A</v>
          </cell>
          <cell r="AP17" t="str">
            <v>A</v>
          </cell>
          <cell r="AZ17" t="str">
            <v>A</v>
          </cell>
          <cell r="BA17" t="str">
            <v>A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A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A</v>
          </cell>
          <cell r="AH20" t="str">
            <v>A</v>
          </cell>
          <cell r="AL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A</v>
          </cell>
          <cell r="R21" t="str">
            <v>A</v>
          </cell>
          <cell r="V21" t="str">
            <v>A</v>
          </cell>
          <cell r="AH21" t="str">
            <v>A</v>
          </cell>
          <cell r="AL21" t="str">
            <v>A</v>
          </cell>
          <cell r="AP21" t="str">
            <v>A</v>
          </cell>
          <cell r="AZ21" t="str">
            <v>A</v>
          </cell>
          <cell r="BA21" t="str">
            <v>A</v>
          </cell>
          <cell r="BB21" t="str">
            <v>A</v>
          </cell>
        </row>
        <row r="22">
          <cell r="N22" t="str">
            <v>A</v>
          </cell>
          <cell r="R22" t="str">
            <v>A</v>
          </cell>
          <cell r="V22" t="str">
            <v>A</v>
          </cell>
          <cell r="AH22" t="str">
            <v>A</v>
          </cell>
          <cell r="AL22" t="str">
            <v>A</v>
          </cell>
          <cell r="AP22" t="str">
            <v>A</v>
          </cell>
          <cell r="AZ22" t="str">
            <v>A</v>
          </cell>
          <cell r="BA22" t="str">
            <v>A</v>
          </cell>
          <cell r="BB22" t="str">
            <v>A</v>
          </cell>
        </row>
        <row r="23">
          <cell r="N23" t="str">
            <v>A</v>
          </cell>
          <cell r="R23" t="str">
            <v>A</v>
          </cell>
          <cell r="V23" t="str">
            <v>A</v>
          </cell>
          <cell r="AH23" t="str">
            <v>A</v>
          </cell>
          <cell r="AL23" t="str">
            <v>A</v>
          </cell>
          <cell r="AP23" t="str">
            <v>A</v>
          </cell>
          <cell r="AZ23" t="str">
            <v>A</v>
          </cell>
          <cell r="BA23" t="str">
            <v>A</v>
          </cell>
          <cell r="BB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AH24" t="str">
            <v>A</v>
          </cell>
          <cell r="AL24" t="str">
            <v>A</v>
          </cell>
          <cell r="AP24" t="str">
            <v>A</v>
          </cell>
          <cell r="AZ24" t="str">
            <v>A</v>
          </cell>
          <cell r="BA24" t="str">
            <v>A</v>
          </cell>
          <cell r="BB24" t="str">
            <v>A</v>
          </cell>
        </row>
        <row r="25">
          <cell r="N25" t="str">
            <v>A</v>
          </cell>
          <cell r="R25" t="str">
            <v>A</v>
          </cell>
          <cell r="V25" t="str">
            <v>A</v>
          </cell>
          <cell r="AH25" t="str">
            <v>A</v>
          </cell>
          <cell r="AL25" t="str">
            <v>A</v>
          </cell>
          <cell r="AP25" t="str">
            <v>A</v>
          </cell>
          <cell r="AZ25" t="str">
            <v>A</v>
          </cell>
          <cell r="BA25" t="str">
            <v>A</v>
          </cell>
          <cell r="BB25" t="str">
            <v>A</v>
          </cell>
        </row>
        <row r="26">
          <cell r="N26" t="str">
            <v>A</v>
          </cell>
          <cell r="R26" t="str">
            <v>A</v>
          </cell>
          <cell r="V26" t="str">
            <v>A</v>
          </cell>
          <cell r="AH26" t="str">
            <v>A</v>
          </cell>
          <cell r="AL26" t="str">
            <v>A</v>
          </cell>
          <cell r="AP26" t="str">
            <v>A</v>
          </cell>
          <cell r="AZ26" t="str">
            <v>A</v>
          </cell>
          <cell r="BA26" t="str">
            <v>A</v>
          </cell>
          <cell r="BB26" t="str">
            <v>A</v>
          </cell>
        </row>
        <row r="27">
          <cell r="N27" t="str">
            <v>A</v>
          </cell>
          <cell r="R27" t="str">
            <v>A</v>
          </cell>
          <cell r="V27" t="str">
            <v>A</v>
          </cell>
          <cell r="AH27" t="str">
            <v>A</v>
          </cell>
          <cell r="AL27" t="str">
            <v>A</v>
          </cell>
          <cell r="AP27" t="str">
            <v>A</v>
          </cell>
          <cell r="AZ27" t="str">
            <v>A</v>
          </cell>
          <cell r="BA27" t="str">
            <v>A</v>
          </cell>
          <cell r="BB27" t="str">
            <v>A</v>
          </cell>
        </row>
        <row r="28">
          <cell r="N28" t="str">
            <v>A</v>
          </cell>
          <cell r="R28" t="str">
            <v>A</v>
          </cell>
          <cell r="V28" t="str">
            <v>A</v>
          </cell>
          <cell r="AH28" t="str">
            <v>A</v>
          </cell>
          <cell r="AL28" t="str">
            <v>A</v>
          </cell>
          <cell r="AP28" t="str">
            <v>A</v>
          </cell>
          <cell r="AZ28" t="str">
            <v>A</v>
          </cell>
          <cell r="BA28" t="str">
            <v>A</v>
          </cell>
          <cell r="BB28" t="str">
            <v>A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AH29" t="str">
            <v>A</v>
          </cell>
          <cell r="AL29" t="str">
            <v>A</v>
          </cell>
          <cell r="AP29" t="str">
            <v>A</v>
          </cell>
          <cell r="AZ29" t="str">
            <v>A</v>
          </cell>
          <cell r="BA29" t="str">
            <v>A</v>
          </cell>
          <cell r="BB29" t="str">
            <v>A</v>
          </cell>
        </row>
        <row r="30">
          <cell r="N30" t="str">
            <v>A</v>
          </cell>
          <cell r="R30" t="str">
            <v>A</v>
          </cell>
          <cell r="V30" t="str">
            <v>A</v>
          </cell>
          <cell r="AH30" t="str">
            <v>A</v>
          </cell>
          <cell r="AL30" t="str">
            <v>A</v>
          </cell>
          <cell r="AP30" t="str">
            <v>A</v>
          </cell>
          <cell r="AZ30" t="str">
            <v>A</v>
          </cell>
          <cell r="BA30" t="str">
            <v>A</v>
          </cell>
          <cell r="BB30" t="str">
            <v>A</v>
          </cell>
        </row>
        <row r="31">
          <cell r="N31" t="str">
            <v>A</v>
          </cell>
          <cell r="R31" t="str">
            <v>A</v>
          </cell>
          <cell r="V31" t="str">
            <v>A</v>
          </cell>
          <cell r="AH31" t="str">
            <v>A</v>
          </cell>
          <cell r="AL31" t="str">
            <v>A</v>
          </cell>
          <cell r="AP31" t="str">
            <v>A</v>
          </cell>
          <cell r="AZ31" t="str">
            <v>A</v>
          </cell>
          <cell r="BA31" t="str">
            <v>A</v>
          </cell>
          <cell r="BB31" t="str">
            <v>A</v>
          </cell>
        </row>
        <row r="32">
          <cell r="N32" t="str">
            <v>A</v>
          </cell>
          <cell r="R32" t="str">
            <v>A</v>
          </cell>
          <cell r="V32" t="str">
            <v>A</v>
          </cell>
          <cell r="AH32" t="str">
            <v>A</v>
          </cell>
          <cell r="AL32" t="str">
            <v>A</v>
          </cell>
          <cell r="AP32" t="str">
            <v>A</v>
          </cell>
          <cell r="AZ32" t="str">
            <v>A</v>
          </cell>
          <cell r="BA32" t="str">
            <v>A</v>
          </cell>
          <cell r="BB32" t="str">
            <v>A</v>
          </cell>
        </row>
        <row r="33">
          <cell r="N33" t="str">
            <v>A</v>
          </cell>
          <cell r="R33" t="str">
            <v>A</v>
          </cell>
          <cell r="V33" t="str">
            <v>A</v>
          </cell>
          <cell r="AH33" t="str">
            <v>A</v>
          </cell>
          <cell r="AL33" t="str">
            <v>A</v>
          </cell>
          <cell r="AP33" t="str">
            <v>A</v>
          </cell>
          <cell r="AZ33" t="str">
            <v>A</v>
          </cell>
          <cell r="BA33" t="str">
            <v>A</v>
          </cell>
          <cell r="BB33" t="str">
            <v>A</v>
          </cell>
        </row>
        <row r="34">
          <cell r="N34" t="str">
            <v>A</v>
          </cell>
          <cell r="R34" t="str">
            <v>A</v>
          </cell>
          <cell r="V34" t="str">
            <v>A</v>
          </cell>
          <cell r="AH34" t="str">
            <v>A</v>
          </cell>
          <cell r="AL34" t="str">
            <v>A</v>
          </cell>
          <cell r="AP34" t="str">
            <v>A</v>
          </cell>
          <cell r="AZ34" t="str">
            <v>A</v>
          </cell>
          <cell r="BA34" t="str">
            <v>A</v>
          </cell>
          <cell r="BB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AH35" t="str">
            <v>A</v>
          </cell>
          <cell r="AL35" t="str">
            <v>A</v>
          </cell>
          <cell r="AP35" t="str">
            <v>A</v>
          </cell>
          <cell r="AZ35" t="str">
            <v>A</v>
          </cell>
          <cell r="BA35" t="str">
            <v>A</v>
          </cell>
          <cell r="BB35" t="str">
            <v>A</v>
          </cell>
        </row>
        <row r="36">
          <cell r="N36" t="str">
            <v>A</v>
          </cell>
          <cell r="R36" t="str">
            <v>B</v>
          </cell>
          <cell r="V36" t="str">
            <v>A</v>
          </cell>
          <cell r="AH36" t="str">
            <v>A</v>
          </cell>
          <cell r="AL36" t="str">
            <v>A</v>
          </cell>
          <cell r="AP36" t="str">
            <v>A</v>
          </cell>
          <cell r="AZ36" t="str">
            <v>A</v>
          </cell>
          <cell r="BA36" t="str">
            <v>A</v>
          </cell>
          <cell r="BB36" t="str">
            <v>A</v>
          </cell>
        </row>
        <row r="37">
          <cell r="N37" t="str">
            <v>A</v>
          </cell>
          <cell r="R37" t="str">
            <v>A</v>
          </cell>
          <cell r="V37" t="str">
            <v>A</v>
          </cell>
          <cell r="AH37" t="str">
            <v>A</v>
          </cell>
          <cell r="AL37" t="str">
            <v>A</v>
          </cell>
          <cell r="AP37" t="str">
            <v>A</v>
          </cell>
          <cell r="AZ37" t="str">
            <v>A</v>
          </cell>
          <cell r="BA37" t="str">
            <v>A</v>
          </cell>
          <cell r="BB37" t="str">
            <v>A</v>
          </cell>
        </row>
      </sheetData>
      <sheetData sheetId="2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P13" t="str">
            <v>A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A</v>
          </cell>
          <cell r="AP14" t="str">
            <v>A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A</v>
          </cell>
          <cell r="R15" t="str">
            <v>A</v>
          </cell>
          <cell r="V15" t="str">
            <v>A</v>
          </cell>
          <cell r="AH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B</v>
          </cell>
          <cell r="R17" t="str">
            <v>B</v>
          </cell>
          <cell r="V17" t="str">
            <v>B</v>
          </cell>
          <cell r="AH17" t="str">
            <v>B</v>
          </cell>
          <cell r="AP17" t="str">
            <v>B</v>
          </cell>
          <cell r="AZ17" t="str">
            <v>B</v>
          </cell>
          <cell r="BA17" t="str">
            <v>B</v>
          </cell>
          <cell r="BB17" t="str">
            <v>B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B</v>
          </cell>
          <cell r="AH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A</v>
          </cell>
          <cell r="R21" t="str">
            <v>B</v>
          </cell>
          <cell r="V21" t="str">
            <v>B</v>
          </cell>
          <cell r="AH21" t="str">
            <v>A</v>
          </cell>
          <cell r="AP21" t="str">
            <v>A</v>
          </cell>
          <cell r="AZ21" t="str">
            <v>A</v>
          </cell>
          <cell r="BA21" t="str">
            <v>B</v>
          </cell>
          <cell r="BB21" t="str">
            <v>A</v>
          </cell>
        </row>
        <row r="22">
          <cell r="N22" t="str">
            <v>A</v>
          </cell>
          <cell r="R22" t="str">
            <v>B</v>
          </cell>
          <cell r="V22" t="str">
            <v>B</v>
          </cell>
          <cell r="AH22" t="str">
            <v>A</v>
          </cell>
          <cell r="AP22" t="str">
            <v>A</v>
          </cell>
          <cell r="AZ22" t="str">
            <v>A</v>
          </cell>
          <cell r="BA22" t="str">
            <v>B</v>
          </cell>
          <cell r="BB22" t="str">
            <v>A</v>
          </cell>
        </row>
        <row r="23">
          <cell r="N23" t="str">
            <v>A</v>
          </cell>
          <cell r="R23" t="str">
            <v>A</v>
          </cell>
          <cell r="V23" t="str">
            <v>A</v>
          </cell>
          <cell r="AH23" t="str">
            <v>A</v>
          </cell>
          <cell r="AP23" t="str">
            <v>A</v>
          </cell>
          <cell r="AZ23" t="str">
            <v>A</v>
          </cell>
          <cell r="BA23" t="str">
            <v>A</v>
          </cell>
          <cell r="BB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AH24" t="str">
            <v>A</v>
          </cell>
          <cell r="AP24" t="str">
            <v>A</v>
          </cell>
          <cell r="AZ24" t="str">
            <v>A</v>
          </cell>
          <cell r="BA24" t="str">
            <v>A</v>
          </cell>
          <cell r="BB24" t="str">
            <v>A</v>
          </cell>
        </row>
        <row r="25">
          <cell r="N25" t="str">
            <v>A</v>
          </cell>
          <cell r="R25" t="str">
            <v>A</v>
          </cell>
          <cell r="V25" t="str">
            <v>B</v>
          </cell>
          <cell r="AH25" t="str">
            <v>A</v>
          </cell>
          <cell r="AP25" t="str">
            <v>A</v>
          </cell>
          <cell r="AZ25" t="str">
            <v>A</v>
          </cell>
          <cell r="BA25" t="str">
            <v>A</v>
          </cell>
          <cell r="BB25" t="str">
            <v>A</v>
          </cell>
        </row>
        <row r="26">
          <cell r="N26" t="str">
            <v>A</v>
          </cell>
          <cell r="R26" t="str">
            <v>B</v>
          </cell>
          <cell r="V26" t="str">
            <v>B</v>
          </cell>
          <cell r="AH26" t="str">
            <v>A</v>
          </cell>
          <cell r="AP26" t="str">
            <v>A</v>
          </cell>
          <cell r="AZ26" t="str">
            <v>A</v>
          </cell>
          <cell r="BA26" t="str">
            <v>A</v>
          </cell>
          <cell r="BB26" t="str">
            <v>A</v>
          </cell>
        </row>
        <row r="27">
          <cell r="N27" t="str">
            <v>A</v>
          </cell>
          <cell r="R27" t="str">
            <v>A</v>
          </cell>
          <cell r="V27" t="str">
            <v>B</v>
          </cell>
          <cell r="AH27" t="str">
            <v>A</v>
          </cell>
          <cell r="AP27" t="str">
            <v>A</v>
          </cell>
          <cell r="AZ27" t="str">
            <v>A</v>
          </cell>
          <cell r="BA27" t="str">
            <v>A</v>
          </cell>
          <cell r="BB27" t="str">
            <v>A</v>
          </cell>
        </row>
        <row r="28">
          <cell r="N28" t="str">
            <v>B</v>
          </cell>
          <cell r="R28" t="str">
            <v>C</v>
          </cell>
          <cell r="V28" t="str">
            <v>B</v>
          </cell>
          <cell r="AH28" t="str">
            <v>C</v>
          </cell>
          <cell r="AP28" t="str">
            <v>B</v>
          </cell>
          <cell r="AZ28" t="str">
            <v>B</v>
          </cell>
          <cell r="BA28" t="str">
            <v>C</v>
          </cell>
          <cell r="BB28" t="str">
            <v>B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AH29" t="str">
            <v>A</v>
          </cell>
          <cell r="AP29" t="str">
            <v>A</v>
          </cell>
          <cell r="AZ29" t="str">
            <v>A</v>
          </cell>
          <cell r="BA29" t="str">
            <v>A</v>
          </cell>
          <cell r="BB29" t="str">
            <v>A</v>
          </cell>
        </row>
        <row r="30">
          <cell r="N30" t="str">
            <v>A</v>
          </cell>
          <cell r="R30" t="str">
            <v>A</v>
          </cell>
          <cell r="V30" t="str">
            <v>B</v>
          </cell>
          <cell r="AH30" t="str">
            <v>A</v>
          </cell>
          <cell r="AP30" t="str">
            <v>A</v>
          </cell>
          <cell r="AZ30" t="str">
            <v>A</v>
          </cell>
          <cell r="BA30" t="str">
            <v>A</v>
          </cell>
          <cell r="BB30" t="str">
            <v>A</v>
          </cell>
        </row>
        <row r="31">
          <cell r="N31" t="str">
            <v>A</v>
          </cell>
          <cell r="R31" t="str">
            <v>A</v>
          </cell>
          <cell r="V31" t="str">
            <v>A</v>
          </cell>
          <cell r="AH31" t="str">
            <v>A</v>
          </cell>
          <cell r="AP31" t="str">
            <v>A</v>
          </cell>
          <cell r="AZ31" t="str">
            <v>A</v>
          </cell>
          <cell r="BA31" t="str">
            <v>A</v>
          </cell>
          <cell r="BB31" t="str">
            <v>A</v>
          </cell>
        </row>
        <row r="32">
          <cell r="N32" t="str">
            <v>A</v>
          </cell>
          <cell r="R32" t="str">
            <v>A</v>
          </cell>
          <cell r="V32" t="str">
            <v>B</v>
          </cell>
          <cell r="AH32" t="str">
            <v>A</v>
          </cell>
          <cell r="AP32" t="str">
            <v>B</v>
          </cell>
          <cell r="AZ32" t="str">
            <v>A</v>
          </cell>
          <cell r="BA32" t="str">
            <v>A</v>
          </cell>
          <cell r="BB32" t="str">
            <v>B</v>
          </cell>
        </row>
        <row r="33">
          <cell r="N33" t="str">
            <v>A</v>
          </cell>
          <cell r="R33" t="str">
            <v>A</v>
          </cell>
          <cell r="V33" t="str">
            <v>B</v>
          </cell>
          <cell r="AH33" t="str">
            <v>A</v>
          </cell>
          <cell r="AP33" t="str">
            <v>A</v>
          </cell>
          <cell r="AZ33" t="str">
            <v>A</v>
          </cell>
          <cell r="BA33" t="str">
            <v>A</v>
          </cell>
          <cell r="BB33" t="str">
            <v>A</v>
          </cell>
        </row>
        <row r="34">
          <cell r="N34" t="str">
            <v>A</v>
          </cell>
          <cell r="R34" t="str">
            <v>A</v>
          </cell>
          <cell r="V34" t="str">
            <v>A</v>
          </cell>
          <cell r="AH34" t="str">
            <v>A</v>
          </cell>
          <cell r="AP34" t="str">
            <v>A</v>
          </cell>
          <cell r="AZ34" t="str">
            <v>A</v>
          </cell>
          <cell r="BA34" t="str">
            <v>A</v>
          </cell>
          <cell r="BB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AH35" t="str">
            <v>A</v>
          </cell>
          <cell r="AP35" t="str">
            <v>A</v>
          </cell>
          <cell r="AZ35" t="str">
            <v>A</v>
          </cell>
          <cell r="BA35" t="str">
            <v>A</v>
          </cell>
          <cell r="BB35" t="str">
            <v>A</v>
          </cell>
        </row>
        <row r="36">
          <cell r="N36" t="str">
            <v>A</v>
          </cell>
          <cell r="R36" t="str">
            <v>B</v>
          </cell>
          <cell r="V36" t="str">
            <v>B</v>
          </cell>
          <cell r="AH36" t="str">
            <v>B</v>
          </cell>
          <cell r="AP36" t="str">
            <v>B</v>
          </cell>
          <cell r="AZ36" t="str">
            <v>A</v>
          </cell>
          <cell r="BA36" t="str">
            <v>B</v>
          </cell>
          <cell r="BB36" t="str">
            <v>B</v>
          </cell>
        </row>
        <row r="37">
          <cell r="N37" t="str">
            <v>A</v>
          </cell>
          <cell r="R37" t="str">
            <v>A</v>
          </cell>
          <cell r="V37" t="str">
            <v>A</v>
          </cell>
          <cell r="AH37" t="str">
            <v>A</v>
          </cell>
          <cell r="AP37" t="str">
            <v>A</v>
          </cell>
          <cell r="AZ37" t="str">
            <v>A</v>
          </cell>
          <cell r="BA37" t="str">
            <v>A</v>
          </cell>
          <cell r="BB37" t="str">
            <v>A</v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3">
        <row r="13">
          <cell r="N13" t="str">
            <v>A</v>
          </cell>
          <cell r="R13" t="str">
            <v>A</v>
          </cell>
          <cell r="AH13" t="str">
            <v>A</v>
          </cell>
          <cell r="AL13" t="str">
            <v>A</v>
          </cell>
          <cell r="AZ13" t="str">
            <v>A</v>
          </cell>
          <cell r="BA13" t="str">
            <v>A</v>
          </cell>
        </row>
        <row r="14">
          <cell r="N14" t="str">
            <v>A</v>
          </cell>
          <cell r="R14" t="str">
            <v>A</v>
          </cell>
          <cell r="AH14" t="str">
            <v>A</v>
          </cell>
          <cell r="AL14" t="str">
            <v>A</v>
          </cell>
          <cell r="AZ14" t="str">
            <v>A</v>
          </cell>
          <cell r="BA14" t="str">
            <v>A</v>
          </cell>
        </row>
        <row r="15">
          <cell r="N15" t="str">
            <v>A</v>
          </cell>
          <cell r="R15" t="str">
            <v>A</v>
          </cell>
          <cell r="AH15" t="str">
            <v>A</v>
          </cell>
          <cell r="AL15" t="str">
            <v>A</v>
          </cell>
          <cell r="AZ15" t="str">
            <v>A</v>
          </cell>
          <cell r="BA15" t="str">
            <v>A</v>
          </cell>
        </row>
        <row r="16">
          <cell r="N16" t="str">
            <v>A</v>
          </cell>
          <cell r="R16" t="str">
            <v>A</v>
          </cell>
          <cell r="AH16" t="str">
            <v>A</v>
          </cell>
          <cell r="AL16" t="str">
            <v>A</v>
          </cell>
          <cell r="AZ16" t="str">
            <v>A</v>
          </cell>
          <cell r="BA16" t="str">
            <v>A</v>
          </cell>
        </row>
        <row r="17">
          <cell r="N17" t="str">
            <v>A</v>
          </cell>
          <cell r="R17" t="str">
            <v>A</v>
          </cell>
          <cell r="AH17" t="str">
            <v>A</v>
          </cell>
          <cell r="AL17" t="str">
            <v>A</v>
          </cell>
          <cell r="AZ17" t="str">
            <v>A</v>
          </cell>
          <cell r="BA17" t="str">
            <v>A</v>
          </cell>
        </row>
        <row r="18">
          <cell r="N18" t="str">
            <v>A</v>
          </cell>
          <cell r="R18" t="str">
            <v>A</v>
          </cell>
          <cell r="AH18" t="str">
            <v>A</v>
          </cell>
          <cell r="AL18" t="str">
            <v>A</v>
          </cell>
          <cell r="AZ18" t="str">
            <v>A</v>
          </cell>
          <cell r="BA18" t="str">
            <v>A</v>
          </cell>
        </row>
        <row r="19">
          <cell r="N19" t="str">
            <v>A</v>
          </cell>
          <cell r="R19" t="str">
            <v>A</v>
          </cell>
          <cell r="AH19" t="str">
            <v>A</v>
          </cell>
          <cell r="AL19" t="str">
            <v>A</v>
          </cell>
          <cell r="AZ19" t="str">
            <v>A</v>
          </cell>
          <cell r="BA19" t="str">
            <v>A</v>
          </cell>
        </row>
        <row r="20">
          <cell r="N20" t="str">
            <v>A</v>
          </cell>
          <cell r="R20" t="str">
            <v>A</v>
          </cell>
          <cell r="AH20" t="str">
            <v>A</v>
          </cell>
          <cell r="AL20" t="str">
            <v>A</v>
          </cell>
          <cell r="AZ20" t="str">
            <v>A</v>
          </cell>
          <cell r="BA20" t="str">
            <v>A</v>
          </cell>
        </row>
        <row r="21">
          <cell r="N21" t="str">
            <v>A</v>
          </cell>
          <cell r="R21" t="str">
            <v>A</v>
          </cell>
          <cell r="AH21" t="str">
            <v>A</v>
          </cell>
          <cell r="AL21" t="str">
            <v>A</v>
          </cell>
          <cell r="AZ21" t="str">
            <v>A</v>
          </cell>
          <cell r="BA21" t="str">
            <v>A</v>
          </cell>
        </row>
        <row r="22">
          <cell r="N22" t="str">
            <v>A</v>
          </cell>
          <cell r="R22" t="str">
            <v>A</v>
          </cell>
          <cell r="AH22" t="str">
            <v>A</v>
          </cell>
          <cell r="AL22" t="str">
            <v>A</v>
          </cell>
          <cell r="AZ22" t="str">
            <v>A</v>
          </cell>
          <cell r="BA22" t="str">
            <v>A</v>
          </cell>
        </row>
        <row r="23">
          <cell r="N23" t="str">
            <v>A</v>
          </cell>
          <cell r="R23" t="str">
            <v>A</v>
          </cell>
          <cell r="AH23" t="str">
            <v>A</v>
          </cell>
          <cell r="AL23" t="str">
            <v>A</v>
          </cell>
          <cell r="AZ23" t="str">
            <v>A</v>
          </cell>
          <cell r="BA23" t="str">
            <v>A</v>
          </cell>
        </row>
        <row r="24">
          <cell r="N24" t="str">
            <v>A</v>
          </cell>
          <cell r="R24" t="str">
            <v>A</v>
          </cell>
          <cell r="AH24" t="str">
            <v>A</v>
          </cell>
          <cell r="AL24" t="str">
            <v>A</v>
          </cell>
          <cell r="AZ24" t="str">
            <v>A</v>
          </cell>
          <cell r="BA24" t="str">
            <v>A</v>
          </cell>
        </row>
        <row r="25">
          <cell r="N25" t="str">
            <v>A</v>
          </cell>
          <cell r="R25" t="str">
            <v>A</v>
          </cell>
          <cell r="AH25" t="str">
            <v>A</v>
          </cell>
          <cell r="AL25" t="str">
            <v>A</v>
          </cell>
          <cell r="AZ25" t="str">
            <v>A</v>
          </cell>
          <cell r="BA25" t="str">
            <v>A</v>
          </cell>
        </row>
        <row r="26">
          <cell r="N26" t="str">
            <v>A</v>
          </cell>
          <cell r="R26" t="str">
            <v>A</v>
          </cell>
          <cell r="AH26" t="str">
            <v>A</v>
          </cell>
          <cell r="AL26" t="str">
            <v>A</v>
          </cell>
          <cell r="AZ26" t="str">
            <v>A</v>
          </cell>
          <cell r="BA26" t="str">
            <v>A</v>
          </cell>
        </row>
        <row r="27">
          <cell r="N27" t="str">
            <v>A</v>
          </cell>
          <cell r="R27" t="str">
            <v>A</v>
          </cell>
          <cell r="AH27" t="str">
            <v>A</v>
          </cell>
          <cell r="AL27" t="str">
            <v>A</v>
          </cell>
          <cell r="AZ27" t="str">
            <v>A</v>
          </cell>
          <cell r="BA27" t="str">
            <v>A</v>
          </cell>
        </row>
        <row r="28">
          <cell r="N28" t="str">
            <v>B</v>
          </cell>
          <cell r="R28" t="str">
            <v>A</v>
          </cell>
          <cell r="AH28" t="str">
            <v>A</v>
          </cell>
          <cell r="AL28" t="str">
            <v>A</v>
          </cell>
          <cell r="AZ28" t="str">
            <v>A</v>
          </cell>
          <cell r="BA28" t="str">
            <v>A</v>
          </cell>
        </row>
        <row r="29">
          <cell r="N29" t="str">
            <v>A</v>
          </cell>
          <cell r="R29" t="str">
            <v>A</v>
          </cell>
          <cell r="AH29" t="str">
            <v>A</v>
          </cell>
          <cell r="AL29" t="str">
            <v>A</v>
          </cell>
          <cell r="AZ29" t="str">
            <v>A</v>
          </cell>
          <cell r="BA29" t="str">
            <v>A</v>
          </cell>
        </row>
        <row r="30">
          <cell r="N30" t="str">
            <v>A</v>
          </cell>
          <cell r="R30" t="str">
            <v>A</v>
          </cell>
          <cell r="AH30" t="str">
            <v>A</v>
          </cell>
          <cell r="AL30" t="str">
            <v>A</v>
          </cell>
          <cell r="AZ30" t="str">
            <v>A</v>
          </cell>
          <cell r="BA30" t="str">
            <v>A</v>
          </cell>
        </row>
        <row r="31">
          <cell r="N31" t="str">
            <v>A</v>
          </cell>
          <cell r="R31" t="str">
            <v>A</v>
          </cell>
          <cell r="AH31" t="str">
            <v>A</v>
          </cell>
          <cell r="AL31" t="str">
            <v>A</v>
          </cell>
          <cell r="AZ31" t="str">
            <v>A</v>
          </cell>
          <cell r="BA31" t="str">
            <v>A</v>
          </cell>
        </row>
        <row r="32">
          <cell r="N32" t="str">
            <v>A</v>
          </cell>
          <cell r="R32" t="str">
            <v>A</v>
          </cell>
          <cell r="AH32" t="str">
            <v>A</v>
          </cell>
          <cell r="AL32" t="str">
            <v>A</v>
          </cell>
          <cell r="AZ32" t="str">
            <v>A</v>
          </cell>
          <cell r="BA32" t="str">
            <v>A</v>
          </cell>
        </row>
        <row r="33">
          <cell r="N33" t="str">
            <v>A</v>
          </cell>
          <cell r="R33" t="str">
            <v>A</v>
          </cell>
          <cell r="AH33" t="str">
            <v>A</v>
          </cell>
          <cell r="AL33" t="str">
            <v>A</v>
          </cell>
          <cell r="AZ33" t="str">
            <v>A</v>
          </cell>
          <cell r="BA33" t="str">
            <v>A</v>
          </cell>
        </row>
        <row r="34">
          <cell r="N34" t="str">
            <v>A</v>
          </cell>
          <cell r="R34" t="str">
            <v>A</v>
          </cell>
          <cell r="AH34" t="str">
            <v>A</v>
          </cell>
          <cell r="AL34" t="str">
            <v>A</v>
          </cell>
          <cell r="AZ34" t="str">
            <v>A</v>
          </cell>
          <cell r="BA34" t="str">
            <v>A</v>
          </cell>
        </row>
        <row r="35">
          <cell r="N35" t="str">
            <v>A</v>
          </cell>
          <cell r="R35" t="str">
            <v>A</v>
          </cell>
          <cell r="AH35" t="str">
            <v>A</v>
          </cell>
          <cell r="AL35" t="str">
            <v>A</v>
          </cell>
          <cell r="AZ35" t="str">
            <v>A</v>
          </cell>
          <cell r="BA35" t="str">
            <v>A</v>
          </cell>
        </row>
        <row r="36">
          <cell r="N36" t="str">
            <v>A</v>
          </cell>
          <cell r="R36" t="str">
            <v>A</v>
          </cell>
          <cell r="AH36" t="str">
            <v>A</v>
          </cell>
          <cell r="AL36" t="str">
            <v>A</v>
          </cell>
          <cell r="AZ36" t="str">
            <v>A</v>
          </cell>
          <cell r="BA36" t="str">
            <v>A</v>
          </cell>
        </row>
        <row r="37">
          <cell r="N37" t="str">
            <v>A</v>
          </cell>
          <cell r="R37" t="str">
            <v>A</v>
          </cell>
          <cell r="AH37" t="str">
            <v>A</v>
          </cell>
          <cell r="AL37" t="str">
            <v>A</v>
          </cell>
          <cell r="AZ37" t="str">
            <v>A</v>
          </cell>
          <cell r="BA37" t="str">
            <v>A</v>
          </cell>
        </row>
        <row r="38">
          <cell r="N38" t="str">
            <v/>
          </cell>
          <cell r="R38" t="str">
            <v/>
          </cell>
          <cell r="AH38" t="str">
            <v/>
          </cell>
          <cell r="AL38" t="str">
            <v/>
          </cell>
          <cell r="AZ38" t="str">
            <v/>
          </cell>
          <cell r="BA38" t="str">
            <v/>
          </cell>
        </row>
        <row r="39">
          <cell r="N39" t="str">
            <v/>
          </cell>
          <cell r="R39" t="str">
            <v/>
          </cell>
          <cell r="AH39" t="str">
            <v/>
          </cell>
          <cell r="AL39" t="str">
            <v/>
          </cell>
          <cell r="AZ39" t="str">
            <v/>
          </cell>
          <cell r="BA39" t="str">
            <v/>
          </cell>
        </row>
        <row r="40">
          <cell r="N40" t="str">
            <v/>
          </cell>
          <cell r="R40" t="str">
            <v/>
          </cell>
          <cell r="AH40" t="str">
            <v/>
          </cell>
          <cell r="AL40" t="str">
            <v/>
          </cell>
          <cell r="AZ40" t="str">
            <v/>
          </cell>
          <cell r="BA40" t="str">
            <v/>
          </cell>
        </row>
      </sheetData>
      <sheetData sheetId="4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A</v>
          </cell>
          <cell r="AL14" t="str">
            <v>A</v>
          </cell>
          <cell r="AP14" t="str">
            <v>A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A</v>
          </cell>
          <cell r="R15" t="str">
            <v>B</v>
          </cell>
          <cell r="V15" t="str">
            <v>A</v>
          </cell>
          <cell r="AH15" t="str">
            <v>A</v>
          </cell>
          <cell r="AL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B</v>
          </cell>
          <cell r="V17" t="str">
            <v>A</v>
          </cell>
          <cell r="AH17" t="str">
            <v>A</v>
          </cell>
          <cell r="AL17" t="str">
            <v>B</v>
          </cell>
          <cell r="AP17" t="str">
            <v>B</v>
          </cell>
          <cell r="AZ17" t="str">
            <v>A</v>
          </cell>
          <cell r="BA17" t="str">
            <v>B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A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B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A</v>
          </cell>
          <cell r="AH20" t="str">
            <v>A</v>
          </cell>
          <cell r="AL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A</v>
          </cell>
          <cell r="R21" t="str">
            <v>A</v>
          </cell>
          <cell r="V21" t="str">
            <v>A</v>
          </cell>
          <cell r="AH21" t="str">
            <v>A</v>
          </cell>
          <cell r="AL21" t="str">
            <v>B</v>
          </cell>
          <cell r="AP21" t="str">
            <v>A</v>
          </cell>
          <cell r="AZ21" t="str">
            <v>A</v>
          </cell>
          <cell r="BA21" t="str">
            <v>A</v>
          </cell>
          <cell r="BB21" t="str">
            <v>A</v>
          </cell>
        </row>
        <row r="22">
          <cell r="N22" t="str">
            <v>A</v>
          </cell>
          <cell r="R22" t="str">
            <v>B</v>
          </cell>
          <cell r="V22" t="str">
            <v>A</v>
          </cell>
          <cell r="AH22" t="str">
            <v>A</v>
          </cell>
          <cell r="AL22" t="str">
            <v>B</v>
          </cell>
          <cell r="AP22" t="str">
            <v>B</v>
          </cell>
          <cell r="AZ22" t="str">
            <v>A</v>
          </cell>
          <cell r="BA22" t="str">
            <v>B</v>
          </cell>
          <cell r="BB22" t="str">
            <v>A</v>
          </cell>
        </row>
        <row r="23">
          <cell r="N23" t="str">
            <v>A</v>
          </cell>
          <cell r="R23" t="str">
            <v>A</v>
          </cell>
          <cell r="V23" t="str">
            <v>A</v>
          </cell>
          <cell r="AH23" t="str">
            <v>A</v>
          </cell>
          <cell r="AL23" t="str">
            <v>A</v>
          </cell>
          <cell r="AP23" t="str">
            <v>A</v>
          </cell>
          <cell r="AZ23" t="str">
            <v>A</v>
          </cell>
          <cell r="BA23" t="str">
            <v>A</v>
          </cell>
          <cell r="BB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AH24" t="str">
            <v>A</v>
          </cell>
          <cell r="AL24" t="str">
            <v>B</v>
          </cell>
          <cell r="AP24" t="str">
            <v>B</v>
          </cell>
          <cell r="AZ24" t="str">
            <v>A</v>
          </cell>
          <cell r="BA24" t="str">
            <v>A</v>
          </cell>
          <cell r="BB24" t="str">
            <v>A</v>
          </cell>
        </row>
        <row r="25">
          <cell r="N25" t="str">
            <v>B</v>
          </cell>
          <cell r="R25" t="str">
            <v>B</v>
          </cell>
          <cell r="V25" t="str">
            <v>A</v>
          </cell>
          <cell r="AH25" t="str">
            <v>A</v>
          </cell>
          <cell r="AL25" t="str">
            <v>B</v>
          </cell>
          <cell r="AP25" t="str">
            <v>B</v>
          </cell>
          <cell r="AZ25" t="str">
            <v>A</v>
          </cell>
          <cell r="BA25" t="str">
            <v>B</v>
          </cell>
          <cell r="BB25" t="str">
            <v>A</v>
          </cell>
        </row>
        <row r="26">
          <cell r="N26" t="str">
            <v>A</v>
          </cell>
          <cell r="R26" t="str">
            <v>A</v>
          </cell>
          <cell r="V26" t="str">
            <v>A</v>
          </cell>
          <cell r="AH26" t="str">
            <v>A</v>
          </cell>
          <cell r="AL26" t="str">
            <v>A</v>
          </cell>
          <cell r="AP26" t="str">
            <v>A</v>
          </cell>
          <cell r="AZ26" t="str">
            <v>A</v>
          </cell>
          <cell r="BA26" t="str">
            <v>A</v>
          </cell>
          <cell r="BB26" t="str">
            <v>A</v>
          </cell>
        </row>
        <row r="27">
          <cell r="N27" t="str">
            <v>A</v>
          </cell>
          <cell r="R27" t="str">
            <v>A</v>
          </cell>
          <cell r="V27" t="str">
            <v>A</v>
          </cell>
          <cell r="AH27" t="str">
            <v>A</v>
          </cell>
          <cell r="AL27" t="str">
            <v>A</v>
          </cell>
          <cell r="AP27" t="str">
            <v>A</v>
          </cell>
          <cell r="AZ27" t="str">
            <v>A</v>
          </cell>
          <cell r="BA27" t="str">
            <v>A</v>
          </cell>
          <cell r="BB27" t="str">
            <v>A</v>
          </cell>
        </row>
        <row r="28">
          <cell r="N28" t="str">
            <v>B</v>
          </cell>
          <cell r="R28" t="str">
            <v>B</v>
          </cell>
          <cell r="V28" t="str">
            <v>B</v>
          </cell>
          <cell r="AH28" t="str">
            <v>A</v>
          </cell>
          <cell r="AL28" t="str">
            <v>B</v>
          </cell>
          <cell r="AP28" t="str">
            <v>B</v>
          </cell>
          <cell r="AZ28" t="str">
            <v>A</v>
          </cell>
          <cell r="BA28" t="str">
            <v>B</v>
          </cell>
          <cell r="BB28" t="str">
            <v>B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AH29" t="str">
            <v>A</v>
          </cell>
          <cell r="AL29" t="str">
            <v>A</v>
          </cell>
          <cell r="AP29" t="str">
            <v>A</v>
          </cell>
          <cell r="AZ29" t="str">
            <v>A</v>
          </cell>
          <cell r="BA29" t="str">
            <v>A</v>
          </cell>
          <cell r="BB29" t="str">
            <v>A</v>
          </cell>
        </row>
        <row r="30">
          <cell r="N30" t="str">
            <v>A</v>
          </cell>
          <cell r="R30" t="str">
            <v>B</v>
          </cell>
          <cell r="V30" t="str">
            <v>A</v>
          </cell>
          <cell r="AH30" t="str">
            <v>A</v>
          </cell>
          <cell r="AL30" t="str">
            <v>B</v>
          </cell>
          <cell r="AP30" t="str">
            <v>B</v>
          </cell>
          <cell r="AZ30" t="str">
            <v>A</v>
          </cell>
          <cell r="BA30" t="str">
            <v>B</v>
          </cell>
          <cell r="BB30" t="str">
            <v>A</v>
          </cell>
        </row>
        <row r="31">
          <cell r="N31" t="str">
            <v>A</v>
          </cell>
          <cell r="R31" t="str">
            <v>B</v>
          </cell>
          <cell r="V31" t="str">
            <v>A</v>
          </cell>
          <cell r="AH31" t="str">
            <v>A</v>
          </cell>
          <cell r="AL31" t="str">
            <v>A</v>
          </cell>
          <cell r="AP31" t="str">
            <v>A</v>
          </cell>
          <cell r="AZ31" t="str">
            <v>A</v>
          </cell>
          <cell r="BA31" t="str">
            <v>A</v>
          </cell>
          <cell r="BB31" t="str">
            <v>A</v>
          </cell>
        </row>
        <row r="32">
          <cell r="N32" t="str">
            <v>B</v>
          </cell>
          <cell r="R32" t="str">
            <v>B</v>
          </cell>
          <cell r="V32" t="str">
            <v>B</v>
          </cell>
          <cell r="AH32" t="str">
            <v>A</v>
          </cell>
          <cell r="AL32" t="str">
            <v>B</v>
          </cell>
          <cell r="AP32" t="str">
            <v>B</v>
          </cell>
          <cell r="AZ32" t="str">
            <v>A</v>
          </cell>
          <cell r="BA32" t="str">
            <v>B</v>
          </cell>
          <cell r="BB32" t="str">
            <v>B</v>
          </cell>
        </row>
        <row r="33">
          <cell r="N33" t="str">
            <v>A</v>
          </cell>
          <cell r="R33" t="str">
            <v>A</v>
          </cell>
          <cell r="V33" t="str">
            <v>A</v>
          </cell>
          <cell r="AH33" t="str">
            <v>A</v>
          </cell>
          <cell r="AL33" t="str">
            <v>A</v>
          </cell>
          <cell r="AP33" t="str">
            <v>A</v>
          </cell>
          <cell r="AZ33" t="str">
            <v>A</v>
          </cell>
          <cell r="BA33" t="str">
            <v>A</v>
          </cell>
          <cell r="BB33" t="str">
            <v>A</v>
          </cell>
        </row>
        <row r="34">
          <cell r="N34" t="str">
            <v>A</v>
          </cell>
          <cell r="R34" t="str">
            <v>A</v>
          </cell>
          <cell r="V34" t="str">
            <v>A</v>
          </cell>
          <cell r="AH34" t="str">
            <v>A</v>
          </cell>
          <cell r="AL34" t="str">
            <v>A</v>
          </cell>
          <cell r="AP34" t="str">
            <v>A</v>
          </cell>
          <cell r="AZ34" t="str">
            <v>A</v>
          </cell>
          <cell r="BA34" t="str">
            <v>A</v>
          </cell>
          <cell r="BB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AH35" t="str">
            <v>A</v>
          </cell>
          <cell r="AL35" t="str">
            <v>B</v>
          </cell>
          <cell r="AP35" t="str">
            <v>A</v>
          </cell>
          <cell r="AZ35" t="str">
            <v>A</v>
          </cell>
          <cell r="BA35" t="str">
            <v>A</v>
          </cell>
          <cell r="BB35" t="str">
            <v>A</v>
          </cell>
        </row>
        <row r="36">
          <cell r="N36" t="str">
            <v>A</v>
          </cell>
          <cell r="R36" t="str">
            <v>B</v>
          </cell>
          <cell r="V36" t="str">
            <v>B</v>
          </cell>
          <cell r="AH36" t="str">
            <v>A</v>
          </cell>
          <cell r="AL36" t="str">
            <v>B</v>
          </cell>
          <cell r="AP36" t="str">
            <v>B</v>
          </cell>
          <cell r="AZ36" t="str">
            <v>A</v>
          </cell>
          <cell r="BA36" t="str">
            <v>B</v>
          </cell>
          <cell r="BB36" t="str">
            <v>B</v>
          </cell>
        </row>
        <row r="37">
          <cell r="N37" t="str">
            <v>A</v>
          </cell>
          <cell r="R37" t="str">
            <v>A</v>
          </cell>
          <cell r="V37" t="str">
            <v>A</v>
          </cell>
          <cell r="AH37" t="str">
            <v>A</v>
          </cell>
          <cell r="AL37" t="str">
            <v>A</v>
          </cell>
          <cell r="AP37" t="str">
            <v>A</v>
          </cell>
          <cell r="AZ37" t="str">
            <v>A</v>
          </cell>
          <cell r="BA37" t="str">
            <v>A</v>
          </cell>
          <cell r="BB37" t="str">
            <v>A</v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5">
        <row r="13">
          <cell r="N13" t="str">
            <v>A</v>
          </cell>
          <cell r="R13" t="str">
            <v>B</v>
          </cell>
          <cell r="V13" t="str">
            <v>A</v>
          </cell>
          <cell r="Z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T13" t="str">
            <v>A</v>
          </cell>
          <cell r="AZ13" t="str">
            <v>A</v>
          </cell>
          <cell r="BA13" t="str">
            <v>A</v>
          </cell>
          <cell r="BB13" t="str">
            <v>A</v>
          </cell>
          <cell r="BC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Z14" t="str">
            <v>A</v>
          </cell>
          <cell r="AH14" t="str">
            <v>B</v>
          </cell>
          <cell r="AL14" t="str">
            <v>A</v>
          </cell>
          <cell r="AP14" t="str">
            <v>B</v>
          </cell>
          <cell r="AT14" t="str">
            <v>A</v>
          </cell>
          <cell r="AZ14" t="str">
            <v>A</v>
          </cell>
          <cell r="BA14" t="str">
            <v>A</v>
          </cell>
          <cell r="BB14" t="str">
            <v>A</v>
          </cell>
          <cell r="BC14" t="str">
            <v>A</v>
          </cell>
        </row>
        <row r="15">
          <cell r="N15" t="str">
            <v>B</v>
          </cell>
          <cell r="R15" t="str">
            <v>A</v>
          </cell>
          <cell r="V15" t="str">
            <v>A</v>
          </cell>
          <cell r="Z15" t="str">
            <v>A</v>
          </cell>
          <cell r="AH15" t="str">
            <v>B</v>
          </cell>
          <cell r="AL15" t="str">
            <v>A</v>
          </cell>
          <cell r="AP15" t="str">
            <v>B</v>
          </cell>
          <cell r="AT15" t="str">
            <v>A</v>
          </cell>
          <cell r="AZ15" t="str">
            <v>B</v>
          </cell>
          <cell r="BA15" t="str">
            <v>A</v>
          </cell>
          <cell r="BB15" t="str">
            <v>A</v>
          </cell>
          <cell r="BC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Z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T16" t="str">
            <v>A</v>
          </cell>
          <cell r="AZ16" t="str">
            <v>A</v>
          </cell>
          <cell r="BA16" t="str">
            <v>A</v>
          </cell>
          <cell r="BB16" t="str">
            <v>A</v>
          </cell>
          <cell r="BC16" t="str">
            <v>A</v>
          </cell>
        </row>
        <row r="17">
          <cell r="N17" t="str">
            <v>B</v>
          </cell>
          <cell r="R17" t="str">
            <v>A</v>
          </cell>
          <cell r="V17" t="str">
            <v>A</v>
          </cell>
          <cell r="Z17" t="str">
            <v>A</v>
          </cell>
          <cell r="AH17" t="str">
            <v>C</v>
          </cell>
          <cell r="AL17" t="str">
            <v>A</v>
          </cell>
          <cell r="AP17" t="str">
            <v>A</v>
          </cell>
          <cell r="AT17" t="str">
            <v>A</v>
          </cell>
          <cell r="AZ17" t="str">
            <v>B</v>
          </cell>
          <cell r="BA17" t="str">
            <v>A</v>
          </cell>
          <cell r="BB17" t="str">
            <v>A</v>
          </cell>
          <cell r="BC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Z18" t="str">
            <v>A</v>
          </cell>
          <cell r="AH18" t="str">
            <v>B</v>
          </cell>
          <cell r="AL18" t="str">
            <v>A</v>
          </cell>
          <cell r="AP18" t="str">
            <v>C</v>
          </cell>
          <cell r="AT18" t="str">
            <v>A</v>
          </cell>
          <cell r="AZ18" t="str">
            <v>A</v>
          </cell>
          <cell r="BA18" t="str">
            <v>A</v>
          </cell>
          <cell r="BB18" t="str">
            <v>B</v>
          </cell>
          <cell r="BC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Z19" t="str">
            <v>A</v>
          </cell>
          <cell r="AH19" t="str">
            <v>B</v>
          </cell>
          <cell r="AL19" t="str">
            <v>A</v>
          </cell>
          <cell r="AP19" t="str">
            <v>B</v>
          </cell>
          <cell r="AT19" t="str">
            <v>A</v>
          </cell>
          <cell r="AZ19" t="str">
            <v>A</v>
          </cell>
          <cell r="BA19" t="str">
            <v>A</v>
          </cell>
          <cell r="BB19" t="str">
            <v>A</v>
          </cell>
          <cell r="BC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A</v>
          </cell>
          <cell r="Z20" t="str">
            <v>A</v>
          </cell>
          <cell r="AH20" t="str">
            <v>A</v>
          </cell>
          <cell r="AL20" t="str">
            <v>A</v>
          </cell>
          <cell r="AP20" t="str">
            <v>A</v>
          </cell>
          <cell r="AT20" t="str">
            <v>A</v>
          </cell>
          <cell r="AZ20" t="str">
            <v>A</v>
          </cell>
          <cell r="BA20" t="str">
            <v>A</v>
          </cell>
          <cell r="BB20" t="str">
            <v>A</v>
          </cell>
          <cell r="BC20" t="str">
            <v>A</v>
          </cell>
        </row>
        <row r="21">
          <cell r="N21" t="str">
            <v>B</v>
          </cell>
          <cell r="R21" t="str">
            <v>A</v>
          </cell>
          <cell r="V21" t="str">
            <v>B</v>
          </cell>
          <cell r="Z21" t="str">
            <v>A</v>
          </cell>
          <cell r="AH21" t="str">
            <v>C</v>
          </cell>
          <cell r="AL21" t="str">
            <v>B</v>
          </cell>
          <cell r="AP21" t="str">
            <v>B</v>
          </cell>
          <cell r="AT21" t="str">
            <v>A</v>
          </cell>
          <cell r="AZ21" t="str">
            <v>B</v>
          </cell>
          <cell r="BA21" t="str">
            <v>A</v>
          </cell>
          <cell r="BB21" t="str">
            <v>B</v>
          </cell>
          <cell r="BC21" t="str">
            <v>A</v>
          </cell>
        </row>
        <row r="22">
          <cell r="N22" t="str">
            <v>B</v>
          </cell>
          <cell r="R22" t="str">
            <v>B</v>
          </cell>
          <cell r="V22" t="str">
            <v>B</v>
          </cell>
          <cell r="Z22" t="str">
            <v>A</v>
          </cell>
          <cell r="AH22" t="str">
            <v>C</v>
          </cell>
          <cell r="AL22" t="str">
            <v>B</v>
          </cell>
          <cell r="AP22" t="str">
            <v>C</v>
          </cell>
          <cell r="AT22" t="str">
            <v>A</v>
          </cell>
          <cell r="AZ22" t="str">
            <v>B</v>
          </cell>
          <cell r="BA22" t="str">
            <v>B</v>
          </cell>
          <cell r="BB22" t="str">
            <v>B</v>
          </cell>
          <cell r="BC22" t="str">
            <v>A</v>
          </cell>
        </row>
        <row r="23">
          <cell r="N23" t="str">
            <v>A</v>
          </cell>
          <cell r="R23" t="str">
            <v>AD</v>
          </cell>
          <cell r="V23" t="str">
            <v>A</v>
          </cell>
          <cell r="Z23" t="str">
            <v>A</v>
          </cell>
          <cell r="AH23" t="str">
            <v>B</v>
          </cell>
          <cell r="AL23" t="str">
            <v>A</v>
          </cell>
          <cell r="AP23" t="str">
            <v>A</v>
          </cell>
          <cell r="AT23" t="str">
            <v>A</v>
          </cell>
          <cell r="AZ23" t="str">
            <v>A</v>
          </cell>
          <cell r="BA23" t="str">
            <v>AD</v>
          </cell>
          <cell r="BB23" t="str">
            <v>A</v>
          </cell>
          <cell r="BC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Z24" t="str">
            <v>A</v>
          </cell>
          <cell r="AH24" t="str">
            <v>A</v>
          </cell>
          <cell r="AL24" t="str">
            <v>A</v>
          </cell>
          <cell r="AP24" t="str">
            <v>C</v>
          </cell>
          <cell r="AT24" t="str">
            <v>A</v>
          </cell>
          <cell r="AZ24" t="str">
            <v>A</v>
          </cell>
          <cell r="BA24" t="str">
            <v>A</v>
          </cell>
          <cell r="BB24" t="str">
            <v>B</v>
          </cell>
          <cell r="BC24" t="str">
            <v>A</v>
          </cell>
        </row>
        <row r="25">
          <cell r="N25" t="str">
            <v>A</v>
          </cell>
          <cell r="R25" t="str">
            <v>A</v>
          </cell>
          <cell r="V25" t="str">
            <v>A</v>
          </cell>
          <cell r="Z25" t="str">
            <v>A</v>
          </cell>
          <cell r="AH25" t="str">
            <v>B</v>
          </cell>
          <cell r="AL25" t="str">
            <v>A</v>
          </cell>
          <cell r="AP25" t="str">
            <v>A</v>
          </cell>
          <cell r="AT25" t="str">
            <v>A</v>
          </cell>
          <cell r="AZ25" t="str">
            <v>A</v>
          </cell>
          <cell r="BA25" t="str">
            <v>A</v>
          </cell>
          <cell r="BB25" t="str">
            <v>A</v>
          </cell>
          <cell r="BC25" t="str">
            <v>A</v>
          </cell>
        </row>
        <row r="26">
          <cell r="N26" t="str">
            <v>B</v>
          </cell>
          <cell r="R26" t="str">
            <v>B</v>
          </cell>
          <cell r="V26" t="str">
            <v>A</v>
          </cell>
          <cell r="Z26" t="str">
            <v>A</v>
          </cell>
          <cell r="AH26" t="str">
            <v>C</v>
          </cell>
          <cell r="AL26" t="str">
            <v>A</v>
          </cell>
          <cell r="AP26" t="str">
            <v>C</v>
          </cell>
          <cell r="AT26" t="str">
            <v>A</v>
          </cell>
          <cell r="AZ26" t="str">
            <v>B</v>
          </cell>
          <cell r="BA26" t="str">
            <v>A</v>
          </cell>
          <cell r="BB26" t="str">
            <v>B</v>
          </cell>
          <cell r="BC26" t="str">
            <v>A</v>
          </cell>
        </row>
        <row r="27">
          <cell r="N27" t="str">
            <v>B</v>
          </cell>
          <cell r="R27" t="str">
            <v>B</v>
          </cell>
          <cell r="V27" t="str">
            <v>A</v>
          </cell>
          <cell r="Z27" t="str">
            <v>A</v>
          </cell>
          <cell r="AH27" t="str">
            <v>B</v>
          </cell>
          <cell r="AL27" t="str">
            <v>A</v>
          </cell>
          <cell r="AP27" t="str">
            <v>B</v>
          </cell>
          <cell r="AT27" t="str">
            <v>A</v>
          </cell>
          <cell r="AZ27" t="str">
            <v>B</v>
          </cell>
          <cell r="BA27" t="str">
            <v>A</v>
          </cell>
          <cell r="BB27" t="str">
            <v>A</v>
          </cell>
          <cell r="BC27" t="str">
            <v>A</v>
          </cell>
        </row>
        <row r="28">
          <cell r="N28" t="str">
            <v>B</v>
          </cell>
          <cell r="R28" t="str">
            <v>C</v>
          </cell>
          <cell r="V28" t="str">
            <v>C</v>
          </cell>
          <cell r="Z28" t="str">
            <v>A</v>
          </cell>
          <cell r="AH28" t="str">
            <v>C</v>
          </cell>
          <cell r="AL28" t="str">
            <v>C</v>
          </cell>
          <cell r="AP28" t="str">
            <v>C</v>
          </cell>
          <cell r="AT28" t="str">
            <v>A</v>
          </cell>
          <cell r="AZ28" t="str">
            <v>B</v>
          </cell>
          <cell r="BA28" t="str">
            <v>C</v>
          </cell>
          <cell r="BB28" t="str">
            <v>C</v>
          </cell>
          <cell r="BC28" t="str">
            <v>A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Z29" t="str">
            <v>A</v>
          </cell>
          <cell r="AH29" t="str">
            <v>A</v>
          </cell>
          <cell r="AL29" t="str">
            <v>A</v>
          </cell>
          <cell r="AP29" t="str">
            <v>B</v>
          </cell>
          <cell r="AT29" t="str">
            <v>A</v>
          </cell>
          <cell r="AZ29" t="str">
            <v>A</v>
          </cell>
          <cell r="BA29" t="str">
            <v>A</v>
          </cell>
          <cell r="BB29" t="str">
            <v>A</v>
          </cell>
          <cell r="BC29" t="str">
            <v>A</v>
          </cell>
        </row>
        <row r="30">
          <cell r="N30" t="str">
            <v>B</v>
          </cell>
          <cell r="R30" t="str">
            <v>B</v>
          </cell>
          <cell r="V30" t="str">
            <v>A</v>
          </cell>
          <cell r="Z30" t="str">
            <v>A</v>
          </cell>
          <cell r="AH30" t="str">
            <v>C</v>
          </cell>
          <cell r="AL30" t="str">
            <v>A</v>
          </cell>
          <cell r="AP30" t="str">
            <v>C</v>
          </cell>
          <cell r="AT30" t="str">
            <v>A</v>
          </cell>
          <cell r="AZ30" t="str">
            <v>B</v>
          </cell>
          <cell r="BA30" t="str">
            <v>A</v>
          </cell>
          <cell r="BB30" t="str">
            <v>B</v>
          </cell>
          <cell r="BC30" t="str">
            <v>A</v>
          </cell>
        </row>
        <row r="31">
          <cell r="N31" t="str">
            <v>A</v>
          </cell>
          <cell r="R31" t="str">
            <v>A</v>
          </cell>
          <cell r="V31" t="str">
            <v>A</v>
          </cell>
          <cell r="Z31" t="str">
            <v>A</v>
          </cell>
          <cell r="AH31" t="str">
            <v>C</v>
          </cell>
          <cell r="AL31" t="str">
            <v>A</v>
          </cell>
          <cell r="AP31" t="str">
            <v>B</v>
          </cell>
          <cell r="AT31" t="str">
            <v>A</v>
          </cell>
          <cell r="AZ31" t="str">
            <v>B</v>
          </cell>
          <cell r="BA31" t="str">
            <v>A</v>
          </cell>
          <cell r="BB31" t="str">
            <v>A</v>
          </cell>
          <cell r="BC31" t="str">
            <v>A</v>
          </cell>
        </row>
        <row r="32">
          <cell r="N32" t="str">
            <v>B</v>
          </cell>
          <cell r="R32" t="str">
            <v>A</v>
          </cell>
          <cell r="V32" t="str">
            <v>A</v>
          </cell>
          <cell r="Z32" t="str">
            <v>A</v>
          </cell>
          <cell r="AH32" t="str">
            <v>B</v>
          </cell>
          <cell r="AL32" t="str">
            <v>A</v>
          </cell>
          <cell r="AP32" t="str">
            <v>B</v>
          </cell>
          <cell r="AT32" t="str">
            <v>A</v>
          </cell>
          <cell r="AZ32" t="str">
            <v>B</v>
          </cell>
          <cell r="BA32" t="str">
            <v>A</v>
          </cell>
          <cell r="BB32" t="str">
            <v>A</v>
          </cell>
          <cell r="BC32" t="str">
            <v>A</v>
          </cell>
        </row>
        <row r="33">
          <cell r="N33" t="str">
            <v>C</v>
          </cell>
          <cell r="R33" t="str">
            <v>B</v>
          </cell>
          <cell r="V33" t="str">
            <v>C</v>
          </cell>
          <cell r="Z33" t="str">
            <v>A</v>
          </cell>
          <cell r="AH33" t="str">
            <v>C</v>
          </cell>
          <cell r="AL33" t="str">
            <v>C</v>
          </cell>
          <cell r="AP33" t="str">
            <v>B</v>
          </cell>
          <cell r="AT33" t="str">
            <v>A</v>
          </cell>
          <cell r="AZ33" t="str">
            <v>C</v>
          </cell>
          <cell r="BA33" t="str">
            <v>B</v>
          </cell>
          <cell r="BB33" t="str">
            <v>B</v>
          </cell>
          <cell r="BC33" t="str">
            <v>A</v>
          </cell>
        </row>
        <row r="34">
          <cell r="N34" t="str">
            <v>A</v>
          </cell>
          <cell r="R34" t="str">
            <v>A</v>
          </cell>
          <cell r="V34" t="str">
            <v>A</v>
          </cell>
          <cell r="Z34" t="str">
            <v>A</v>
          </cell>
          <cell r="AH34" t="str">
            <v>A</v>
          </cell>
          <cell r="AL34" t="str">
            <v>A</v>
          </cell>
          <cell r="AP34" t="str">
            <v>A</v>
          </cell>
          <cell r="AT34" t="str">
            <v>A</v>
          </cell>
          <cell r="AZ34" t="str">
            <v>A</v>
          </cell>
          <cell r="BA34" t="str">
            <v>A</v>
          </cell>
          <cell r="BB34" t="str">
            <v>A</v>
          </cell>
          <cell r="BC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Z35" t="str">
            <v>A</v>
          </cell>
          <cell r="AH35" t="str">
            <v>A</v>
          </cell>
          <cell r="AL35" t="str">
            <v>A</v>
          </cell>
          <cell r="AP35" t="str">
            <v>A</v>
          </cell>
          <cell r="AT35" t="str">
            <v>A</v>
          </cell>
          <cell r="AZ35" t="str">
            <v>A</v>
          </cell>
          <cell r="BA35" t="str">
            <v>A</v>
          </cell>
          <cell r="BB35" t="str">
            <v>A</v>
          </cell>
          <cell r="BC35" t="str">
            <v>A</v>
          </cell>
        </row>
        <row r="36">
          <cell r="N36" t="str">
            <v>C</v>
          </cell>
          <cell r="R36" t="str">
            <v>B</v>
          </cell>
          <cell r="V36" t="str">
            <v>B</v>
          </cell>
          <cell r="Z36" t="str">
            <v>A</v>
          </cell>
          <cell r="AH36" t="str">
            <v>C</v>
          </cell>
          <cell r="AL36" t="str">
            <v>B</v>
          </cell>
          <cell r="AP36" t="str">
            <v>C</v>
          </cell>
          <cell r="AT36" t="str">
            <v>A</v>
          </cell>
          <cell r="AZ36" t="str">
            <v>C</v>
          </cell>
          <cell r="BA36" t="str">
            <v>B</v>
          </cell>
          <cell r="BB36" t="str">
            <v>B</v>
          </cell>
          <cell r="BC36" t="str">
            <v>A</v>
          </cell>
        </row>
        <row r="37">
          <cell r="N37" t="str">
            <v>B</v>
          </cell>
          <cell r="R37" t="str">
            <v>A</v>
          </cell>
          <cell r="V37" t="str">
            <v>A</v>
          </cell>
          <cell r="Z37" t="str">
            <v>A</v>
          </cell>
          <cell r="AH37" t="str">
            <v>B</v>
          </cell>
          <cell r="AL37" t="str">
            <v>A</v>
          </cell>
          <cell r="AP37" t="str">
            <v>B</v>
          </cell>
          <cell r="AT37" t="str">
            <v>A</v>
          </cell>
          <cell r="AZ37" t="str">
            <v>B</v>
          </cell>
          <cell r="BA37" t="str">
            <v>A</v>
          </cell>
          <cell r="BB37" t="str">
            <v>A</v>
          </cell>
          <cell r="BC37" t="str">
            <v>A</v>
          </cell>
        </row>
        <row r="38">
          <cell r="R38" t="str">
            <v/>
          </cell>
          <cell r="V38" t="str">
            <v/>
          </cell>
          <cell r="Z38" t="str">
            <v/>
          </cell>
          <cell r="AL38" t="str">
            <v/>
          </cell>
          <cell r="AP38" t="str">
            <v/>
          </cell>
          <cell r="AT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</row>
        <row r="39">
          <cell r="R39" t="str">
            <v/>
          </cell>
          <cell r="V39" t="str">
            <v/>
          </cell>
          <cell r="Z39" t="str">
            <v/>
          </cell>
          <cell r="AL39" t="str">
            <v/>
          </cell>
          <cell r="AP39" t="str">
            <v/>
          </cell>
          <cell r="AT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</row>
        <row r="40">
          <cell r="R40" t="str">
            <v/>
          </cell>
          <cell r="V40" t="str">
            <v/>
          </cell>
          <cell r="Z40" t="str">
            <v/>
          </cell>
          <cell r="AL40" t="str">
            <v/>
          </cell>
          <cell r="AP40" t="str">
            <v/>
          </cell>
          <cell r="AT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</row>
      </sheetData>
      <sheetData sheetId="6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B</v>
          </cell>
          <cell r="AL14" t="str">
            <v>A</v>
          </cell>
          <cell r="AP14" t="str">
            <v>A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B</v>
          </cell>
          <cell r="R15" t="str">
            <v>B</v>
          </cell>
          <cell r="V15" t="str">
            <v>A</v>
          </cell>
          <cell r="AH15" t="str">
            <v>A</v>
          </cell>
          <cell r="AL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B</v>
          </cell>
          <cell r="R17" t="str">
            <v>A</v>
          </cell>
          <cell r="V17" t="str">
            <v>B</v>
          </cell>
          <cell r="AH17" t="str">
            <v>B</v>
          </cell>
          <cell r="AL17" t="str">
            <v>A</v>
          </cell>
          <cell r="AP17" t="str">
            <v>B</v>
          </cell>
          <cell r="AZ17" t="str">
            <v>B</v>
          </cell>
          <cell r="BA17" t="str">
            <v>A</v>
          </cell>
          <cell r="BB17" t="str">
            <v>B</v>
          </cell>
        </row>
        <row r="18">
          <cell r="N18" t="str">
            <v>B</v>
          </cell>
          <cell r="R18" t="str">
            <v>A</v>
          </cell>
          <cell r="V18" t="str">
            <v>A</v>
          </cell>
          <cell r="AH18" t="str">
            <v>A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B</v>
          </cell>
          <cell r="AL19" t="str">
            <v>A</v>
          </cell>
          <cell r="AP19" t="str">
            <v>B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B</v>
          </cell>
          <cell r="R20" t="str">
            <v>A</v>
          </cell>
          <cell r="V20" t="str">
            <v>B</v>
          </cell>
          <cell r="AH20" t="str">
            <v>A</v>
          </cell>
          <cell r="AL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A</v>
          </cell>
          <cell r="R21" t="str">
            <v>A</v>
          </cell>
          <cell r="V21" t="str">
            <v>A</v>
          </cell>
          <cell r="AH21" t="str">
            <v>A</v>
          </cell>
          <cell r="AL21" t="str">
            <v>B</v>
          </cell>
          <cell r="AP21" t="str">
            <v>A</v>
          </cell>
          <cell r="AZ21" t="str">
            <v>A</v>
          </cell>
          <cell r="BA21" t="str">
            <v>A</v>
          </cell>
          <cell r="BB21" t="str">
            <v>A</v>
          </cell>
        </row>
        <row r="22">
          <cell r="N22" t="str">
            <v>B</v>
          </cell>
          <cell r="R22" t="str">
            <v>A</v>
          </cell>
          <cell r="V22" t="str">
            <v>A</v>
          </cell>
          <cell r="AH22" t="str">
            <v>B</v>
          </cell>
          <cell r="AL22" t="str">
            <v>A</v>
          </cell>
          <cell r="AP22" t="str">
            <v>B</v>
          </cell>
          <cell r="AZ22" t="str">
            <v>B</v>
          </cell>
          <cell r="BA22" t="str">
            <v>A</v>
          </cell>
          <cell r="BB22" t="str">
            <v>A</v>
          </cell>
        </row>
        <row r="23">
          <cell r="N23" t="str">
            <v>A</v>
          </cell>
          <cell r="R23" t="str">
            <v>A</v>
          </cell>
          <cell r="V23" t="str">
            <v>A</v>
          </cell>
          <cell r="AH23" t="str">
            <v>B</v>
          </cell>
          <cell r="AL23" t="str">
            <v>A</v>
          </cell>
          <cell r="AP23" t="str">
            <v>B</v>
          </cell>
          <cell r="AZ23" t="str">
            <v>A</v>
          </cell>
          <cell r="BA23" t="str">
            <v>A</v>
          </cell>
          <cell r="BB23" t="str">
            <v>A</v>
          </cell>
        </row>
        <row r="24">
          <cell r="N24" t="str">
            <v>A</v>
          </cell>
          <cell r="R24" t="str">
            <v>A</v>
          </cell>
          <cell r="V24" t="str">
            <v>A</v>
          </cell>
          <cell r="AH24" t="str">
            <v>A</v>
          </cell>
          <cell r="AL24" t="str">
            <v>A</v>
          </cell>
          <cell r="AP24" t="str">
            <v>A</v>
          </cell>
          <cell r="AZ24" t="str">
            <v>A</v>
          </cell>
          <cell r="BA24" t="str">
            <v>A</v>
          </cell>
          <cell r="BB24" t="str">
            <v>A</v>
          </cell>
        </row>
        <row r="25">
          <cell r="N25" t="str">
            <v>A</v>
          </cell>
          <cell r="R25" t="str">
            <v>A</v>
          </cell>
          <cell r="V25" t="str">
            <v>A</v>
          </cell>
          <cell r="AH25" t="str">
            <v>A</v>
          </cell>
          <cell r="AL25" t="str">
            <v>A</v>
          </cell>
          <cell r="AP25" t="str">
            <v>B</v>
          </cell>
          <cell r="AZ25" t="str">
            <v>A</v>
          </cell>
          <cell r="BA25" t="str">
            <v>A</v>
          </cell>
          <cell r="BB25" t="str">
            <v>A</v>
          </cell>
        </row>
        <row r="26">
          <cell r="N26" t="str">
            <v>B</v>
          </cell>
          <cell r="R26" t="str">
            <v>A</v>
          </cell>
          <cell r="V26" t="str">
            <v>B</v>
          </cell>
          <cell r="AH26" t="str">
            <v>A</v>
          </cell>
          <cell r="AL26" t="str">
            <v>A</v>
          </cell>
          <cell r="AP26" t="str">
            <v>C</v>
          </cell>
          <cell r="AZ26" t="str">
            <v>A</v>
          </cell>
          <cell r="BA26" t="str">
            <v>A</v>
          </cell>
          <cell r="BB26" t="str">
            <v>B</v>
          </cell>
        </row>
        <row r="27">
          <cell r="N27" t="str">
            <v>B</v>
          </cell>
          <cell r="R27" t="str">
            <v>A</v>
          </cell>
          <cell r="V27" t="str">
            <v>A</v>
          </cell>
          <cell r="AH27" t="str">
            <v>A</v>
          </cell>
          <cell r="AL27" t="str">
            <v>A</v>
          </cell>
          <cell r="AP27" t="str">
            <v>A</v>
          </cell>
          <cell r="AZ27" t="str">
            <v>A</v>
          </cell>
          <cell r="BA27" t="str">
            <v>A</v>
          </cell>
          <cell r="BB27" t="str">
            <v>A</v>
          </cell>
        </row>
        <row r="28">
          <cell r="N28" t="str">
            <v>C</v>
          </cell>
          <cell r="R28" t="str">
            <v>B</v>
          </cell>
          <cell r="V28" t="str">
            <v>C</v>
          </cell>
          <cell r="AH28" t="str">
            <v>C</v>
          </cell>
          <cell r="AL28" t="str">
            <v>B</v>
          </cell>
          <cell r="AP28" t="str">
            <v>C</v>
          </cell>
          <cell r="AZ28" t="str">
            <v>C</v>
          </cell>
          <cell r="BA28" t="str">
            <v>B</v>
          </cell>
          <cell r="BB28" t="str">
            <v>C</v>
          </cell>
        </row>
        <row r="29">
          <cell r="N29" t="str">
            <v>A</v>
          </cell>
          <cell r="R29" t="str">
            <v>A</v>
          </cell>
          <cell r="V29" t="str">
            <v>A</v>
          </cell>
          <cell r="AH29" t="str">
            <v>A</v>
          </cell>
          <cell r="AL29" t="str">
            <v>A</v>
          </cell>
          <cell r="AP29" t="str">
            <v>A</v>
          </cell>
          <cell r="AZ29" t="str">
            <v>A</v>
          </cell>
          <cell r="BA29" t="str">
            <v>A</v>
          </cell>
          <cell r="BB29" t="str">
            <v>A</v>
          </cell>
        </row>
        <row r="30">
          <cell r="N30" t="str">
            <v>B</v>
          </cell>
          <cell r="R30" t="str">
            <v>B</v>
          </cell>
          <cell r="V30" t="str">
            <v>B</v>
          </cell>
          <cell r="AH30" t="str">
            <v>B</v>
          </cell>
          <cell r="AL30" t="str">
            <v>A</v>
          </cell>
          <cell r="AP30" t="str">
            <v>B</v>
          </cell>
          <cell r="AZ30" t="str">
            <v>B</v>
          </cell>
          <cell r="BA30" t="str">
            <v>A</v>
          </cell>
          <cell r="BB30" t="str">
            <v>B</v>
          </cell>
        </row>
        <row r="31">
          <cell r="N31" t="str">
            <v>A</v>
          </cell>
          <cell r="R31" t="str">
            <v>A</v>
          </cell>
          <cell r="V31" t="str">
            <v>A</v>
          </cell>
          <cell r="AH31" t="str">
            <v>A</v>
          </cell>
          <cell r="AL31" t="str">
            <v>A</v>
          </cell>
          <cell r="AP31" t="str">
            <v>A</v>
          </cell>
          <cell r="AZ31" t="str">
            <v>A</v>
          </cell>
          <cell r="BA31" t="str">
            <v>A</v>
          </cell>
          <cell r="BB31" t="str">
            <v>A</v>
          </cell>
        </row>
        <row r="32">
          <cell r="N32" t="str">
            <v>B</v>
          </cell>
          <cell r="R32" t="str">
            <v>B</v>
          </cell>
          <cell r="V32" t="str">
            <v>A</v>
          </cell>
          <cell r="AH32" t="str">
            <v>A</v>
          </cell>
          <cell r="AL32" t="str">
            <v>B</v>
          </cell>
          <cell r="AP32" t="str">
            <v>A</v>
          </cell>
          <cell r="AZ32" t="str">
            <v>A</v>
          </cell>
          <cell r="BA32" t="str">
            <v>B</v>
          </cell>
          <cell r="BB32" t="str">
            <v>A</v>
          </cell>
        </row>
        <row r="33">
          <cell r="N33" t="str">
            <v>B</v>
          </cell>
          <cell r="R33" t="str">
            <v>A</v>
          </cell>
          <cell r="V33" t="str">
            <v>B</v>
          </cell>
          <cell r="AH33" t="str">
            <v>A</v>
          </cell>
          <cell r="AL33" t="str">
            <v>B</v>
          </cell>
          <cell r="AP33" t="str">
            <v>B</v>
          </cell>
          <cell r="AZ33" t="str">
            <v>A</v>
          </cell>
          <cell r="BA33" t="str">
            <v>A</v>
          </cell>
          <cell r="BB33" t="str">
            <v>B</v>
          </cell>
        </row>
        <row r="34">
          <cell r="N34" t="str">
            <v>A</v>
          </cell>
          <cell r="R34" t="str">
            <v>AD</v>
          </cell>
          <cell r="V34" t="str">
            <v>A</v>
          </cell>
          <cell r="AH34" t="str">
            <v>A</v>
          </cell>
          <cell r="AL34" t="str">
            <v>A</v>
          </cell>
          <cell r="AP34" t="str">
            <v>A</v>
          </cell>
          <cell r="AZ34" t="str">
            <v>A</v>
          </cell>
          <cell r="BA34" t="str">
            <v>A</v>
          </cell>
          <cell r="BB34" t="str">
            <v>A</v>
          </cell>
        </row>
        <row r="35">
          <cell r="N35" t="str">
            <v>A</v>
          </cell>
          <cell r="R35" t="str">
            <v>A</v>
          </cell>
          <cell r="V35" t="str">
            <v>A</v>
          </cell>
          <cell r="AH35" t="str">
            <v>A</v>
          </cell>
          <cell r="AL35" t="str">
            <v>A</v>
          </cell>
          <cell r="AP35" t="str">
            <v>A</v>
          </cell>
          <cell r="AZ35" t="str">
            <v>A</v>
          </cell>
          <cell r="BA35" t="str">
            <v>A</v>
          </cell>
          <cell r="BB35" t="str">
            <v>A</v>
          </cell>
        </row>
        <row r="36">
          <cell r="N36" t="str">
            <v>B</v>
          </cell>
          <cell r="R36" t="str">
            <v>B</v>
          </cell>
          <cell r="V36" t="str">
            <v>C</v>
          </cell>
          <cell r="AH36" t="str">
            <v>B</v>
          </cell>
          <cell r="AL36" t="str">
            <v>B</v>
          </cell>
          <cell r="AP36" t="str">
            <v>B</v>
          </cell>
          <cell r="AZ36" t="str">
            <v>B</v>
          </cell>
          <cell r="BA36" t="str">
            <v>B</v>
          </cell>
          <cell r="BB36" t="str">
            <v>B</v>
          </cell>
        </row>
        <row r="37">
          <cell r="N37" t="str">
            <v>B</v>
          </cell>
          <cell r="R37" t="str">
            <v>A</v>
          </cell>
          <cell r="V37" t="str">
            <v>B</v>
          </cell>
          <cell r="AH37" t="str">
            <v>A</v>
          </cell>
          <cell r="AL37" t="str">
            <v>A</v>
          </cell>
          <cell r="AP37" t="str">
            <v>B</v>
          </cell>
          <cell r="AZ37" t="str">
            <v>A</v>
          </cell>
          <cell r="BA37" t="str">
            <v>A</v>
          </cell>
          <cell r="BB37" t="str">
            <v>B</v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7">
        <row r="13">
          <cell r="N13" t="str">
            <v>A</v>
          </cell>
          <cell r="R13" t="str">
            <v>A</v>
          </cell>
          <cell r="AH13" t="str">
            <v>A</v>
          </cell>
          <cell r="AL13" t="str">
            <v>A</v>
          </cell>
          <cell r="AZ13" t="str">
            <v>A</v>
          </cell>
          <cell r="BA13" t="str">
            <v>A</v>
          </cell>
        </row>
        <row r="14">
          <cell r="N14" t="str">
            <v>A</v>
          </cell>
          <cell r="R14" t="str">
            <v>A</v>
          </cell>
          <cell r="AH14" t="str">
            <v>A</v>
          </cell>
          <cell r="AL14" t="str">
            <v>A</v>
          </cell>
          <cell r="AZ14" t="str">
            <v>A</v>
          </cell>
          <cell r="BA14" t="str">
            <v>A</v>
          </cell>
        </row>
        <row r="15">
          <cell r="N15" t="str">
            <v>A</v>
          </cell>
          <cell r="R15" t="str">
            <v>A</v>
          </cell>
          <cell r="AH15" t="str">
            <v>A</v>
          </cell>
          <cell r="AL15" t="str">
            <v>AD</v>
          </cell>
          <cell r="AZ15" t="str">
            <v>A</v>
          </cell>
          <cell r="BA15" t="str">
            <v>AD</v>
          </cell>
        </row>
        <row r="16">
          <cell r="N16" t="str">
            <v>A</v>
          </cell>
          <cell r="R16" t="str">
            <v>A</v>
          </cell>
          <cell r="AH16" t="str">
            <v>A</v>
          </cell>
          <cell r="AL16" t="str">
            <v>AD</v>
          </cell>
          <cell r="AZ16" t="str">
            <v>A</v>
          </cell>
          <cell r="BA16" t="str">
            <v>AD</v>
          </cell>
        </row>
        <row r="17">
          <cell r="N17" t="str">
            <v>A</v>
          </cell>
          <cell r="R17" t="str">
            <v>A</v>
          </cell>
          <cell r="AH17" t="str">
            <v>A</v>
          </cell>
          <cell r="AL17" t="str">
            <v>A</v>
          </cell>
          <cell r="AZ17" t="str">
            <v>A</v>
          </cell>
          <cell r="BA17" t="str">
            <v>A</v>
          </cell>
        </row>
        <row r="18">
          <cell r="N18" t="str">
            <v>A</v>
          </cell>
          <cell r="R18" t="str">
            <v>A</v>
          </cell>
          <cell r="AH18" t="str">
            <v>A</v>
          </cell>
          <cell r="AL18" t="str">
            <v>A</v>
          </cell>
          <cell r="AZ18" t="str">
            <v>A</v>
          </cell>
          <cell r="BA18" t="str">
            <v>A</v>
          </cell>
        </row>
        <row r="19">
          <cell r="N19" t="str">
            <v>A</v>
          </cell>
          <cell r="R19" t="str">
            <v>A</v>
          </cell>
          <cell r="AH19" t="str">
            <v>A</v>
          </cell>
          <cell r="AL19" t="str">
            <v>A</v>
          </cell>
          <cell r="AZ19" t="str">
            <v>A</v>
          </cell>
          <cell r="BA19" t="str">
            <v>A</v>
          </cell>
        </row>
        <row r="20">
          <cell r="N20" t="str">
            <v>A</v>
          </cell>
          <cell r="R20" t="str">
            <v>A</v>
          </cell>
          <cell r="AH20" t="str">
            <v>A</v>
          </cell>
          <cell r="AL20" t="str">
            <v>A</v>
          </cell>
          <cell r="AZ20" t="str">
            <v>A</v>
          </cell>
          <cell r="BA20" t="str">
            <v>A</v>
          </cell>
        </row>
        <row r="21">
          <cell r="N21" t="str">
            <v>A</v>
          </cell>
          <cell r="R21" t="str">
            <v>A</v>
          </cell>
          <cell r="AH21" t="str">
            <v>A</v>
          </cell>
          <cell r="AL21" t="str">
            <v>A</v>
          </cell>
          <cell r="AZ21" t="str">
            <v>A</v>
          </cell>
          <cell r="BA21" t="str">
            <v>A</v>
          </cell>
        </row>
        <row r="22">
          <cell r="N22" t="str">
            <v>A</v>
          </cell>
          <cell r="R22" t="str">
            <v>A</v>
          </cell>
          <cell r="AH22" t="str">
            <v>A</v>
          </cell>
          <cell r="AL22" t="str">
            <v>A</v>
          </cell>
          <cell r="AZ22" t="str">
            <v>A</v>
          </cell>
          <cell r="BA22" t="str">
            <v>A</v>
          </cell>
        </row>
        <row r="23">
          <cell r="N23" t="str">
            <v>A</v>
          </cell>
          <cell r="R23" t="str">
            <v>A</v>
          </cell>
          <cell r="AH23" t="str">
            <v>A</v>
          </cell>
          <cell r="AL23" t="str">
            <v>A</v>
          </cell>
          <cell r="AZ23" t="str">
            <v>A</v>
          </cell>
          <cell r="BA23" t="str">
            <v>A</v>
          </cell>
        </row>
        <row r="24">
          <cell r="N24" t="str">
            <v>A</v>
          </cell>
          <cell r="R24" t="str">
            <v>A</v>
          </cell>
          <cell r="AH24" t="str">
            <v>A</v>
          </cell>
          <cell r="AL24" t="str">
            <v>A</v>
          </cell>
          <cell r="AZ24" t="str">
            <v>A</v>
          </cell>
          <cell r="BA24" t="str">
            <v>A</v>
          </cell>
        </row>
        <row r="25">
          <cell r="N25" t="str">
            <v>A</v>
          </cell>
          <cell r="R25" t="str">
            <v>A</v>
          </cell>
          <cell r="AH25" t="str">
            <v>A</v>
          </cell>
          <cell r="AL25" t="str">
            <v>A</v>
          </cell>
          <cell r="AZ25" t="str">
            <v>A</v>
          </cell>
          <cell r="BA25" t="str">
            <v>A</v>
          </cell>
        </row>
        <row r="26">
          <cell r="N26" t="str">
            <v>A</v>
          </cell>
          <cell r="R26" t="str">
            <v>A</v>
          </cell>
          <cell r="AH26" t="str">
            <v>A</v>
          </cell>
          <cell r="AL26" t="str">
            <v>A</v>
          </cell>
          <cell r="AZ26" t="str">
            <v>A</v>
          </cell>
          <cell r="BA26" t="str">
            <v>A</v>
          </cell>
        </row>
        <row r="27">
          <cell r="N27" t="str">
            <v>A</v>
          </cell>
          <cell r="R27" t="str">
            <v>A</v>
          </cell>
          <cell r="AH27" t="str">
            <v>A</v>
          </cell>
          <cell r="AL27" t="str">
            <v>A</v>
          </cell>
          <cell r="AZ27" t="str">
            <v>A</v>
          </cell>
          <cell r="BA27" t="str">
            <v>A</v>
          </cell>
        </row>
        <row r="28">
          <cell r="N28" t="str">
            <v>A</v>
          </cell>
          <cell r="R28" t="str">
            <v>B</v>
          </cell>
          <cell r="AH28" t="str">
            <v>A</v>
          </cell>
          <cell r="AL28" t="str">
            <v>B</v>
          </cell>
          <cell r="AZ28" t="str">
            <v>A</v>
          </cell>
          <cell r="BA28" t="str">
            <v>B</v>
          </cell>
        </row>
        <row r="29">
          <cell r="N29" t="str">
            <v>A</v>
          </cell>
          <cell r="R29" t="str">
            <v>A</v>
          </cell>
          <cell r="AH29" t="str">
            <v>A</v>
          </cell>
          <cell r="AL29" t="str">
            <v>A</v>
          </cell>
          <cell r="AZ29" t="str">
            <v>A</v>
          </cell>
          <cell r="BA29" t="str">
            <v>A</v>
          </cell>
        </row>
        <row r="30">
          <cell r="N30" t="str">
            <v>A</v>
          </cell>
          <cell r="R30" t="str">
            <v>A</v>
          </cell>
          <cell r="AH30" t="str">
            <v>A</v>
          </cell>
          <cell r="AL30" t="str">
            <v>A</v>
          </cell>
          <cell r="AZ30" t="str">
            <v>A</v>
          </cell>
          <cell r="BA30" t="str">
            <v>A</v>
          </cell>
        </row>
        <row r="31">
          <cell r="N31" t="str">
            <v>A</v>
          </cell>
          <cell r="R31" t="str">
            <v>A</v>
          </cell>
          <cell r="AH31" t="str">
            <v>A</v>
          </cell>
          <cell r="AL31" t="str">
            <v>AD</v>
          </cell>
          <cell r="AZ31" t="str">
            <v>A</v>
          </cell>
          <cell r="BA31" t="str">
            <v>AD</v>
          </cell>
        </row>
        <row r="32">
          <cell r="N32" t="str">
            <v>A</v>
          </cell>
          <cell r="R32" t="str">
            <v>A</v>
          </cell>
          <cell r="AH32" t="str">
            <v>A</v>
          </cell>
          <cell r="AL32" t="str">
            <v>A</v>
          </cell>
          <cell r="AZ32" t="str">
            <v>A</v>
          </cell>
          <cell r="BA32" t="str">
            <v>A</v>
          </cell>
        </row>
        <row r="33">
          <cell r="N33" t="str">
            <v>A</v>
          </cell>
          <cell r="R33" t="str">
            <v>A</v>
          </cell>
          <cell r="AH33" t="str">
            <v>A</v>
          </cell>
          <cell r="AL33" t="str">
            <v>A</v>
          </cell>
          <cell r="AZ33" t="str">
            <v>A</v>
          </cell>
          <cell r="BA33" t="str">
            <v>A</v>
          </cell>
        </row>
        <row r="34">
          <cell r="N34" t="str">
            <v>A</v>
          </cell>
          <cell r="R34" t="str">
            <v>A</v>
          </cell>
          <cell r="AH34" t="str">
            <v>A</v>
          </cell>
          <cell r="AL34" t="str">
            <v>AD</v>
          </cell>
          <cell r="AZ34" t="str">
            <v>A</v>
          </cell>
          <cell r="BA34" t="str">
            <v>AD</v>
          </cell>
        </row>
        <row r="35">
          <cell r="N35" t="str">
            <v>A</v>
          </cell>
          <cell r="R35" t="str">
            <v>A</v>
          </cell>
          <cell r="AH35" t="str">
            <v>A</v>
          </cell>
          <cell r="AL35" t="str">
            <v>AD</v>
          </cell>
          <cell r="AZ35" t="str">
            <v>A</v>
          </cell>
          <cell r="BA35" t="str">
            <v>AD</v>
          </cell>
        </row>
        <row r="36">
          <cell r="N36" t="str">
            <v>A</v>
          </cell>
          <cell r="R36" t="str">
            <v>A</v>
          </cell>
          <cell r="AH36" t="str">
            <v>A</v>
          </cell>
          <cell r="AL36" t="str">
            <v>B</v>
          </cell>
          <cell r="AZ36" t="str">
            <v>A</v>
          </cell>
          <cell r="BA36" t="str">
            <v>A</v>
          </cell>
        </row>
        <row r="37">
          <cell r="N37" t="str">
            <v>A</v>
          </cell>
          <cell r="R37" t="str">
            <v>A</v>
          </cell>
          <cell r="AH37" t="str">
            <v>A</v>
          </cell>
          <cell r="AL37" t="str">
            <v>A</v>
          </cell>
          <cell r="AZ37" t="str">
            <v>A</v>
          </cell>
          <cell r="BA37" t="str">
            <v>A</v>
          </cell>
        </row>
        <row r="38">
          <cell r="N38" t="str">
            <v/>
          </cell>
          <cell r="R38" t="str">
            <v/>
          </cell>
          <cell r="AH38" t="str">
            <v/>
          </cell>
          <cell r="AL38" t="str">
            <v/>
          </cell>
          <cell r="AZ38" t="str">
            <v/>
          </cell>
          <cell r="BA38" t="str">
            <v/>
          </cell>
        </row>
        <row r="39">
          <cell r="N39" t="str">
            <v/>
          </cell>
          <cell r="R39" t="str">
            <v/>
          </cell>
          <cell r="AH39" t="str">
            <v/>
          </cell>
          <cell r="AL39" t="str">
            <v/>
          </cell>
          <cell r="AZ39" t="str">
            <v/>
          </cell>
          <cell r="BA39" t="str">
            <v/>
          </cell>
        </row>
        <row r="40">
          <cell r="N40" t="str">
            <v/>
          </cell>
          <cell r="R40" t="str">
            <v/>
          </cell>
          <cell r="AH40" t="str">
            <v/>
          </cell>
          <cell r="AL40" t="str">
            <v/>
          </cell>
          <cell r="AZ40" t="str">
            <v/>
          </cell>
          <cell r="BA40" t="str">
            <v/>
          </cell>
        </row>
      </sheetData>
      <sheetData sheetId="8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B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B</v>
          </cell>
          <cell r="AZ21" t="str">
            <v>A</v>
          </cell>
        </row>
        <row r="22">
          <cell r="N22" t="str">
            <v>A</v>
          </cell>
          <cell r="AH22" t="str">
            <v>A</v>
          </cell>
          <cell r="AZ22" t="str">
            <v>A</v>
          </cell>
        </row>
        <row r="23">
          <cell r="N23" t="str">
            <v>A</v>
          </cell>
          <cell r="AH23" t="str">
            <v>A</v>
          </cell>
          <cell r="AZ23" t="str">
            <v>A</v>
          </cell>
        </row>
        <row r="24">
          <cell r="N24" t="str">
            <v>A</v>
          </cell>
          <cell r="AH24" t="str">
            <v>A</v>
          </cell>
          <cell r="AZ24" t="str">
            <v>A</v>
          </cell>
        </row>
        <row r="25">
          <cell r="N25" t="str">
            <v>A</v>
          </cell>
          <cell r="AH25" t="str">
            <v>A</v>
          </cell>
          <cell r="AZ25" t="str">
            <v>A</v>
          </cell>
        </row>
        <row r="26">
          <cell r="N26" t="str">
            <v>A</v>
          </cell>
          <cell r="AH26" t="str">
            <v>A</v>
          </cell>
          <cell r="AZ26" t="str">
            <v>A</v>
          </cell>
        </row>
        <row r="27">
          <cell r="N27" t="str">
            <v>A</v>
          </cell>
          <cell r="AH27" t="str">
            <v>A</v>
          </cell>
          <cell r="AZ27" t="str">
            <v>A</v>
          </cell>
        </row>
        <row r="28">
          <cell r="N28" t="str">
            <v>A</v>
          </cell>
          <cell r="AH28" t="str">
            <v>B</v>
          </cell>
          <cell r="AZ28" t="str">
            <v>A</v>
          </cell>
        </row>
        <row r="29">
          <cell r="N29" t="str">
            <v>A</v>
          </cell>
          <cell r="AH29" t="str">
            <v>A</v>
          </cell>
          <cell r="AZ29" t="str">
            <v>A</v>
          </cell>
        </row>
        <row r="30">
          <cell r="N30" t="str">
            <v>A</v>
          </cell>
          <cell r="AH30" t="str">
            <v>A</v>
          </cell>
          <cell r="AZ30" t="str">
            <v>A</v>
          </cell>
        </row>
        <row r="31">
          <cell r="N31" t="str">
            <v>A</v>
          </cell>
          <cell r="AH31" t="str">
            <v>A</v>
          </cell>
          <cell r="AZ31" t="str">
            <v>A</v>
          </cell>
        </row>
        <row r="32">
          <cell r="N32" t="str">
            <v>A</v>
          </cell>
          <cell r="AH32" t="str">
            <v>A</v>
          </cell>
          <cell r="AZ32" t="str">
            <v>A</v>
          </cell>
        </row>
        <row r="33">
          <cell r="N33" t="str">
            <v>A</v>
          </cell>
          <cell r="AH33" t="str">
            <v>A</v>
          </cell>
          <cell r="AZ33" t="str">
            <v>A</v>
          </cell>
        </row>
        <row r="34">
          <cell r="N34" t="str">
            <v>A</v>
          </cell>
          <cell r="AH34" t="str">
            <v>A</v>
          </cell>
          <cell r="AZ34" t="str">
            <v>A</v>
          </cell>
        </row>
        <row r="35">
          <cell r="N35" t="str">
            <v>A</v>
          </cell>
          <cell r="AH35" t="str">
            <v>A</v>
          </cell>
          <cell r="AZ35" t="str">
            <v>A</v>
          </cell>
        </row>
        <row r="36">
          <cell r="N36" t="str">
            <v>A</v>
          </cell>
          <cell r="AH36" t="str">
            <v>A</v>
          </cell>
          <cell r="AZ36" t="str">
            <v>A</v>
          </cell>
        </row>
        <row r="37">
          <cell r="N37" t="str">
            <v>A</v>
          </cell>
          <cell r="AH37" t="str">
            <v>A</v>
          </cell>
          <cell r="AZ37" t="str">
            <v>A</v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9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A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A</v>
          </cell>
          <cell r="AZ21" t="str">
            <v>A</v>
          </cell>
        </row>
        <row r="22">
          <cell r="N22" t="str">
            <v>A</v>
          </cell>
          <cell r="AH22" t="str">
            <v>A</v>
          </cell>
          <cell r="AZ22" t="str">
            <v>A</v>
          </cell>
        </row>
        <row r="23">
          <cell r="N23" t="str">
            <v>A</v>
          </cell>
          <cell r="AH23" t="str">
            <v>A</v>
          </cell>
          <cell r="AZ23" t="str">
            <v>A</v>
          </cell>
        </row>
        <row r="24">
          <cell r="N24" t="str">
            <v>A</v>
          </cell>
          <cell r="AH24" t="str">
            <v>A</v>
          </cell>
          <cell r="AZ24" t="str">
            <v>A</v>
          </cell>
        </row>
        <row r="25">
          <cell r="N25" t="str">
            <v>A</v>
          </cell>
          <cell r="AH25" t="str">
            <v>A</v>
          </cell>
          <cell r="AZ25" t="str">
            <v>A</v>
          </cell>
        </row>
        <row r="26">
          <cell r="N26" t="str">
            <v>A</v>
          </cell>
          <cell r="AH26" t="str">
            <v>A</v>
          </cell>
          <cell r="AZ26" t="str">
            <v>A</v>
          </cell>
        </row>
        <row r="27">
          <cell r="N27" t="str">
            <v>A</v>
          </cell>
          <cell r="AH27" t="str">
            <v>A</v>
          </cell>
          <cell r="AZ27" t="str">
            <v>A</v>
          </cell>
        </row>
        <row r="28">
          <cell r="N28" t="str">
            <v>A</v>
          </cell>
          <cell r="AH28" t="str">
            <v>A</v>
          </cell>
          <cell r="AZ28" t="str">
            <v>A</v>
          </cell>
        </row>
        <row r="29">
          <cell r="N29" t="str">
            <v>A</v>
          </cell>
          <cell r="AH29" t="str">
            <v>A</v>
          </cell>
          <cell r="AZ29" t="str">
            <v>A</v>
          </cell>
        </row>
        <row r="30">
          <cell r="N30" t="str">
            <v>A</v>
          </cell>
          <cell r="AH30" t="str">
            <v>A</v>
          </cell>
          <cell r="AZ30" t="str">
            <v>A</v>
          </cell>
        </row>
        <row r="31">
          <cell r="N31" t="str">
            <v>A</v>
          </cell>
          <cell r="AH31" t="str">
            <v>A</v>
          </cell>
          <cell r="AZ31" t="str">
            <v>A</v>
          </cell>
        </row>
        <row r="32">
          <cell r="N32" t="str">
            <v>A</v>
          </cell>
          <cell r="AH32" t="str">
            <v>A</v>
          </cell>
          <cell r="AZ32" t="str">
            <v>A</v>
          </cell>
        </row>
        <row r="33">
          <cell r="N33" t="str">
            <v>A</v>
          </cell>
          <cell r="AH33" t="str">
            <v>A</v>
          </cell>
          <cell r="AZ33" t="str">
            <v>A</v>
          </cell>
        </row>
        <row r="34">
          <cell r="N34" t="str">
            <v>A</v>
          </cell>
          <cell r="AH34" t="str">
            <v>A</v>
          </cell>
          <cell r="AZ34" t="str">
            <v>A</v>
          </cell>
        </row>
        <row r="35">
          <cell r="N35" t="str">
            <v>A</v>
          </cell>
          <cell r="AH35" t="str">
            <v>A</v>
          </cell>
          <cell r="AZ35" t="str">
            <v>A</v>
          </cell>
        </row>
        <row r="36">
          <cell r="N36" t="str">
            <v>A</v>
          </cell>
          <cell r="AH36" t="str">
            <v>A</v>
          </cell>
          <cell r="AZ36" t="str">
            <v>A</v>
          </cell>
        </row>
        <row r="37">
          <cell r="N37" t="str">
            <v>A</v>
          </cell>
          <cell r="AH37" t="str">
            <v>A</v>
          </cell>
          <cell r="AZ37" t="str">
            <v>A</v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10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A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A</v>
          </cell>
          <cell r="AZ21" t="str">
            <v>A</v>
          </cell>
        </row>
        <row r="22">
          <cell r="N22" t="str">
            <v>A</v>
          </cell>
          <cell r="AH22" t="str">
            <v>A</v>
          </cell>
          <cell r="AZ22" t="str">
            <v>A</v>
          </cell>
        </row>
        <row r="23">
          <cell r="N23" t="str">
            <v>A</v>
          </cell>
          <cell r="AH23" t="str">
            <v>A</v>
          </cell>
          <cell r="AZ23" t="str">
            <v>A</v>
          </cell>
        </row>
        <row r="24">
          <cell r="N24" t="str">
            <v>A</v>
          </cell>
          <cell r="AH24" t="str">
            <v>A</v>
          </cell>
          <cell r="AZ24" t="str">
            <v>A</v>
          </cell>
        </row>
        <row r="25">
          <cell r="N25" t="str">
            <v>A</v>
          </cell>
          <cell r="AH25" t="str">
            <v>A</v>
          </cell>
          <cell r="AZ25" t="str">
            <v>A</v>
          </cell>
        </row>
        <row r="26">
          <cell r="N26" t="str">
            <v>A</v>
          </cell>
          <cell r="AH26" t="str">
            <v>A</v>
          </cell>
          <cell r="AZ26" t="str">
            <v>A</v>
          </cell>
        </row>
        <row r="27">
          <cell r="N27" t="str">
            <v>A</v>
          </cell>
          <cell r="AH27" t="str">
            <v>A</v>
          </cell>
          <cell r="AZ27" t="str">
            <v>A</v>
          </cell>
        </row>
        <row r="28">
          <cell r="N28" t="str">
            <v>A</v>
          </cell>
          <cell r="AH28" t="str">
            <v>A</v>
          </cell>
          <cell r="AZ28" t="str">
            <v>A</v>
          </cell>
        </row>
        <row r="29">
          <cell r="N29" t="str">
            <v>A</v>
          </cell>
          <cell r="AH29" t="str">
            <v>A</v>
          </cell>
          <cell r="AZ29" t="str">
            <v>A</v>
          </cell>
        </row>
        <row r="30">
          <cell r="N30" t="str">
            <v>A</v>
          </cell>
          <cell r="AH30" t="str">
            <v>A</v>
          </cell>
          <cell r="AZ30" t="str">
            <v>A</v>
          </cell>
        </row>
        <row r="31">
          <cell r="N31" t="str">
            <v>A</v>
          </cell>
          <cell r="AH31" t="str">
            <v>A</v>
          </cell>
          <cell r="AZ31" t="str">
            <v>A</v>
          </cell>
        </row>
        <row r="32">
          <cell r="N32" t="str">
            <v>A</v>
          </cell>
          <cell r="AH32" t="str">
            <v>A</v>
          </cell>
          <cell r="AZ32" t="str">
            <v>A</v>
          </cell>
        </row>
        <row r="33">
          <cell r="N33" t="str">
            <v>A</v>
          </cell>
          <cell r="AH33" t="str">
            <v>A</v>
          </cell>
          <cell r="AZ33" t="str">
            <v>A</v>
          </cell>
        </row>
        <row r="34">
          <cell r="N34" t="str">
            <v>A</v>
          </cell>
          <cell r="AH34" t="str">
            <v>A</v>
          </cell>
          <cell r="AZ34" t="str">
            <v>A</v>
          </cell>
        </row>
        <row r="35">
          <cell r="N35" t="str">
            <v>A</v>
          </cell>
          <cell r="AH35" t="str">
            <v>A</v>
          </cell>
          <cell r="AZ35" t="str">
            <v>A</v>
          </cell>
        </row>
        <row r="36">
          <cell r="N36" t="str">
            <v>A</v>
          </cell>
          <cell r="AH36" t="str">
            <v>A</v>
          </cell>
          <cell r="AZ36" t="str">
            <v>A</v>
          </cell>
        </row>
        <row r="37">
          <cell r="N37" t="str">
            <v>A</v>
          </cell>
          <cell r="AH37" t="str">
            <v>A</v>
          </cell>
          <cell r="AZ37" t="str">
            <v>A</v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11">
        <row r="12">
          <cell r="I12" t="str">
            <v>X</v>
          </cell>
          <cell r="L12" t="str">
            <v>X</v>
          </cell>
          <cell r="O12" t="str">
            <v>X</v>
          </cell>
          <cell r="R12" t="str">
            <v>X</v>
          </cell>
          <cell r="U12" t="str">
            <v>X</v>
          </cell>
          <cell r="X12" t="str">
            <v>X</v>
          </cell>
          <cell r="AA12" t="str">
            <v>X</v>
          </cell>
          <cell r="AD12" t="str">
            <v>X</v>
          </cell>
          <cell r="AG12" t="str">
            <v>X</v>
          </cell>
          <cell r="AJ12" t="str">
            <v>A</v>
          </cell>
          <cell r="AL12" t="str">
            <v>A</v>
          </cell>
          <cell r="AM12" t="str">
            <v>A</v>
          </cell>
          <cell r="AN12" t="str">
            <v>Mantiene un rendimiento satisfactorio en todas las competencias evaluadas, demostrando responsabilidad, compromiso y un adecuado desarrollo de sus aprendizajes.</v>
          </cell>
        </row>
        <row r="13">
          <cell r="I13" t="str">
            <v>X</v>
          </cell>
          <cell r="M13" t="str">
            <v>X</v>
          </cell>
          <cell r="O13" t="str">
            <v>X</v>
          </cell>
          <cell r="R13" t="str">
            <v>X</v>
          </cell>
          <cell r="U13" t="str">
            <v>X</v>
          </cell>
          <cell r="X13" t="str">
            <v>X</v>
          </cell>
          <cell r="AA13" t="str">
            <v>X</v>
          </cell>
          <cell r="AD13" t="str">
            <v>X</v>
          </cell>
          <cell r="AG13" t="str">
            <v>X</v>
          </cell>
          <cell r="AJ13" t="str">
            <v>A</v>
          </cell>
          <cell r="AL13" t="str">
            <v>A</v>
          </cell>
          <cell r="AM13" t="str">
            <v>A</v>
          </cell>
          <cell r="AN13" t="str">
            <v>Mantiene un rendimiento satisfactorio en todas las competencias evaluadas, demostrando responsabilidad, compromiso y un adecuado desarrollo de sus aprendizajes.</v>
          </cell>
        </row>
        <row r="14">
          <cell r="I14" t="str">
            <v>X</v>
          </cell>
          <cell r="M14" t="str">
            <v>X</v>
          </cell>
          <cell r="O14" t="str">
            <v>X</v>
          </cell>
          <cell r="S14" t="str">
            <v>X</v>
          </cell>
          <cell r="U14" t="str">
            <v>X</v>
          </cell>
          <cell r="X14" t="str">
            <v>X</v>
          </cell>
          <cell r="AA14" t="str">
            <v>X</v>
          </cell>
          <cell r="AD14" t="str">
            <v>X</v>
          </cell>
          <cell r="AG14" t="str">
            <v>X</v>
          </cell>
          <cell r="AJ14" t="str">
            <v>A</v>
          </cell>
          <cell r="AL14" t="str">
            <v>A</v>
          </cell>
          <cell r="AM14" t="str">
            <v>A</v>
          </cell>
          <cell r="AN14" t="str">
            <v>Ha logrado avances importantes en varias competencias; sin embargo, aún requiere fortalecer algunos aprendizajes para alcanzar un desempeño más uniforme y seguro.</v>
          </cell>
        </row>
        <row r="15">
          <cell r="I15" t="str">
            <v>X</v>
          </cell>
          <cell r="L15" t="str">
            <v>X</v>
          </cell>
          <cell r="O15" t="str">
            <v>X</v>
          </cell>
          <cell r="R15" t="str">
            <v>X</v>
          </cell>
          <cell r="U15" t="str">
            <v>X</v>
          </cell>
          <cell r="X15" t="str">
            <v>X</v>
          </cell>
          <cell r="AA15" t="str">
            <v>X</v>
          </cell>
          <cell r="AD15" t="str">
            <v>X</v>
          </cell>
          <cell r="AG15" t="str">
            <v>X</v>
          </cell>
          <cell r="AJ15" t="str">
            <v>A</v>
          </cell>
          <cell r="AL15" t="str">
            <v>A</v>
          </cell>
          <cell r="AM15" t="str">
            <v>A</v>
          </cell>
          <cell r="AN15" t="str">
            <v>Evidencia un desempeño destacado en diversas competencias, alcanzando con solvencia los logros esperados y sobresaliendo por su participación y dedicación constante.</v>
          </cell>
        </row>
        <row r="16">
          <cell r="I16" t="str">
            <v>X</v>
          </cell>
          <cell r="L16" t="str">
            <v>X</v>
          </cell>
          <cell r="P16" t="str">
            <v>X</v>
          </cell>
          <cell r="R16" t="str">
            <v>X</v>
          </cell>
          <cell r="U16" t="str">
            <v>X</v>
          </cell>
          <cell r="X16" t="str">
            <v>X</v>
          </cell>
          <cell r="AA16" t="str">
            <v>X</v>
          </cell>
          <cell r="AD16" t="str">
            <v>X</v>
          </cell>
          <cell r="AH16" t="str">
            <v>X</v>
          </cell>
          <cell r="AJ16" t="str">
            <v>A</v>
          </cell>
          <cell r="AL16" t="str">
            <v>A</v>
          </cell>
          <cell r="AM16" t="str">
            <v>A</v>
          </cell>
          <cell r="AN16" t="str">
            <v>Requiere mayor esfuerzo y compromiso en sus actividades escolares, ya que la mayoría de competencias aún se encuentran en proceso y demandan atención continua.</v>
          </cell>
        </row>
        <row r="17">
          <cell r="I17" t="str">
            <v>X</v>
          </cell>
          <cell r="M17" t="str">
            <v>X</v>
          </cell>
          <cell r="O17" t="str">
            <v>X</v>
          </cell>
          <cell r="S17" t="str">
            <v>X</v>
          </cell>
          <cell r="U17" t="str">
            <v>X</v>
          </cell>
          <cell r="X17" t="str">
            <v>X</v>
          </cell>
          <cell r="AA17" t="str">
            <v>X</v>
          </cell>
          <cell r="AD17" t="str">
            <v>X</v>
          </cell>
          <cell r="AG17" t="str">
            <v>X</v>
          </cell>
          <cell r="AJ17" t="str">
            <v>A</v>
          </cell>
          <cell r="AL17" t="str">
            <v>A</v>
          </cell>
          <cell r="AM17" t="str">
            <v>A</v>
          </cell>
          <cell r="AN17" t="str">
            <v>Ha logrado avances importantes en varias competencias; sin embargo, aún requiere fortalecer algunos aprendizajes para alcanzar un desempeño más uniforme y seguro.</v>
          </cell>
        </row>
        <row r="18">
          <cell r="I18" t="str">
            <v>X</v>
          </cell>
          <cell r="L18" t="str">
            <v>X</v>
          </cell>
          <cell r="O18" t="str">
            <v>X</v>
          </cell>
          <cell r="R18" t="str">
            <v>X</v>
          </cell>
          <cell r="U18" t="str">
            <v>X</v>
          </cell>
          <cell r="X18" t="str">
            <v>X</v>
          </cell>
          <cell r="AA18" t="str">
            <v>X</v>
          </cell>
          <cell r="AD18" t="str">
            <v>X</v>
          </cell>
          <cell r="AG18" t="str">
            <v>X</v>
          </cell>
          <cell r="AJ18" t="str">
            <v>A</v>
          </cell>
          <cell r="AL18" t="str">
            <v>A</v>
          </cell>
          <cell r="AM18" t="str">
            <v>A</v>
          </cell>
          <cell r="AN18" t="str">
            <v>Mantiene un rendimiento satisfactorio en todas las competencias evaluadas, demostrando responsabilidad, compromiso y un adecuado desarrollo de sus aprendizajes.</v>
          </cell>
        </row>
        <row r="19">
          <cell r="I19" t="str">
            <v>X</v>
          </cell>
          <cell r="L19" t="str">
            <v>X</v>
          </cell>
          <cell r="O19" t="str">
            <v>X</v>
          </cell>
          <cell r="R19" t="str">
            <v>X</v>
          </cell>
          <cell r="U19" t="str">
            <v>X</v>
          </cell>
          <cell r="X19" t="str">
            <v>X</v>
          </cell>
          <cell r="AA19" t="str">
            <v>X</v>
          </cell>
          <cell r="AD19" t="str">
            <v>X</v>
          </cell>
          <cell r="AH19" t="str">
            <v>X</v>
          </cell>
          <cell r="AJ19" t="str">
            <v>A</v>
          </cell>
          <cell r="AL19" t="str">
            <v>A</v>
          </cell>
          <cell r="AM19" t="str">
            <v>A</v>
          </cell>
          <cell r="AN19" t="str">
            <v>Ha logrado avances importantes en varias competencias; sin embargo, aún requiere fortalecer algunos aprendizajes para alcanzar un desempeño más uniforme y seguro.</v>
          </cell>
        </row>
        <row r="20">
          <cell r="I20" t="str">
            <v>X</v>
          </cell>
          <cell r="L20" t="str">
            <v>X</v>
          </cell>
          <cell r="O20" t="str">
            <v>X</v>
          </cell>
          <cell r="R20" t="str">
            <v>X</v>
          </cell>
          <cell r="U20" t="str">
            <v>X</v>
          </cell>
          <cell r="X20" t="str">
            <v>X</v>
          </cell>
          <cell r="AA20" t="str">
            <v>X</v>
          </cell>
          <cell r="AD20" t="str">
            <v>X</v>
          </cell>
          <cell r="AH20" t="str">
            <v>X</v>
          </cell>
          <cell r="AJ20" t="str">
            <v>A</v>
          </cell>
          <cell r="AL20" t="str">
            <v>A</v>
          </cell>
          <cell r="AM20" t="str">
            <v>A</v>
          </cell>
          <cell r="AN20" t="str">
            <v>Ha logrado avances importantes en varias competencias; sin embargo, aún requiere fortalecer algunos aprendizajes para alcanzar un desempeño más uniforme y seguro.</v>
          </cell>
        </row>
        <row r="21">
          <cell r="J21" t="str">
            <v>X</v>
          </cell>
          <cell r="M21" t="str">
            <v>X</v>
          </cell>
          <cell r="P21" t="str">
            <v>X</v>
          </cell>
          <cell r="S21" t="str">
            <v>X</v>
          </cell>
          <cell r="U21" t="str">
            <v>X</v>
          </cell>
          <cell r="X21" t="str">
            <v>X</v>
          </cell>
          <cell r="AA21" t="str">
            <v>X</v>
          </cell>
          <cell r="AD21" t="str">
            <v>X</v>
          </cell>
          <cell r="AG21" t="str">
            <v>X</v>
          </cell>
          <cell r="AJ21" t="str">
            <v>A</v>
          </cell>
          <cell r="AL21" t="str">
            <v>A</v>
          </cell>
          <cell r="AM21" t="str">
            <v>A</v>
          </cell>
          <cell r="AN21" t="str">
            <v>Requiere mayor esfuerzo y compromiso en sus actividades escolares, ya que la mayoría de competencias aún se encuentran en proceso y demandan atención continua.</v>
          </cell>
        </row>
        <row r="22">
          <cell r="I22" t="str">
            <v>X</v>
          </cell>
          <cell r="L22" t="str">
            <v>X</v>
          </cell>
          <cell r="O22" t="str">
            <v>X</v>
          </cell>
          <cell r="R22" t="str">
            <v>X</v>
          </cell>
          <cell r="U22" t="str">
            <v>X</v>
          </cell>
          <cell r="X22" t="str">
            <v>X</v>
          </cell>
          <cell r="AA22" t="str">
            <v>X</v>
          </cell>
          <cell r="AD22" t="str">
            <v>X</v>
          </cell>
          <cell r="AG22" t="str">
            <v>X</v>
          </cell>
          <cell r="AJ22" t="str">
            <v>A</v>
          </cell>
          <cell r="AL22" t="str">
            <v>A</v>
          </cell>
          <cell r="AM22" t="str">
            <v>A</v>
          </cell>
          <cell r="AN22" t="str">
            <v>Mantiene un rendimiento satisfactorio en todas las competencias evaluadas, demostrando responsabilidad, compromiso y un adecuado desarrollo de sus aprendizajes.</v>
          </cell>
        </row>
        <row r="23">
          <cell r="I23" t="str">
            <v>X</v>
          </cell>
          <cell r="L23" t="str">
            <v>X</v>
          </cell>
          <cell r="O23" t="str">
            <v>X</v>
          </cell>
          <cell r="R23" t="str">
            <v>X</v>
          </cell>
          <cell r="U23" t="str">
            <v>X</v>
          </cell>
          <cell r="X23" t="str">
            <v>X</v>
          </cell>
          <cell r="AA23" t="str">
            <v>X</v>
          </cell>
          <cell r="AD23" t="str">
            <v>X</v>
          </cell>
          <cell r="AG23" t="str">
            <v>X</v>
          </cell>
          <cell r="AJ23" t="str">
            <v>A</v>
          </cell>
          <cell r="AL23" t="str">
            <v>A</v>
          </cell>
          <cell r="AM23" t="str">
            <v>A</v>
          </cell>
          <cell r="AN23" t="str">
            <v>Mantiene un rendimiento satisfactorio en todas las competencias evaluadas, demostrando responsabilidad, compromiso y un adecuado desarrollo de sus aprendizajes.</v>
          </cell>
        </row>
        <row r="24">
          <cell r="J24" t="str">
            <v>X</v>
          </cell>
          <cell r="M24" t="str">
            <v>X</v>
          </cell>
          <cell r="P24" t="str">
            <v>X</v>
          </cell>
          <cell r="S24" t="str">
            <v>X</v>
          </cell>
          <cell r="V24" t="str">
            <v>X</v>
          </cell>
          <cell r="Y24" t="str">
            <v>X</v>
          </cell>
          <cell r="AB24" t="str">
            <v>X</v>
          </cell>
          <cell r="AE24" t="str">
            <v>X</v>
          </cell>
          <cell r="AH24" t="str">
            <v>X</v>
          </cell>
          <cell r="AJ24" t="str">
            <v>B</v>
          </cell>
          <cell r="AL24" t="str">
            <v>A</v>
          </cell>
          <cell r="AM24" t="str">
            <v>A</v>
          </cell>
          <cell r="AN24" t="str">
            <v>Ha logrado avances importantes en varias competencias; sin embargo, aún requiere fortalecer algunos aprendizajes para alcanzar un desempeño más uniforme y seguro.</v>
          </cell>
        </row>
        <row r="25">
          <cell r="I25" t="str">
            <v>X</v>
          </cell>
          <cell r="M25" t="str">
            <v>X</v>
          </cell>
          <cell r="P25" t="str">
            <v>X</v>
          </cell>
          <cell r="R25" t="str">
            <v>X</v>
          </cell>
          <cell r="U25" t="str">
            <v>X</v>
          </cell>
          <cell r="X25" t="str">
            <v>X</v>
          </cell>
          <cell r="AA25" t="str">
            <v>X</v>
          </cell>
          <cell r="AD25" t="str">
            <v>X</v>
          </cell>
          <cell r="AH25" t="str">
            <v>X</v>
          </cell>
          <cell r="AJ25" t="str">
            <v>A</v>
          </cell>
          <cell r="AL25" t="str">
            <v>A</v>
          </cell>
          <cell r="AM25" t="str">
            <v>A</v>
          </cell>
          <cell r="AN25" t="str">
            <v>Ha logrado avances importantes en varias competencias; sin embargo, aún requiere fortalecer algunos aprendizajes para alcanzar un desempeño más uniforme y seguro.</v>
          </cell>
        </row>
        <row r="26">
          <cell r="I26" t="str">
            <v>X</v>
          </cell>
          <cell r="M26" t="str">
            <v>X</v>
          </cell>
          <cell r="O26" t="str">
            <v>X</v>
          </cell>
          <cell r="R26" t="str">
            <v>X</v>
          </cell>
          <cell r="U26" t="str">
            <v>X</v>
          </cell>
          <cell r="X26" t="str">
            <v>X</v>
          </cell>
          <cell r="AA26" t="str">
            <v>X</v>
          </cell>
          <cell r="AD26" t="str">
            <v>X</v>
          </cell>
          <cell r="AG26" t="str">
            <v>X</v>
          </cell>
          <cell r="AJ26" t="str">
            <v>A</v>
          </cell>
          <cell r="AL26" t="str">
            <v>A</v>
          </cell>
          <cell r="AM26" t="str">
            <v>A</v>
          </cell>
          <cell r="AN26" t="str">
            <v>Mantiene un rendimiento satisfactorio en todas las competencias evaluadas, demostrando responsabilidad, compromiso y un adecuado desarrollo de sus aprendizajes.</v>
          </cell>
        </row>
        <row r="27">
          <cell r="J27" t="str">
            <v>X</v>
          </cell>
          <cell r="L27" t="str">
            <v>X</v>
          </cell>
          <cell r="P27" t="str">
            <v>X</v>
          </cell>
          <cell r="R27" t="str">
            <v>X</v>
          </cell>
          <cell r="U27" t="str">
            <v>X</v>
          </cell>
          <cell r="X27" t="str">
            <v>X</v>
          </cell>
          <cell r="AA27" t="str">
            <v>X</v>
          </cell>
          <cell r="AD27" t="str">
            <v>X</v>
          </cell>
          <cell r="AH27" t="str">
            <v>X</v>
          </cell>
          <cell r="AJ27" t="str">
            <v>A</v>
          </cell>
          <cell r="AL27" t="str">
            <v>A</v>
          </cell>
          <cell r="AM27" t="str">
            <v>A</v>
          </cell>
          <cell r="AN27" t="str">
            <v>Requiere mayor esfuerzo y compromiso en sus actividades escolares, ya que la mayoría de competencias aún se encuentran en proceso y demandan atención continua.</v>
          </cell>
        </row>
        <row r="28">
          <cell r="I28" t="str">
            <v>X</v>
          </cell>
          <cell r="L28" t="str">
            <v>X</v>
          </cell>
          <cell r="O28" t="str">
            <v>X</v>
          </cell>
          <cell r="R28" t="str">
            <v>X</v>
          </cell>
          <cell r="U28" t="str">
            <v>X</v>
          </cell>
          <cell r="X28" t="str">
            <v>X</v>
          </cell>
          <cell r="AA28" t="str">
            <v>X</v>
          </cell>
          <cell r="AD28" t="str">
            <v>X</v>
          </cell>
          <cell r="AG28" t="str">
            <v>X</v>
          </cell>
          <cell r="AJ28" t="str">
            <v>A</v>
          </cell>
          <cell r="AL28" t="str">
            <v>A</v>
          </cell>
          <cell r="AM28" t="str">
            <v>A</v>
          </cell>
          <cell r="AN28" t="str">
            <v>Evidencia un desempeño destacado en diversas competencias, alcanzando con solvencia los logros esperados y sobresaliendo por su participación y dedicación constante.</v>
          </cell>
        </row>
        <row r="29">
          <cell r="I29" t="str">
            <v>X</v>
          </cell>
          <cell r="M29" t="str">
            <v>X</v>
          </cell>
          <cell r="P29" t="str">
            <v>X</v>
          </cell>
          <cell r="R29" t="str">
            <v>X</v>
          </cell>
          <cell r="U29" t="str">
            <v>X</v>
          </cell>
          <cell r="X29" t="str">
            <v>X</v>
          </cell>
          <cell r="AA29" t="str">
            <v>X</v>
          </cell>
          <cell r="AD29" t="str">
            <v>X</v>
          </cell>
          <cell r="AH29" t="str">
            <v>X</v>
          </cell>
          <cell r="AJ29" t="str">
            <v>A</v>
          </cell>
          <cell r="AL29" t="str">
            <v>A</v>
          </cell>
          <cell r="AM29" t="str">
            <v>A</v>
          </cell>
          <cell r="AN29" t="str">
            <v>Ha logrado avances importantes en varias competencias; sin embargo, aún requiere fortalecer algunos aprendizajes para alcanzar un desempeño más uniforme y seguro.</v>
          </cell>
        </row>
        <row r="30">
          <cell r="I30" t="str">
            <v>X</v>
          </cell>
          <cell r="L30" t="str">
            <v>X</v>
          </cell>
          <cell r="O30" t="str">
            <v>X</v>
          </cell>
          <cell r="R30" t="str">
            <v>X</v>
          </cell>
          <cell r="U30" t="str">
            <v>X</v>
          </cell>
          <cell r="X30" t="str">
            <v>X</v>
          </cell>
          <cell r="AA30" t="str">
            <v>X</v>
          </cell>
          <cell r="AD30" t="str">
            <v>X</v>
          </cell>
          <cell r="AG30" t="str">
            <v>X</v>
          </cell>
          <cell r="AJ30" t="str">
            <v>A</v>
          </cell>
          <cell r="AL30" t="str">
            <v>A</v>
          </cell>
          <cell r="AM30" t="str">
            <v>A</v>
          </cell>
          <cell r="AN30" t="str">
            <v>Mantiene un rendimiento satisfactorio en todas las competencias evaluadas, demostrando responsabilidad, compromiso y un adecuado desarrollo de sus aprendizajes.</v>
          </cell>
        </row>
        <row r="31">
          <cell r="I31" t="str">
            <v>X</v>
          </cell>
          <cell r="L31" t="str">
            <v>X</v>
          </cell>
          <cell r="O31" t="str">
            <v>X</v>
          </cell>
          <cell r="S31" t="str">
            <v>X</v>
          </cell>
          <cell r="U31" t="str">
            <v>X</v>
          </cell>
          <cell r="X31" t="str">
            <v>X</v>
          </cell>
          <cell r="AA31" t="str">
            <v>X</v>
          </cell>
          <cell r="AD31" t="str">
            <v>X</v>
          </cell>
          <cell r="AH31" t="str">
            <v>X</v>
          </cell>
          <cell r="AJ31" t="str">
            <v>A</v>
          </cell>
          <cell r="AL31" t="str">
            <v>A</v>
          </cell>
          <cell r="AM31" t="str">
            <v>A</v>
          </cell>
          <cell r="AN31" t="str">
            <v>Ha logrado avances importantes en varias competencias; sin embargo, aún requiere fortalecer algunos aprendizajes para alcanzar un desempeño más uniforme y seguro.</v>
          </cell>
        </row>
        <row r="32">
          <cell r="I32" t="str">
            <v>X</v>
          </cell>
          <cell r="L32" t="str">
            <v>X</v>
          </cell>
          <cell r="O32" t="str">
            <v>X</v>
          </cell>
          <cell r="R32" t="str">
            <v>X</v>
          </cell>
          <cell r="U32" t="str">
            <v>X</v>
          </cell>
          <cell r="X32" t="str">
            <v>X</v>
          </cell>
          <cell r="AA32" t="str">
            <v>X</v>
          </cell>
          <cell r="AD32" t="str">
            <v>X</v>
          </cell>
          <cell r="AG32" t="str">
            <v>X</v>
          </cell>
          <cell r="AJ32" t="str">
            <v>A</v>
          </cell>
          <cell r="AL32" t="str">
            <v>A</v>
          </cell>
          <cell r="AM32" t="str">
            <v>A</v>
          </cell>
          <cell r="AN32" t="str">
            <v>Ha logrado avances importantes en varias competencias; sin embargo, aún requiere fortalecer algunos aprendizajes para alcanzar un desempeño más uniforme y seguro.</v>
          </cell>
        </row>
        <row r="33">
          <cell r="I33" t="str">
            <v>X</v>
          </cell>
          <cell r="L33" t="str">
            <v>X</v>
          </cell>
          <cell r="O33" t="str">
            <v>X</v>
          </cell>
          <cell r="R33" t="str">
            <v>X</v>
          </cell>
          <cell r="U33" t="str">
            <v>X</v>
          </cell>
          <cell r="X33" t="str">
            <v>X</v>
          </cell>
          <cell r="AA33" t="str">
            <v>X</v>
          </cell>
          <cell r="AD33" t="str">
            <v>X</v>
          </cell>
          <cell r="AG33" t="str">
            <v>X</v>
          </cell>
          <cell r="AJ33" t="str">
            <v>A</v>
          </cell>
          <cell r="AL33" t="str">
            <v>A</v>
          </cell>
          <cell r="AM33" t="str">
            <v>A</v>
          </cell>
          <cell r="AN33" t="str">
            <v>Evidencia un desempeño destacado en diversas competencias, alcanzando con solvencia los logros esperados y sobresaliendo por su participación y dedicación constante.</v>
          </cell>
        </row>
        <row r="34">
          <cell r="I34" t="str">
            <v>X</v>
          </cell>
          <cell r="L34" t="str">
            <v>X</v>
          </cell>
          <cell r="O34" t="str">
            <v>X</v>
          </cell>
          <cell r="P34" t="str">
            <v/>
          </cell>
          <cell r="R34" t="str">
            <v>X</v>
          </cell>
          <cell r="T34" t="str">
            <v/>
          </cell>
          <cell r="U34" t="str">
            <v>X</v>
          </cell>
          <cell r="X34" t="str">
            <v>X</v>
          </cell>
          <cell r="AA34" t="str">
            <v>X</v>
          </cell>
          <cell r="AB34" t="str">
            <v/>
          </cell>
          <cell r="AD34" t="str">
            <v>X</v>
          </cell>
          <cell r="AF34" t="str">
            <v/>
          </cell>
          <cell r="AG34" t="str">
            <v>X</v>
          </cell>
          <cell r="AJ34" t="str">
            <v>A</v>
          </cell>
          <cell r="AL34" t="str">
            <v>A</v>
          </cell>
          <cell r="AM34" t="str">
            <v>A</v>
          </cell>
          <cell r="AN34" t="str">
            <v>Evidencia un desempeño destacado en diversas competencias, alcanzando con solvencia los logros esperados y sobresaliendo por su participación y dedicación constante.</v>
          </cell>
        </row>
        <row r="35">
          <cell r="J35" t="str">
            <v>X</v>
          </cell>
          <cell r="L35" t="str">
            <v>X</v>
          </cell>
          <cell r="P35" t="str">
            <v>X</v>
          </cell>
          <cell r="S35" t="str">
            <v>X</v>
          </cell>
          <cell r="T35" t="str">
            <v/>
          </cell>
          <cell r="V35" t="str">
            <v>X</v>
          </cell>
          <cell r="Y35" t="str">
            <v>X</v>
          </cell>
          <cell r="AB35" t="str">
            <v>X</v>
          </cell>
          <cell r="AE35" t="str">
            <v>X</v>
          </cell>
          <cell r="AF35" t="str">
            <v/>
          </cell>
          <cell r="AH35" t="str">
            <v>X</v>
          </cell>
          <cell r="AJ35" t="str">
            <v>B</v>
          </cell>
          <cell r="AL35" t="str">
            <v>A</v>
          </cell>
          <cell r="AM35" t="str">
            <v>A</v>
          </cell>
          <cell r="AN35" t="str">
            <v>Requiere mayor esfuerzo y compromiso en sus actividades escolares, ya que la mayoría de competencias aún se encuentran en proceso y demandan atención continua.</v>
          </cell>
        </row>
        <row r="36">
          <cell r="I36" t="str">
            <v>X</v>
          </cell>
          <cell r="L36" t="str">
            <v>X</v>
          </cell>
          <cell r="O36" t="str">
            <v>X</v>
          </cell>
          <cell r="P36" t="str">
            <v/>
          </cell>
          <cell r="R36" t="str">
            <v>X</v>
          </cell>
          <cell r="T36" t="str">
            <v/>
          </cell>
          <cell r="U36" t="str">
            <v>X</v>
          </cell>
          <cell r="X36" t="str">
            <v>X</v>
          </cell>
          <cell r="AA36" t="str">
            <v>X</v>
          </cell>
          <cell r="AB36" t="str">
            <v/>
          </cell>
          <cell r="AD36" t="str">
            <v>X</v>
          </cell>
          <cell r="AF36" t="str">
            <v/>
          </cell>
          <cell r="AG36" t="str">
            <v>X</v>
          </cell>
          <cell r="AJ36" t="str">
            <v>A</v>
          </cell>
          <cell r="AL36" t="str">
            <v>A</v>
          </cell>
          <cell r="AM36" t="str">
            <v>A</v>
          </cell>
          <cell r="AN36" t="str">
            <v>Ha logrado avances importantes en varias competencias; sin embargo, aún requiere fortalecer algunos aprendizajes para alcanzar un desempeño más uniforme y seguro.</v>
          </cell>
        </row>
        <row r="37">
          <cell r="L37" t="str">
            <v/>
          </cell>
          <cell r="P37" t="str">
            <v/>
          </cell>
          <cell r="T37" t="str">
            <v/>
          </cell>
          <cell r="X37" t="str">
            <v/>
          </cell>
          <cell r="AB37" t="str">
            <v/>
          </cell>
          <cell r="AF37" t="str">
            <v/>
          </cell>
        </row>
        <row r="38">
          <cell r="L38" t="str">
            <v/>
          </cell>
          <cell r="P38" t="str">
            <v/>
          </cell>
          <cell r="T38" t="str">
            <v/>
          </cell>
          <cell r="X38" t="str">
            <v/>
          </cell>
          <cell r="AB38" t="str">
            <v/>
          </cell>
          <cell r="AF38" t="str">
            <v/>
          </cell>
        </row>
        <row r="39">
          <cell r="L39" t="str">
            <v/>
          </cell>
          <cell r="P39" t="str">
            <v/>
          </cell>
          <cell r="T39" t="str">
            <v/>
          </cell>
          <cell r="X39" t="str">
            <v/>
          </cell>
          <cell r="AB39" t="str">
            <v/>
          </cell>
          <cell r="AF39" t="str">
            <v/>
          </cell>
        </row>
      </sheetData>
      <sheetData sheetId="12">
        <row r="12">
          <cell r="J12" t="str">
            <v>X</v>
          </cell>
          <cell r="L12" t="str">
            <v>X</v>
          </cell>
          <cell r="O12" t="str">
            <v>X</v>
          </cell>
          <cell r="S12" t="str">
            <v>X</v>
          </cell>
          <cell r="U12" t="str">
            <v>A</v>
          </cell>
        </row>
        <row r="13">
          <cell r="I13" t="str">
            <v>X</v>
          </cell>
          <cell r="L13" t="str">
            <v>X</v>
          </cell>
          <cell r="O13" t="str">
            <v>X</v>
          </cell>
          <cell r="R13" t="str">
            <v>X</v>
          </cell>
          <cell r="U13" t="str">
            <v>A</v>
          </cell>
        </row>
        <row r="14">
          <cell r="I14" t="str">
            <v>X</v>
          </cell>
          <cell r="L14" t="str">
            <v>X</v>
          </cell>
          <cell r="P14" t="str">
            <v>X</v>
          </cell>
          <cell r="R14" t="str">
            <v>X</v>
          </cell>
          <cell r="U14" t="str">
            <v>A</v>
          </cell>
        </row>
        <row r="15">
          <cell r="I15" t="str">
            <v>X</v>
          </cell>
          <cell r="L15" t="str">
            <v>X</v>
          </cell>
          <cell r="O15" t="str">
            <v>X</v>
          </cell>
          <cell r="R15" t="str">
            <v>X</v>
          </cell>
          <cell r="U15" t="str">
            <v>A</v>
          </cell>
        </row>
        <row r="16">
          <cell r="J16" t="str">
            <v>X</v>
          </cell>
          <cell r="L16" t="str">
            <v>X</v>
          </cell>
          <cell r="O16" t="str">
            <v>X</v>
          </cell>
          <cell r="R16" t="str">
            <v>X</v>
          </cell>
          <cell r="U16" t="str">
            <v>A</v>
          </cell>
        </row>
        <row r="17">
          <cell r="J17" t="str">
            <v>X</v>
          </cell>
          <cell r="M17" t="str">
            <v>X</v>
          </cell>
          <cell r="O17" t="str">
            <v>X</v>
          </cell>
          <cell r="S17" t="str">
            <v>X</v>
          </cell>
          <cell r="U17" t="str">
            <v>B</v>
          </cell>
        </row>
        <row r="18">
          <cell r="I18" t="str">
            <v>X</v>
          </cell>
          <cell r="L18" t="str">
            <v>X</v>
          </cell>
          <cell r="O18" t="str">
            <v>X</v>
          </cell>
          <cell r="R18" t="str">
            <v>X</v>
          </cell>
          <cell r="U18" t="str">
            <v>A</v>
          </cell>
        </row>
        <row r="19">
          <cell r="I19" t="str">
            <v>X</v>
          </cell>
          <cell r="L19" t="str">
            <v>X</v>
          </cell>
          <cell r="O19" t="str">
            <v>X</v>
          </cell>
          <cell r="S19" t="str">
            <v>X</v>
          </cell>
          <cell r="U19" t="str">
            <v>A</v>
          </cell>
        </row>
        <row r="20">
          <cell r="J20" t="str">
            <v>X</v>
          </cell>
          <cell r="L20" t="str">
            <v>X</v>
          </cell>
          <cell r="O20" t="str">
            <v>X</v>
          </cell>
          <cell r="R20" t="str">
            <v>X</v>
          </cell>
          <cell r="U20" t="str">
            <v>A</v>
          </cell>
        </row>
        <row r="21">
          <cell r="J21" t="str">
            <v>X</v>
          </cell>
          <cell r="M21" t="str">
            <v>X</v>
          </cell>
          <cell r="P21" t="str">
            <v>X</v>
          </cell>
          <cell r="S21" t="str">
            <v>X</v>
          </cell>
          <cell r="U21" t="str">
            <v>B</v>
          </cell>
        </row>
        <row r="22">
          <cell r="I22" t="str">
            <v>X</v>
          </cell>
          <cell r="L22" t="str">
            <v>X</v>
          </cell>
          <cell r="O22" t="str">
            <v>X</v>
          </cell>
          <cell r="R22" t="str">
            <v>X</v>
          </cell>
          <cell r="U22" t="str">
            <v>A</v>
          </cell>
        </row>
        <row r="23">
          <cell r="I23" t="str">
            <v>X</v>
          </cell>
          <cell r="L23" t="str">
            <v>X</v>
          </cell>
          <cell r="O23" t="str">
            <v>X</v>
          </cell>
          <cell r="R23" t="str">
            <v>X</v>
          </cell>
          <cell r="U23" t="str">
            <v>A</v>
          </cell>
        </row>
        <row r="24">
          <cell r="J24" t="str">
            <v>X</v>
          </cell>
          <cell r="L24" t="str">
            <v>X</v>
          </cell>
          <cell r="P24" t="str">
            <v>X</v>
          </cell>
          <cell r="R24" t="str">
            <v>X</v>
          </cell>
          <cell r="U24" t="str">
            <v>A</v>
          </cell>
        </row>
        <row r="25">
          <cell r="I25" t="str">
            <v>X</v>
          </cell>
          <cell r="L25" t="str">
            <v>X</v>
          </cell>
          <cell r="O25" t="str">
            <v>X</v>
          </cell>
          <cell r="R25" t="str">
            <v>X</v>
          </cell>
          <cell r="U25" t="str">
            <v>A</v>
          </cell>
        </row>
        <row r="26">
          <cell r="I26" t="str">
            <v>X</v>
          </cell>
          <cell r="M26" t="str">
            <v>X</v>
          </cell>
          <cell r="O26" t="str">
            <v>X</v>
          </cell>
          <cell r="R26" t="str">
            <v>X</v>
          </cell>
          <cell r="U26" t="str">
            <v>A</v>
          </cell>
        </row>
        <row r="27">
          <cell r="K27" t="str">
            <v>X</v>
          </cell>
          <cell r="N27" t="str">
            <v>X</v>
          </cell>
          <cell r="P27" t="str">
            <v>X</v>
          </cell>
          <cell r="T27" t="str">
            <v>X</v>
          </cell>
          <cell r="U27" t="str">
            <v>B</v>
          </cell>
        </row>
        <row r="28">
          <cell r="I28" t="str">
            <v>X</v>
          </cell>
          <cell r="L28" t="str">
            <v>X</v>
          </cell>
          <cell r="O28" t="str">
            <v>X</v>
          </cell>
          <cell r="R28" t="str">
            <v>X</v>
          </cell>
          <cell r="U28" t="str">
            <v>A</v>
          </cell>
        </row>
        <row r="29">
          <cell r="I29" t="str">
            <v>X</v>
          </cell>
          <cell r="L29" t="str">
            <v>X</v>
          </cell>
          <cell r="O29" t="str">
            <v>X</v>
          </cell>
          <cell r="R29" t="str">
            <v>X</v>
          </cell>
          <cell r="U29" t="str">
            <v>A</v>
          </cell>
        </row>
        <row r="30">
          <cell r="I30" t="str">
            <v>X</v>
          </cell>
          <cell r="L30" t="str">
            <v>X</v>
          </cell>
          <cell r="O30" t="str">
            <v>X</v>
          </cell>
          <cell r="S30" t="str">
            <v>X</v>
          </cell>
          <cell r="U30" t="str">
            <v>A</v>
          </cell>
        </row>
        <row r="31">
          <cell r="I31" t="str">
            <v>X</v>
          </cell>
          <cell r="L31" t="str">
            <v>X</v>
          </cell>
          <cell r="O31" t="str">
            <v>X</v>
          </cell>
          <cell r="R31" t="str">
            <v>X</v>
          </cell>
          <cell r="U31" t="str">
            <v>A</v>
          </cell>
        </row>
        <row r="32">
          <cell r="J32" t="str">
            <v>X</v>
          </cell>
          <cell r="L32" t="str">
            <v>X</v>
          </cell>
          <cell r="O32" t="str">
            <v>X</v>
          </cell>
          <cell r="S32" t="str">
            <v>X</v>
          </cell>
          <cell r="U32" t="str">
            <v>A</v>
          </cell>
        </row>
        <row r="33">
          <cell r="I33" t="str">
            <v>X</v>
          </cell>
          <cell r="L33" t="str">
            <v>X</v>
          </cell>
          <cell r="O33" t="str">
            <v>X</v>
          </cell>
          <cell r="R33" t="str">
            <v>X</v>
          </cell>
          <cell r="U33" t="str">
            <v>A</v>
          </cell>
        </row>
        <row r="34">
          <cell r="I34" t="str">
            <v>X</v>
          </cell>
          <cell r="L34" t="str">
            <v>X</v>
          </cell>
          <cell r="O34" t="str">
            <v>X</v>
          </cell>
          <cell r="R34" t="str">
            <v>X</v>
          </cell>
          <cell r="U34" t="str">
            <v>A</v>
          </cell>
        </row>
        <row r="35">
          <cell r="J35" t="str">
            <v>X</v>
          </cell>
          <cell r="M35" t="str">
            <v>X</v>
          </cell>
          <cell r="P35" t="str">
            <v>X</v>
          </cell>
          <cell r="S35" t="str">
            <v>X</v>
          </cell>
          <cell r="T35" t="str">
            <v/>
          </cell>
          <cell r="U35" t="str">
            <v>B</v>
          </cell>
        </row>
        <row r="36">
          <cell r="I36" t="str">
            <v>X</v>
          </cell>
          <cell r="L36" t="str">
            <v>X</v>
          </cell>
          <cell r="O36" t="str">
            <v>X</v>
          </cell>
          <cell r="P36" t="str">
            <v/>
          </cell>
          <cell r="R36" t="str">
            <v>X</v>
          </cell>
          <cell r="T36" t="str">
            <v/>
          </cell>
          <cell r="U36" t="str">
            <v>A</v>
          </cell>
        </row>
        <row r="37">
          <cell r="L37" t="str">
            <v/>
          </cell>
          <cell r="P37" t="str">
            <v/>
          </cell>
          <cell r="T37" t="str">
            <v/>
          </cell>
        </row>
        <row r="38">
          <cell r="L38" t="str">
            <v/>
          </cell>
          <cell r="P38" t="str">
            <v/>
          </cell>
          <cell r="T38" t="str">
            <v/>
          </cell>
        </row>
        <row r="39">
          <cell r="L39" t="str">
            <v/>
          </cell>
          <cell r="P39" t="str">
            <v/>
          </cell>
          <cell r="T39" t="str">
            <v/>
          </cell>
        </row>
      </sheetData>
      <sheetData sheetId="13">
        <row r="4">
          <cell r="BS4">
            <v>47</v>
          </cell>
        </row>
        <row r="13">
          <cell r="BP13">
            <v>44</v>
          </cell>
          <cell r="BQ13">
            <v>3</v>
          </cell>
          <cell r="BR13">
            <v>0</v>
          </cell>
          <cell r="BS13">
            <v>0</v>
          </cell>
          <cell r="BT13">
            <v>1</v>
          </cell>
        </row>
        <row r="14">
          <cell r="BP14">
            <v>33</v>
          </cell>
          <cell r="BQ14">
            <v>13</v>
          </cell>
          <cell r="BR14">
            <v>1</v>
          </cell>
          <cell r="BS14">
            <v>0</v>
          </cell>
          <cell r="BT14">
            <v>1</v>
          </cell>
        </row>
        <row r="15">
          <cell r="BP15">
            <v>44</v>
          </cell>
          <cell r="BQ15">
            <v>3</v>
          </cell>
          <cell r="BR15">
            <v>0</v>
          </cell>
          <cell r="BS15">
            <v>0</v>
          </cell>
          <cell r="BT15">
            <v>1</v>
          </cell>
        </row>
        <row r="16">
          <cell r="BP16">
            <v>47</v>
          </cell>
          <cell r="BQ16">
            <v>0</v>
          </cell>
          <cell r="BR16">
            <v>0</v>
          </cell>
          <cell r="BS16">
            <v>0</v>
          </cell>
          <cell r="BT16">
            <v>1</v>
          </cell>
        </row>
        <row r="17">
          <cell r="BP17">
            <v>45</v>
          </cell>
          <cell r="BQ17">
            <v>2</v>
          </cell>
          <cell r="BR17">
            <v>0</v>
          </cell>
          <cell r="BS17">
            <v>0</v>
          </cell>
          <cell r="BT17">
            <v>1</v>
          </cell>
        </row>
        <row r="18">
          <cell r="BP18">
            <v>40</v>
          </cell>
          <cell r="BQ18">
            <v>7</v>
          </cell>
          <cell r="BR18">
            <v>0</v>
          </cell>
          <cell r="BS18">
            <v>0</v>
          </cell>
          <cell r="BT18">
            <v>1</v>
          </cell>
        </row>
        <row r="19">
          <cell r="BP19">
            <v>47</v>
          </cell>
          <cell r="BQ19">
            <v>0</v>
          </cell>
          <cell r="BR19">
            <v>0</v>
          </cell>
          <cell r="BS19">
            <v>0</v>
          </cell>
          <cell r="BT19">
            <v>1</v>
          </cell>
        </row>
        <row r="20">
          <cell r="BP20">
            <v>47</v>
          </cell>
          <cell r="BQ20">
            <v>0</v>
          </cell>
          <cell r="BR20">
            <v>0</v>
          </cell>
          <cell r="BS20">
            <v>0</v>
          </cell>
          <cell r="BT20">
            <v>1</v>
          </cell>
        </row>
        <row r="21">
          <cell r="BP21">
            <v>46</v>
          </cell>
          <cell r="BQ21">
            <v>1</v>
          </cell>
          <cell r="BR21">
            <v>0</v>
          </cell>
          <cell r="BS21">
            <v>0</v>
          </cell>
          <cell r="BT21">
            <v>1</v>
          </cell>
        </row>
        <row r="22">
          <cell r="BP22">
            <v>28</v>
          </cell>
          <cell r="BQ22">
            <v>17</v>
          </cell>
          <cell r="BR22">
            <v>2</v>
          </cell>
          <cell r="BS22">
            <v>0</v>
          </cell>
          <cell r="BT22">
            <v>1</v>
          </cell>
        </row>
        <row r="23">
          <cell r="BP23">
            <v>46</v>
          </cell>
          <cell r="BQ23">
            <v>1</v>
          </cell>
          <cell r="BR23">
            <v>0</v>
          </cell>
          <cell r="BS23">
            <v>0</v>
          </cell>
          <cell r="BT23">
            <v>1</v>
          </cell>
        </row>
        <row r="24">
          <cell r="BP24">
            <v>46</v>
          </cell>
          <cell r="BQ24">
            <v>1</v>
          </cell>
          <cell r="BR24">
            <v>0</v>
          </cell>
          <cell r="BS24">
            <v>0</v>
          </cell>
          <cell r="BT24">
            <v>1</v>
          </cell>
        </row>
        <row r="25">
          <cell r="BP25">
            <v>40</v>
          </cell>
          <cell r="BQ25">
            <v>6</v>
          </cell>
          <cell r="BR25">
            <v>1</v>
          </cell>
          <cell r="BS25">
            <v>0</v>
          </cell>
          <cell r="BT25">
            <v>1</v>
          </cell>
        </row>
        <row r="26">
          <cell r="BP26">
            <v>47</v>
          </cell>
          <cell r="BQ26">
            <v>0</v>
          </cell>
          <cell r="BR26">
            <v>0</v>
          </cell>
          <cell r="BS26">
            <v>0</v>
          </cell>
          <cell r="BT26">
            <v>1</v>
          </cell>
        </row>
        <row r="27">
          <cell r="BP27">
            <v>39</v>
          </cell>
          <cell r="BQ27">
            <v>7</v>
          </cell>
          <cell r="BR27">
            <v>1</v>
          </cell>
          <cell r="BS27">
            <v>0</v>
          </cell>
          <cell r="BT27">
            <v>1</v>
          </cell>
        </row>
        <row r="28">
          <cell r="BP28">
            <v>45</v>
          </cell>
          <cell r="BQ28">
            <v>0</v>
          </cell>
          <cell r="BR28">
            <v>2</v>
          </cell>
          <cell r="BS28">
            <v>0</v>
          </cell>
          <cell r="BT28">
            <v>1</v>
          </cell>
        </row>
        <row r="29">
          <cell r="BP29">
            <v>47</v>
          </cell>
          <cell r="BQ29">
            <v>0</v>
          </cell>
          <cell r="BR29">
            <v>0</v>
          </cell>
          <cell r="BS29">
            <v>0</v>
          </cell>
          <cell r="BT29">
            <v>1</v>
          </cell>
        </row>
        <row r="30">
          <cell r="BP30">
            <v>37</v>
          </cell>
          <cell r="BQ30">
            <v>8</v>
          </cell>
          <cell r="BR30">
            <v>2</v>
          </cell>
          <cell r="BS30">
            <v>0</v>
          </cell>
          <cell r="BT30">
            <v>1</v>
          </cell>
        </row>
        <row r="31">
          <cell r="BP31">
            <v>45</v>
          </cell>
          <cell r="BQ31">
            <v>2</v>
          </cell>
          <cell r="BR31">
            <v>0</v>
          </cell>
          <cell r="BS31">
            <v>0</v>
          </cell>
          <cell r="BT31">
            <v>1</v>
          </cell>
        </row>
        <row r="32">
          <cell r="BP32">
            <v>45</v>
          </cell>
          <cell r="BQ32">
            <v>2</v>
          </cell>
          <cell r="BR32">
            <v>0</v>
          </cell>
          <cell r="BS32">
            <v>0</v>
          </cell>
          <cell r="BT32">
            <v>1</v>
          </cell>
        </row>
        <row r="33">
          <cell r="BP33">
            <v>36</v>
          </cell>
          <cell r="BQ33">
            <v>5</v>
          </cell>
          <cell r="BR33">
            <v>6</v>
          </cell>
          <cell r="BS33">
            <v>0</v>
          </cell>
          <cell r="BT33">
            <v>1</v>
          </cell>
        </row>
        <row r="34">
          <cell r="BP34">
            <v>43</v>
          </cell>
          <cell r="BQ34">
            <v>4</v>
          </cell>
          <cell r="BR34">
            <v>0</v>
          </cell>
          <cell r="BS34">
            <v>0</v>
          </cell>
          <cell r="BT34">
            <v>1</v>
          </cell>
        </row>
        <row r="35">
          <cell r="BP35">
            <v>47</v>
          </cell>
          <cell r="BQ35">
            <v>0</v>
          </cell>
          <cell r="BR35">
            <v>0</v>
          </cell>
          <cell r="BS35">
            <v>0</v>
          </cell>
          <cell r="BT35">
            <v>1</v>
          </cell>
        </row>
        <row r="36">
          <cell r="BP36">
            <v>47</v>
          </cell>
          <cell r="BQ36">
            <v>0</v>
          </cell>
          <cell r="BR36">
            <v>0</v>
          </cell>
          <cell r="BS36">
            <v>0</v>
          </cell>
          <cell r="BT36">
            <v>1</v>
          </cell>
        </row>
        <row r="37">
          <cell r="BP37">
            <v>43</v>
          </cell>
          <cell r="BQ37">
            <v>1</v>
          </cell>
          <cell r="BR37">
            <v>3</v>
          </cell>
          <cell r="BS37">
            <v>0</v>
          </cell>
          <cell r="BT37">
            <v>1</v>
          </cell>
        </row>
        <row r="38"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</row>
        <row r="39"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1"/>
  <sheetViews>
    <sheetView tabSelected="1" view="pageBreakPreview" zoomScaleNormal="100" zoomScaleSheetLayoutView="100" workbookViewId="0">
      <selection activeCell="C8" sqref="C8"/>
    </sheetView>
  </sheetViews>
  <sheetFormatPr baseColWidth="10" defaultRowHeight="15" x14ac:dyDescent="0.25"/>
  <cols>
    <col min="1" max="1" width="1.5703125" style="2" customWidth="1"/>
    <col min="2" max="2" width="14.140625" style="2" customWidth="1"/>
    <col min="3" max="3" width="62.28515625" style="2" customWidth="1"/>
    <col min="4" max="6" width="5.42578125" style="3" customWidth="1"/>
    <col min="7" max="7" width="11.42578125" style="2"/>
    <col min="8" max="8" width="13" style="2" customWidth="1"/>
    <col min="9" max="16384" width="11.42578125" style="2"/>
  </cols>
  <sheetData>
    <row r="2" spans="1:9" ht="18.75" x14ac:dyDescent="0.3">
      <c r="A2" s="81" t="s">
        <v>1</v>
      </c>
      <c r="B2" s="81"/>
      <c r="C2" s="81"/>
      <c r="D2" s="81"/>
      <c r="E2" s="81"/>
      <c r="F2" s="81"/>
    </row>
    <row r="3" spans="1:9" x14ac:dyDescent="0.25">
      <c r="A3" s="82" t="s">
        <v>66</v>
      </c>
      <c r="B3" s="82"/>
      <c r="C3" s="82"/>
      <c r="D3" s="82"/>
      <c r="E3" s="82"/>
      <c r="F3" s="82"/>
      <c r="G3" s="4"/>
      <c r="H3" s="4"/>
    </row>
    <row r="5" spans="1:9" x14ac:dyDescent="0.25">
      <c r="C5" s="5" t="s">
        <v>2</v>
      </c>
      <c r="D5" s="91" t="s">
        <v>115</v>
      </c>
      <c r="E5" s="91"/>
      <c r="I5" s="6"/>
    </row>
    <row r="6" spans="1:9" x14ac:dyDescent="0.25">
      <c r="B6" s="2" t="s">
        <v>3</v>
      </c>
      <c r="C6" s="4">
        <v>25</v>
      </c>
    </row>
    <row r="7" spans="1:9" x14ac:dyDescent="0.25">
      <c r="B7" s="2" t="s">
        <v>4</v>
      </c>
      <c r="C7" s="4" t="str">
        <f>VLOOKUP(Libreta!$C$6,PRIMARIA!$A$1:$EH$33,PRIMARIA!$B$1,0)</f>
        <v>VEGA BUSTINZA LUCIANA NATALIA</v>
      </c>
      <c r="E7" s="3" t="s">
        <v>141</v>
      </c>
    </row>
    <row r="8" spans="1:9" ht="15.75" thickBot="1" x14ac:dyDescent="0.3">
      <c r="B8" s="2" t="s">
        <v>91</v>
      </c>
      <c r="C8" s="4" t="s">
        <v>114</v>
      </c>
    </row>
    <row r="9" spans="1:9" x14ac:dyDescent="0.25">
      <c r="B9" s="85" t="s">
        <v>5</v>
      </c>
      <c r="C9" s="83" t="s">
        <v>6</v>
      </c>
      <c r="D9" s="83" t="s">
        <v>7</v>
      </c>
      <c r="E9" s="83"/>
      <c r="F9" s="84"/>
    </row>
    <row r="10" spans="1:9" ht="15.75" thickBot="1" x14ac:dyDescent="0.3">
      <c r="B10" s="86"/>
      <c r="C10" s="87"/>
      <c r="D10" s="7" t="s">
        <v>8</v>
      </c>
      <c r="E10" s="7" t="s">
        <v>9</v>
      </c>
      <c r="F10" s="8" t="s">
        <v>10</v>
      </c>
    </row>
    <row r="11" spans="1:9" ht="18.75" customHeight="1" x14ac:dyDescent="0.25">
      <c r="B11" s="88" t="s">
        <v>11</v>
      </c>
      <c r="C11" s="9" t="s">
        <v>16</v>
      </c>
      <c r="D11" s="45" t="str">
        <f>IFERROR(VLOOKUP($C$6,PRIMARIA!$A$1:$EH$33,PRIMARIA!$C$1,0),"-")</f>
        <v>A</v>
      </c>
      <c r="E11" s="45" t="str">
        <f>IFERROR(VLOOKUP($C$6,PRIMARIA!$A$1:$EH$33,PRIMARIA!$D$1,0),"-")</f>
        <v>A</v>
      </c>
      <c r="F11" s="46" t="str">
        <f>IFERROR(VLOOKUP($C$6,PRIMARIA!$A$1:$EH$33,PRIMARIA!$E$1,0),"-")</f>
        <v>A</v>
      </c>
    </row>
    <row r="12" spans="1:9" ht="18.75" customHeight="1" x14ac:dyDescent="0.25">
      <c r="B12" s="89"/>
      <c r="C12" s="10" t="s">
        <v>92</v>
      </c>
      <c r="D12" s="1" t="str">
        <f>IFERROR(VLOOKUP($C$6,PRIMARIA!$A$1:$EH$33,PRIMARIA!$F$1,0),"-")</f>
        <v>A</v>
      </c>
      <c r="E12" s="1" t="str">
        <f>IFERROR(VLOOKUP($C$6,PRIMARIA!$A$1:$EH$33,PRIMARIA!$G$1,0),"-")</f>
        <v>A</v>
      </c>
      <c r="F12" s="47" t="str">
        <f>IFERROR(VLOOKUP($C$6,PRIMARIA!$A$1:$EH$33,PRIMARIA!$H$1,0),"-")</f>
        <v>A</v>
      </c>
    </row>
    <row r="13" spans="1:9" ht="18.75" customHeight="1" x14ac:dyDescent="0.25">
      <c r="B13" s="89"/>
      <c r="C13" s="10" t="s">
        <v>17</v>
      </c>
      <c r="D13" s="1" t="str">
        <f>IFERROR(VLOOKUP($C$6,PRIMARIA!$A$1:$EH$33,PRIMARIA!$I$1,0),"-")</f>
        <v>A</v>
      </c>
      <c r="E13" s="1" t="str">
        <f>IFERROR(VLOOKUP($C$6,PRIMARIA!$A$1:$EH$33,PRIMARIA!$J$1,0),"-")</f>
        <v>A</v>
      </c>
      <c r="F13" s="47" t="str">
        <f>IFERROR(VLOOKUP($C$6,PRIMARIA!$A$1:$EH$33,PRIMARIA!$K$1,0),"-")</f>
        <v>A</v>
      </c>
    </row>
    <row r="14" spans="1:9" ht="18.75" customHeight="1" x14ac:dyDescent="0.25">
      <c r="B14" s="89"/>
      <c r="C14" s="10" t="s">
        <v>93</v>
      </c>
      <c r="D14" s="1" t="str">
        <f>IFERROR(VLOOKUP($C$6,PRIMARIA!$A$1:$EH$33,PRIMARIA!$L$1,0),"-")</f>
        <v>A</v>
      </c>
      <c r="E14" s="1" t="str">
        <f>IFERROR(VLOOKUP($C$6,PRIMARIA!$A$1:$EH$33,PRIMARIA!$M$1,0),"-")</f>
        <v>A</v>
      </c>
      <c r="F14" s="47" t="str">
        <f>IFERROR(VLOOKUP($C$6,PRIMARIA!$A$1:$EH$33,PRIMARIA!$N$1,0),"-")</f>
        <v>A</v>
      </c>
    </row>
    <row r="15" spans="1:9" ht="18.75" customHeight="1" thickBot="1" x14ac:dyDescent="0.3">
      <c r="B15" s="90"/>
      <c r="C15" s="12" t="s">
        <v>94</v>
      </c>
      <c r="D15" s="48" t="str">
        <f>IFERROR(VLOOKUP($C$6,PRIMARIA!$A$1:$EH$33,PRIMARIA!$O$1,0),"-")</f>
        <v>A</v>
      </c>
      <c r="E15" s="48" t="str">
        <f>IFERROR(VLOOKUP($C$6,PRIMARIA!$A$1:$EH$33,PRIMARIA!$P$1,0),"-")</f>
        <v>A</v>
      </c>
      <c r="F15" s="49" t="str">
        <f>IFERROR(VLOOKUP($C$6,PRIMARIA!$A$1:$EH$33,PRIMARIA!$Q$1,0),"-")</f>
        <v>A</v>
      </c>
    </row>
    <row r="16" spans="1:9" ht="18.75" customHeight="1" x14ac:dyDescent="0.25">
      <c r="B16" s="67" t="s">
        <v>14</v>
      </c>
      <c r="C16" s="9" t="s">
        <v>95</v>
      </c>
      <c r="D16" s="45" t="str">
        <f>IFERROR(VLOOKUP($C$6,PRIMARIA!$A$1:$EH$33,PRIMARIA!$R$1,0),"-")</f>
        <v>A</v>
      </c>
      <c r="E16" s="45" t="str">
        <f>IFERROR(VLOOKUP($C$6,PRIMARIA!$A$1:$EH$33,PRIMARIA!$S$1,0),"-")</f>
        <v>A</v>
      </c>
      <c r="F16" s="46" t="str">
        <f>IFERROR(VLOOKUP($C$6,PRIMARIA!$A$1:$EH$33,PRIMARIA!$T$1,0),"-")</f>
        <v>A</v>
      </c>
    </row>
    <row r="17" spans="2:6" ht="18.75" customHeight="1" x14ac:dyDescent="0.25">
      <c r="B17" s="68"/>
      <c r="C17" s="10" t="s">
        <v>18</v>
      </c>
      <c r="D17" s="1" t="str">
        <f>IFERROR(VLOOKUP($C$6,PRIMARIA!$A$1:$EH$33,PRIMARIA!$U$1,0),"-")</f>
        <v>A</v>
      </c>
      <c r="E17" s="1" t="str">
        <f>IFERROR(VLOOKUP($C$6,PRIMARIA!$A$1:$EH$33,PRIMARIA!$V$1,0),"-")</f>
        <v>A</v>
      </c>
      <c r="F17" s="47" t="str">
        <f>IFERROR(VLOOKUP($C$6,PRIMARIA!$A$1:$EH$33,PRIMARIA!$W$1,0),"-")</f>
        <v>A</v>
      </c>
    </row>
    <row r="18" spans="2:6" ht="18.75" customHeight="1" thickBot="1" x14ac:dyDescent="0.3">
      <c r="B18" s="68"/>
      <c r="C18" s="12" t="s">
        <v>96</v>
      </c>
      <c r="D18" s="48" t="str">
        <f>IFERROR(VLOOKUP($C$6,PRIMARIA!$A$1:$EH$33,PRIMARIA!$X$1,0),"-")</f>
        <v>A</v>
      </c>
      <c r="E18" s="48" t="str">
        <f>IFERROR(VLOOKUP($C$6,PRIMARIA!$A$1:$EH$33,PRIMARIA!$Y$1,0),"-")</f>
        <v>A</v>
      </c>
      <c r="F18" s="49" t="str">
        <f>IFERROR(VLOOKUP($C$6,PRIMARIA!$A$1:$EH$33,PRIMARIA!$Z$1,0),"-")</f>
        <v>A</v>
      </c>
    </row>
    <row r="19" spans="2:6" ht="18.75" customHeight="1" x14ac:dyDescent="0.25">
      <c r="B19" s="88" t="s">
        <v>21</v>
      </c>
      <c r="C19" s="9" t="s">
        <v>19</v>
      </c>
      <c r="D19" s="45" t="str">
        <f>IFERROR(VLOOKUP($C$6,PRIMARIA!$A$1:$EH$33,PRIMARIA!$AA$1,0),"-")</f>
        <v>A</v>
      </c>
      <c r="E19" s="45" t="str">
        <f>IFERROR(VLOOKUP($C$6,PRIMARIA!$A$1:$EH$33,PRIMARIA!$AB$1,0),"-")</f>
        <v>A</v>
      </c>
      <c r="F19" s="46" t="str">
        <f>IFERROR(VLOOKUP($C$6,PRIMARIA!$A$1:$EH$33,PRIMARIA!$AC$1,0),"-")</f>
        <v>A</v>
      </c>
    </row>
    <row r="20" spans="2:6" ht="18.75" customHeight="1" x14ac:dyDescent="0.25">
      <c r="B20" s="89"/>
      <c r="C20" s="10" t="s">
        <v>15</v>
      </c>
      <c r="D20" s="1" t="str">
        <f>IFERROR(VLOOKUP($C$6,PRIMARIA!$A$1:$EH$33,PRIMARIA!$AD$1,0),"-")</f>
        <v>A</v>
      </c>
      <c r="E20" s="1" t="str">
        <f>IFERROR(VLOOKUP($C$6,PRIMARIA!$A$1:$EH$33,PRIMARIA!$AE$1,0),"-")</f>
        <v>A</v>
      </c>
      <c r="F20" s="47" t="str">
        <f>IFERROR(VLOOKUP($C$6,PRIMARIA!$A$1:$EH$33,PRIMARIA!$AF$1,0),"-")</f>
        <v>A</v>
      </c>
    </row>
    <row r="21" spans="2:6" ht="18.75" customHeight="1" thickBot="1" x14ac:dyDescent="0.3">
      <c r="B21" s="93"/>
      <c r="C21" s="13" t="s">
        <v>20</v>
      </c>
      <c r="D21" s="50" t="str">
        <f>IFERROR(VLOOKUP($C$6,PRIMARIA!$A$1:$EH$33,PRIMARIA!$AG$1,0),"-")</f>
        <v>A</v>
      </c>
      <c r="E21" s="50" t="str">
        <f>IFERROR(VLOOKUP($C$6,PRIMARIA!$A$1:$EH$33,PRIMARIA!$AH$1,0),"-")</f>
        <v>A</v>
      </c>
      <c r="F21" s="51" t="str">
        <f>IFERROR(VLOOKUP($C$6,PRIMARIA!$A$1:$EH$33,PRIMARIA!$AI$1,0),"-")</f>
        <v>A</v>
      </c>
    </row>
    <row r="22" spans="2:6" ht="18.75" customHeight="1" x14ac:dyDescent="0.25">
      <c r="B22" s="94" t="s">
        <v>24</v>
      </c>
      <c r="C22" s="9" t="s">
        <v>22</v>
      </c>
      <c r="D22" s="45" t="str">
        <f>IFERROR(VLOOKUP($C$6,PRIMARIA!$A$1:$EH$33,PRIMARIA!$AJ$1,0),"-")</f>
        <v>A</v>
      </c>
      <c r="E22" s="45" t="str">
        <f>IFERROR(VLOOKUP($C$6,PRIMARIA!$A$1:$EH$33,PRIMARIA!$AK$1,0),"-")</f>
        <v>A</v>
      </c>
      <c r="F22" s="46" t="str">
        <f>IFERROR(VLOOKUP($C$6,PRIMARIA!$A$1:$EH$33,PRIMARIA!$AL$1,0),"-")</f>
        <v>A</v>
      </c>
    </row>
    <row r="23" spans="2:6" ht="18.75" customHeight="1" thickBot="1" x14ac:dyDescent="0.3">
      <c r="B23" s="95"/>
      <c r="C23" s="13" t="s">
        <v>23</v>
      </c>
      <c r="D23" s="50" t="str">
        <f>IFERROR(VLOOKUP($C$6,PRIMARIA!$A$1:$EH$33,PRIMARIA!$AM$1,0),"-")</f>
        <v>A</v>
      </c>
      <c r="E23" s="50" t="str">
        <f>IFERROR(VLOOKUP($C$6,PRIMARIA!$A$1:$EH$33,PRIMARIA!$AN$1,0),"-")</f>
        <v>A</v>
      </c>
      <c r="F23" s="51" t="str">
        <f>IFERROR(VLOOKUP($C$6,PRIMARIA!$A$1:$EH$33,PRIMARIA!$AO$1,0),"-")</f>
        <v>A</v>
      </c>
    </row>
    <row r="24" spans="2:6" ht="18.75" customHeight="1" x14ac:dyDescent="0.25">
      <c r="B24" s="70" t="s">
        <v>25</v>
      </c>
      <c r="C24" s="9" t="s">
        <v>97</v>
      </c>
      <c r="D24" s="45" t="str">
        <f>IFERROR(VLOOKUP($C$6,PRIMARIA!$A$1:$EH$33,PRIMARIA!$AP$1,0),"-")</f>
        <v>A</v>
      </c>
      <c r="E24" s="45" t="str">
        <f>IFERROR(VLOOKUP($C$6,PRIMARIA!$A$1:$EH$33,PRIMARIA!$AQ$1,0),"-")</f>
        <v>A</v>
      </c>
      <c r="F24" s="46" t="str">
        <f>IFERROR(VLOOKUP($C$6,PRIMARIA!$A$1:$EH$33,PRIMARIA!$AR$1,0),"-")</f>
        <v>A</v>
      </c>
    </row>
    <row r="25" spans="2:6" ht="18.75" customHeight="1" x14ac:dyDescent="0.25">
      <c r="B25" s="92"/>
      <c r="C25" s="10" t="s">
        <v>98</v>
      </c>
      <c r="D25" s="1" t="str">
        <f>IFERROR(VLOOKUP($C$6,PRIMARIA!$A$1:$EH$33,PRIMARIA!$AS$1,0),"-")</f>
        <v>A</v>
      </c>
      <c r="E25" s="1" t="str">
        <f>IFERROR(VLOOKUP($C$6,PRIMARIA!$A$1:$EH$33,PRIMARIA!$AT$1,0),"-")</f>
        <v>A</v>
      </c>
      <c r="F25" s="47" t="str">
        <f>IFERROR(VLOOKUP($C$6,PRIMARIA!$A$1:$EH$33,PRIMARIA!$AU$1,0),"-")</f>
        <v>A</v>
      </c>
    </row>
    <row r="26" spans="2:6" ht="18.75" customHeight="1" thickBot="1" x14ac:dyDescent="0.3">
      <c r="B26" s="71"/>
      <c r="C26" s="13" t="s">
        <v>99</v>
      </c>
      <c r="D26" s="50" t="str">
        <f>IFERROR(VLOOKUP($C$6,PRIMARIA!$A$1:$EH$33,PRIMARIA!$AV$1,0),"-")</f>
        <v>A</v>
      </c>
      <c r="E26" s="50" t="str">
        <f>IFERROR(VLOOKUP($C$6,PRIMARIA!$A$1:$EH$33,PRIMARIA!$AW$1,0),"-")</f>
        <v>A</v>
      </c>
      <c r="F26" s="51" t="str">
        <f>IFERROR(VLOOKUP($C$6,PRIMARIA!$A$1:$EH$33,PRIMARIA!$AX$1,0),"-")</f>
        <v>A</v>
      </c>
    </row>
    <row r="27" spans="2:6" ht="18.75" customHeight="1" x14ac:dyDescent="0.25">
      <c r="B27" s="70" t="s">
        <v>29</v>
      </c>
      <c r="C27" s="9" t="s">
        <v>26</v>
      </c>
      <c r="D27" s="45" t="str">
        <f>IFERROR(VLOOKUP($C$6,PRIMARIA!$A$1:$EH$33,PRIMARIA!$AY$1,0),"-")</f>
        <v>B</v>
      </c>
      <c r="E27" s="45" t="str">
        <f>IFERROR(VLOOKUP($C$6,PRIMARIA!$A$1:$EH$33,PRIMARIA!$AZ$1,0),"-")</f>
        <v>B</v>
      </c>
      <c r="F27" s="46" t="str">
        <f>IFERROR(VLOOKUP($C$6,PRIMARIA!$A$1:$EH$33,PRIMARIA!$BA$1,0),"-")</f>
        <v>B</v>
      </c>
    </row>
    <row r="28" spans="2:6" ht="18.75" customHeight="1" x14ac:dyDescent="0.25">
      <c r="B28" s="92"/>
      <c r="C28" s="10" t="s">
        <v>28</v>
      </c>
      <c r="D28" s="1" t="str">
        <f>IFERROR(VLOOKUP($C$6,PRIMARIA!$A$1:$EH$33,PRIMARIA!$BB$1,0),"-")</f>
        <v>A</v>
      </c>
      <c r="E28" s="1" t="str">
        <f>IFERROR(VLOOKUP($C$6,PRIMARIA!$A$1:$EH$33,PRIMARIA!$BC$1,0),"-")</f>
        <v>A</v>
      </c>
      <c r="F28" s="47" t="str">
        <f>IFERROR(VLOOKUP($C$6,PRIMARIA!$A$1:$EH$33,PRIMARIA!$BD$1,0),"-")</f>
        <v>A</v>
      </c>
    </row>
    <row r="29" spans="2:6" ht="18.75" customHeight="1" x14ac:dyDescent="0.25">
      <c r="B29" s="92"/>
      <c r="C29" s="10" t="s">
        <v>27</v>
      </c>
      <c r="D29" s="1" t="str">
        <f>IFERROR(VLOOKUP($C$6,PRIMARIA!$A$1:$EH$33,PRIMARIA!$BE$1,0),"-")</f>
        <v>A</v>
      </c>
      <c r="E29" s="1" t="str">
        <f>IFERROR(VLOOKUP($C$6,PRIMARIA!$A$1:$EH$33,PRIMARIA!$BF$1,0),"-")</f>
        <v>B</v>
      </c>
      <c r="F29" s="47" t="str">
        <f>IFERROR(VLOOKUP($C$6,PRIMARIA!$A$1:$EH$33,PRIMARIA!$BG$1,0),"-")</f>
        <v>A</v>
      </c>
    </row>
    <row r="30" spans="2:6" ht="18.75" customHeight="1" thickBot="1" x14ac:dyDescent="0.3">
      <c r="B30" s="71"/>
      <c r="C30" s="13" t="s">
        <v>100</v>
      </c>
      <c r="D30" s="50" t="str">
        <f>IFERROR(VLOOKUP($C$6,PRIMARIA!$A$1:$EH$33,PRIMARIA!$BH$1,0),"-")</f>
        <v>A</v>
      </c>
      <c r="E30" s="50" t="str">
        <f>IFERROR(VLOOKUP($C$6,PRIMARIA!$A$1:$EH$33,PRIMARIA!$BI$1,0),"-")</f>
        <v>A</v>
      </c>
      <c r="F30" s="51" t="str">
        <f>IFERROR(VLOOKUP($C$6,PRIMARIA!$A$1:$EH$33,PRIMARIA!$BJ$1,0),"-")</f>
        <v>A</v>
      </c>
    </row>
    <row r="31" spans="2:6" ht="18.75" customHeight="1" x14ac:dyDescent="0.25">
      <c r="B31" s="67" t="s">
        <v>31</v>
      </c>
      <c r="C31" s="9" t="s">
        <v>30</v>
      </c>
      <c r="D31" s="45" t="str">
        <f>IFERROR(VLOOKUP($C$6,PRIMARIA!$A$1:$EH$33,PRIMARIA!$BK$1,0),"-")</f>
        <v>B</v>
      </c>
      <c r="E31" s="45" t="str">
        <f>IFERROR(VLOOKUP($C$6,PRIMARIA!$A$1:$EH$33,PRIMARIA!$BL$1,0),"-")</f>
        <v>A</v>
      </c>
      <c r="F31" s="46" t="str">
        <f>IFERROR(VLOOKUP($C$6,PRIMARIA!$A$1:$EH$33,PRIMARIA!$BM$1,0),"-")</f>
        <v>A</v>
      </c>
    </row>
    <row r="32" spans="2:6" ht="28.5" customHeight="1" x14ac:dyDescent="0.25">
      <c r="B32" s="68"/>
      <c r="C32" s="14" t="s">
        <v>101</v>
      </c>
      <c r="D32" s="1" t="str">
        <f>IFERROR(VLOOKUP($C$6,PRIMARIA!$A$1:$EH$33,PRIMARIA!$BN$1,0),"-")</f>
        <v>A</v>
      </c>
      <c r="E32" s="1" t="str">
        <f>IFERROR(VLOOKUP($C$6,PRIMARIA!$A$1:$EH$33,PRIMARIA!$BO$1,0),"-")</f>
        <v>A</v>
      </c>
      <c r="F32" s="47" t="str">
        <f>IFERROR(VLOOKUP($C$6,PRIMARIA!$A$1:$EH$33,PRIMARIA!$BP$1,0),"-")</f>
        <v>A</v>
      </c>
    </row>
    <row r="33" spans="2:6" ht="18.75" customHeight="1" thickBot="1" x14ac:dyDescent="0.3">
      <c r="B33" s="69"/>
      <c r="C33" s="13" t="s">
        <v>102</v>
      </c>
      <c r="D33" s="50" t="str">
        <f>IFERROR(VLOOKUP($C$6,PRIMARIA!$A$1:$EH$33,PRIMARIA!$BQ$1,0),"-")</f>
        <v>B</v>
      </c>
      <c r="E33" s="50" t="str">
        <f>IFERROR(VLOOKUP($C$6,PRIMARIA!$A$1:$EH$33,PRIMARIA!$BR$1,0),"-")</f>
        <v>B</v>
      </c>
      <c r="F33" s="51" t="str">
        <f>IFERROR(VLOOKUP($C$6,PRIMARIA!$A$1:$EH$33,PRIMARIA!$BS$1,0),"-")</f>
        <v>B</v>
      </c>
    </row>
    <row r="34" spans="2:6" ht="44.25" customHeight="1" x14ac:dyDescent="0.25">
      <c r="B34" s="67" t="s">
        <v>32</v>
      </c>
      <c r="C34" s="15" t="s">
        <v>103</v>
      </c>
      <c r="D34" s="45" t="str">
        <f>IFERROR(VLOOKUP($C$6,PRIMARIA!$A$1:$EH$33,PRIMARIA!$BT$1,0),"-")</f>
        <v>A</v>
      </c>
      <c r="E34" s="45" t="str">
        <f>IFERROR(VLOOKUP($C$6,PRIMARIA!$A$1:$EH$33,PRIMARIA!$BU$1,0),"-")</f>
        <v>A</v>
      </c>
      <c r="F34" s="46" t="str">
        <f>IFERROR(VLOOKUP($C$6,PRIMARIA!$A$1:$EH$33,PRIMARIA!$BV$1,0),"-")</f>
        <v>A</v>
      </c>
    </row>
    <row r="35" spans="2:6" ht="30" customHeight="1" thickBot="1" x14ac:dyDescent="0.3">
      <c r="B35" s="69"/>
      <c r="C35" s="16" t="s">
        <v>104</v>
      </c>
      <c r="D35" s="50" t="str">
        <f>IFERROR(VLOOKUP($C$6,PRIMARIA!$A$1:$EH$33,PRIMARIA!$BW$1,0),"-")</f>
        <v>A</v>
      </c>
      <c r="E35" s="50" t="str">
        <f>IFERROR(VLOOKUP($C$6,PRIMARIA!$A$1:$EH$33,PRIMARIA!$BX$1,0),"-")</f>
        <v>A</v>
      </c>
      <c r="F35" s="51" t="str">
        <f>IFERROR(VLOOKUP($C$6,PRIMARIA!$A$1:$EH$33,PRIMARIA!$BY$1,0),"-")</f>
        <v>A</v>
      </c>
    </row>
    <row r="36" spans="2:6" ht="30.75" customHeight="1" thickBot="1" x14ac:dyDescent="0.3">
      <c r="B36" s="17" t="s">
        <v>34</v>
      </c>
      <c r="C36" s="18" t="s">
        <v>33</v>
      </c>
      <c r="D36" s="52" t="str">
        <f>IFERROR(VLOOKUP($C$6,PRIMARIA!$A$1:$EH$33,PRIMARIA!$BZ$1,0),"-")</f>
        <v>A</v>
      </c>
      <c r="E36" s="52" t="str">
        <f>IFERROR(VLOOKUP($C$6,PRIMARIA!$A$1:$EH$33,PRIMARIA!$CA$1,0),"-")</f>
        <v>A</v>
      </c>
      <c r="F36" s="53" t="str">
        <f>IFERROR(VLOOKUP($C$6,PRIMARIA!$A$1:$EH$33,PRIMARIA!$CB$1,0),"-")</f>
        <v>A</v>
      </c>
    </row>
    <row r="37" spans="2:6" ht="29.25" customHeight="1" thickBot="1" x14ac:dyDescent="0.3">
      <c r="B37" s="17" t="s">
        <v>36</v>
      </c>
      <c r="C37" s="19" t="s">
        <v>35</v>
      </c>
      <c r="D37" s="52" t="str">
        <f>IFERROR(VLOOKUP($C$6,PRIMARIA!$A$1:$EH$33,PRIMARIA!$CC$1,0),"-")</f>
        <v>A</v>
      </c>
      <c r="E37" s="52" t="str">
        <f>IFERROR(VLOOKUP($C$6,PRIMARIA!$A$1:$EH$33,PRIMARIA!$CD$1,0),"-")</f>
        <v>A</v>
      </c>
      <c r="F37" s="53" t="str">
        <f>IFERROR(VLOOKUP($C$6,PRIMARIA!$A$1:$EH$33,PRIMARIA!$CE$1,0),"-")</f>
        <v>A</v>
      </c>
    </row>
    <row r="38" spans="2:6" ht="46.5" customHeight="1" thickBot="1" x14ac:dyDescent="0.3">
      <c r="B38" s="20" t="s">
        <v>38</v>
      </c>
      <c r="C38" s="21" t="s">
        <v>37</v>
      </c>
      <c r="D38" s="54" t="str">
        <f>IFERROR(VLOOKUP($C$6,PRIMARIA!$A$1:$EH$33,PRIMARIA!$CF$1,0),"-")</f>
        <v>A</v>
      </c>
      <c r="E38" s="54" t="str">
        <f>IFERROR(VLOOKUP($C$6,PRIMARIA!$A$1:$EH$33,PRIMARIA!$CG$1,0),"-")</f>
        <v>A</v>
      </c>
      <c r="F38" s="55" t="str">
        <f>IFERROR(VLOOKUP($C$6,PRIMARIA!$A$1:$EH$33,PRIMARIA!$CH$1,0),"-")</f>
        <v>A</v>
      </c>
    </row>
    <row r="39" spans="2:6" x14ac:dyDescent="0.25">
      <c r="B39" s="70" t="s">
        <v>41</v>
      </c>
      <c r="C39" s="79" t="s">
        <v>39</v>
      </c>
      <c r="D39" s="80"/>
      <c r="E39" s="74" t="str">
        <f>IFERROR(VLOOKUP($C$6,PRIMARIA!$A$1:$EH$33,PRIMARIA!$CI$1,0),"-")</f>
        <v>A</v>
      </c>
      <c r="F39" s="75"/>
    </row>
    <row r="40" spans="2:6" ht="15.75" thickBot="1" x14ac:dyDescent="0.3">
      <c r="B40" s="71"/>
      <c r="C40" s="78" t="s">
        <v>40</v>
      </c>
      <c r="D40" s="78"/>
      <c r="E40" s="76" t="str">
        <f>IFERROR(VLOOKUP($C$6,PRIMARIA!$A$1:$EH$33,PRIMARIA!$CJ$1,0),"-")</f>
        <v>A</v>
      </c>
      <c r="F40" s="77"/>
    </row>
    <row r="41" spans="2:6" ht="15.75" thickBot="1" x14ac:dyDescent="0.3"/>
    <row r="42" spans="2:6" ht="31.5" customHeight="1" x14ac:dyDescent="0.25">
      <c r="B42" s="58" t="s">
        <v>12</v>
      </c>
      <c r="C42" s="59"/>
      <c r="D42" s="22" t="s">
        <v>42</v>
      </c>
      <c r="E42" s="23" t="s">
        <v>43</v>
      </c>
      <c r="F42" s="24" t="s">
        <v>44</v>
      </c>
    </row>
    <row r="43" spans="2:6" ht="18.75" customHeight="1" x14ac:dyDescent="0.25">
      <c r="B43" s="25">
        <v>1</v>
      </c>
      <c r="C43" s="26" t="s">
        <v>105</v>
      </c>
      <c r="D43" s="1" t="str">
        <f>IFERROR(VLOOKUP($C$6,PRIMARIA!$A$1:$EH$33,PRIMARIA!$CK$1,0),"-")</f>
        <v>X</v>
      </c>
      <c r="E43" s="1">
        <f>IFERROR(VLOOKUP($C$6,PRIMARIA!$A$1:$EH$33,PRIMARIA!$CL$1,0),"-")</f>
        <v>0</v>
      </c>
      <c r="F43" s="47">
        <f>IFERROR(VLOOKUP($C$6,PRIMARIA!$A$1:$EH$33,PRIMARIA!$CM$1,0),"-")</f>
        <v>0</v>
      </c>
    </row>
    <row r="44" spans="2:6" ht="18.75" customHeight="1" x14ac:dyDescent="0.25">
      <c r="B44" s="25">
        <v>2</v>
      </c>
      <c r="C44" s="27" t="s">
        <v>50</v>
      </c>
      <c r="D44" s="1" t="str">
        <f>IFERROR(VLOOKUP($C$6,PRIMARIA!$A$1:$EH$33,PRIMARIA!$CN$1,0),"-")</f>
        <v>X</v>
      </c>
      <c r="E44" s="1">
        <f>IFERROR(VLOOKUP($C$6,PRIMARIA!$A$1:$EH$33,PRIMARIA!$CO$1,0),"-")</f>
        <v>0</v>
      </c>
      <c r="F44" s="47">
        <f>IFERROR(VLOOKUP($C$6,PRIMARIA!$A$1:$EH$33,PRIMARIA!$CP$1,0),"-")</f>
        <v>0</v>
      </c>
    </row>
    <row r="45" spans="2:6" ht="18.75" customHeight="1" x14ac:dyDescent="0.25">
      <c r="B45" s="25">
        <v>3</v>
      </c>
      <c r="C45" s="27" t="s">
        <v>51</v>
      </c>
      <c r="D45" s="1" t="str">
        <f>IFERROR(VLOOKUP($C$6,PRIMARIA!$A$1:$EH$33,PRIMARIA!$CQ$1,0),"-")</f>
        <v>X</v>
      </c>
      <c r="E45" s="1" t="str">
        <f>IFERROR(VLOOKUP($C$6,PRIMARIA!$A$1:$EH$33,PRIMARIA!$CR$1,0),"-")</f>
        <v/>
      </c>
      <c r="F45" s="47">
        <f>IFERROR(VLOOKUP($C$6,PRIMARIA!$A$1:$EH$33,PRIMARIA!$CS$1,0),"-")</f>
        <v>0</v>
      </c>
    </row>
    <row r="46" spans="2:6" ht="30.75" customHeight="1" x14ac:dyDescent="0.25">
      <c r="B46" s="25">
        <v>4</v>
      </c>
      <c r="C46" s="28" t="s">
        <v>52</v>
      </c>
      <c r="D46" s="1" t="str">
        <f>IFERROR(VLOOKUP($C$6,PRIMARIA!$A$1:$EH$33,PRIMARIA!$CT$1,0),"-")</f>
        <v>X</v>
      </c>
      <c r="E46" s="1">
        <f>IFERROR(VLOOKUP($C$6,PRIMARIA!$A$1:$EH$33,PRIMARIA!$CU$1,0),"-")</f>
        <v>0</v>
      </c>
      <c r="F46" s="47" t="str">
        <f>IFERROR(VLOOKUP($C$6,PRIMARIA!$A$1:$EH$33,PRIMARIA!$CV$1,0),"-")</f>
        <v/>
      </c>
    </row>
    <row r="47" spans="2:6" ht="27" customHeight="1" x14ac:dyDescent="0.25">
      <c r="B47" s="25">
        <v>5</v>
      </c>
      <c r="C47" s="28" t="s">
        <v>106</v>
      </c>
      <c r="D47" s="1" t="str">
        <f>IFERROR(VLOOKUP($C$6,PRIMARIA!$A$1:$EH$33,PRIMARIA!$CW$1,0),"-")</f>
        <v>X</v>
      </c>
      <c r="E47" s="1">
        <f>IFERROR(VLOOKUP($C$6,PRIMARIA!$A$1:$EH$33,PRIMARIA!$CX$1,0),"-")</f>
        <v>0</v>
      </c>
      <c r="F47" s="47">
        <f>IFERROR(VLOOKUP($C$6,PRIMARIA!$A$1:$EH$33,PRIMARIA!$CY$1,0),"-")</f>
        <v>0</v>
      </c>
    </row>
    <row r="48" spans="2:6" ht="18.75" customHeight="1" x14ac:dyDescent="0.25">
      <c r="B48" s="25">
        <v>6</v>
      </c>
      <c r="C48" s="27" t="s">
        <v>107</v>
      </c>
      <c r="D48" s="1" t="str">
        <f>IFERROR(VLOOKUP($C$6,PRIMARIA!$A$1:$EH$33,PRIMARIA!$CZ$1,0),"-")</f>
        <v>X</v>
      </c>
      <c r="E48" s="1">
        <f>IFERROR(VLOOKUP($C$6,PRIMARIA!$A$1:$EH$33,PRIMARIA!$DA$1,0),"-")</f>
        <v>0</v>
      </c>
      <c r="F48" s="47">
        <f>IFERROR(VLOOKUP($C$6,PRIMARIA!$A$1:$EH$33,PRIMARIA!$DB$1,0),"-")</f>
        <v>0</v>
      </c>
    </row>
    <row r="49" spans="2:6" ht="18.75" customHeight="1" x14ac:dyDescent="0.25">
      <c r="B49" s="25">
        <v>7</v>
      </c>
      <c r="C49" s="27" t="s">
        <v>53</v>
      </c>
      <c r="D49" s="1" t="str">
        <f>IFERROR(VLOOKUP($C$6,PRIMARIA!$A$1:$EH$33,PRIMARIA!$DC$1,0),"-")</f>
        <v>X</v>
      </c>
      <c r="E49" s="1" t="str">
        <f>IFERROR(VLOOKUP($C$6,PRIMARIA!$A$1:$EH$33,PRIMARIA!$DD$1,0),"-")</f>
        <v/>
      </c>
      <c r="F49" s="47">
        <f>IFERROR(VLOOKUP($C$6,PRIMARIA!$A$1:$EH$33,PRIMARIA!$DE$1,0),"-")</f>
        <v>0</v>
      </c>
    </row>
    <row r="50" spans="2:6" ht="32.25" customHeight="1" x14ac:dyDescent="0.25">
      <c r="B50" s="25">
        <v>8</v>
      </c>
      <c r="C50" s="29" t="s">
        <v>108</v>
      </c>
      <c r="D50" s="1" t="str">
        <f>IFERROR(VLOOKUP($C$6,PRIMARIA!$A$1:$EH$33,PRIMARIA!$DF$1,0),"-")</f>
        <v>X</v>
      </c>
      <c r="E50" s="1">
        <f>IFERROR(VLOOKUP($C$6,PRIMARIA!$A$1:$EH$33,PRIMARIA!$DG$1,0),"-")</f>
        <v>0</v>
      </c>
      <c r="F50" s="47" t="str">
        <f>IFERROR(VLOOKUP($C$6,PRIMARIA!$A$1:$EH$33,PRIMARIA!$DH$1,0),"-")</f>
        <v/>
      </c>
    </row>
    <row r="51" spans="2:6" ht="18.75" customHeight="1" x14ac:dyDescent="0.25">
      <c r="B51" s="30">
        <v>9</v>
      </c>
      <c r="C51" s="31" t="s">
        <v>54</v>
      </c>
      <c r="D51" s="1" t="str">
        <f>IFERROR(VLOOKUP($C$6,PRIMARIA!$A$1:$EH$33,PRIMARIA!$DI$1,0),"-")</f>
        <v>X</v>
      </c>
      <c r="E51" s="1">
        <f>IFERROR(VLOOKUP($C$6,PRIMARIA!$A$1:$EH$33,PRIMARIA!$DJ$1,0),"-")</f>
        <v>0</v>
      </c>
      <c r="F51" s="47">
        <f>IFERROR(VLOOKUP($C$6,PRIMARIA!$A$1:$EH$33,PRIMARIA!$DK$1,0),"-")</f>
        <v>0</v>
      </c>
    </row>
    <row r="52" spans="2:6" ht="18.75" customHeight="1" thickBot="1" x14ac:dyDescent="0.3">
      <c r="B52" s="62" t="s">
        <v>45</v>
      </c>
      <c r="C52" s="63"/>
      <c r="D52" s="47" t="str">
        <f>IFERROR(VLOOKUP($C$6,PRIMARIA!$A$1:$EH$33,PRIMARIA!$DL$1,0),"-")</f>
        <v>A</v>
      </c>
      <c r="E52" s="60"/>
      <c r="F52" s="61"/>
    </row>
    <row r="53" spans="2:6" ht="18.75" customHeight="1" x14ac:dyDescent="0.25">
      <c r="B53" s="32"/>
      <c r="C53" s="32"/>
    </row>
    <row r="54" spans="2:6" x14ac:dyDescent="0.25">
      <c r="B54" s="32"/>
      <c r="C54" s="32"/>
    </row>
    <row r="56" spans="2:6" x14ac:dyDescent="0.25">
      <c r="E56" s="33" t="s">
        <v>109</v>
      </c>
      <c r="F56" s="47">
        <f>IFERROR(VLOOKUP($C$6,PRIMARIA!$A$1:$EH$33,PRIMARIA!$DZ$1,0),"-")</f>
        <v>47</v>
      </c>
    </row>
    <row r="57" spans="2:6" x14ac:dyDescent="0.25">
      <c r="B57" s="32"/>
      <c r="E57" s="34" t="s">
        <v>60</v>
      </c>
      <c r="F57" s="56">
        <f>IFERROR(VLOOKUP($C$6,PRIMARIA!$A$1:$EH$33,PRIMARIA!$EA$1,0),"-")</f>
        <v>1</v>
      </c>
    </row>
    <row r="58" spans="2:6" x14ac:dyDescent="0.25">
      <c r="B58" s="35"/>
      <c r="E58" s="34" t="s">
        <v>59</v>
      </c>
      <c r="F58" s="47">
        <f>IFERROR(VLOOKUP($C$6,PRIMARIA!$A$1:$EH$33,PRIMARIA!$EB$1,0),"-")</f>
        <v>43</v>
      </c>
    </row>
    <row r="59" spans="2:6" x14ac:dyDescent="0.25">
      <c r="B59" s="36"/>
      <c r="E59" s="34" t="s">
        <v>61</v>
      </c>
      <c r="F59" s="47">
        <f>IFERROR(VLOOKUP($C$6,PRIMARIA!$A$1:$EH$33,PRIMARIA!$EC$1,0),"-")</f>
        <v>1</v>
      </c>
    </row>
    <row r="60" spans="2:6" x14ac:dyDescent="0.25">
      <c r="B60" s="32"/>
      <c r="E60" s="34" t="s">
        <v>62</v>
      </c>
      <c r="F60" s="47">
        <f>IFERROR(VLOOKUP($C$6,PRIMARIA!$A$1:$EH$33,PRIMARIA!$ED$1,0),"-")</f>
        <v>3</v>
      </c>
    </row>
    <row r="61" spans="2:6" x14ac:dyDescent="0.25">
      <c r="B61" s="32"/>
      <c r="E61" s="34" t="s">
        <v>63</v>
      </c>
      <c r="F61" s="47">
        <f>IFERROR(VLOOKUP($C$6,PRIMARIA!$A$1:$EH$33,PRIMARIA!$EE$1,0),"-")</f>
        <v>0</v>
      </c>
    </row>
    <row r="62" spans="2:6" x14ac:dyDescent="0.25">
      <c r="B62" s="32"/>
    </row>
    <row r="65" spans="2:6" ht="31.5" customHeight="1" x14ac:dyDescent="0.25">
      <c r="B65" s="64" t="s">
        <v>48</v>
      </c>
      <c r="C65" s="64"/>
      <c r="D65" s="37" t="s">
        <v>46</v>
      </c>
      <c r="E65" s="37" t="s">
        <v>13</v>
      </c>
      <c r="F65" s="37" t="s">
        <v>47</v>
      </c>
    </row>
    <row r="66" spans="2:6" ht="30" customHeight="1" x14ac:dyDescent="0.25">
      <c r="B66" s="11">
        <v>1</v>
      </c>
      <c r="C66" s="28" t="s">
        <v>110</v>
      </c>
      <c r="D66" s="1" t="str">
        <f>IFERROR(VLOOKUP($C$6,PRIMARIA!$A$1:$EH$33,PRIMARIA!$DM$1,0),"-")</f>
        <v>X</v>
      </c>
      <c r="E66" s="1">
        <f>IFERROR(VLOOKUP($C$6,PRIMARIA!$A$1:$EH$33,PRIMARIA!$DN$1,0),"-")</f>
        <v>0</v>
      </c>
      <c r="F66" s="1">
        <f>IFERROR(VLOOKUP($C$6,PRIMARIA!$A$1:$EH$33,PRIMARIA!$DO$1,0),"-")</f>
        <v>0</v>
      </c>
    </row>
    <row r="67" spans="2:6" ht="30" customHeight="1" x14ac:dyDescent="0.25">
      <c r="B67" s="11">
        <v>2</v>
      </c>
      <c r="C67" s="38" t="s">
        <v>55</v>
      </c>
      <c r="D67" s="1" t="str">
        <f>IFERROR(VLOOKUP($C$6,PRIMARIA!$A$1:$EH$33,PRIMARIA!$DP$1,0),"-")</f>
        <v>X</v>
      </c>
      <c r="E67" s="1">
        <f>IFERROR(VLOOKUP($C$6,PRIMARIA!$A$1:$EH$33,PRIMARIA!$DQ$1,0),"-")</f>
        <v>0</v>
      </c>
      <c r="F67" s="1">
        <f>IFERROR(VLOOKUP($C$6,PRIMARIA!$A$1:$EH$33,PRIMARIA!$DR$1,0),"-")</f>
        <v>0</v>
      </c>
    </row>
    <row r="68" spans="2:6" s="39" customFormat="1" ht="39" x14ac:dyDescent="0.25">
      <c r="B68" s="40">
        <v>3</v>
      </c>
      <c r="C68" s="28" t="s">
        <v>56</v>
      </c>
      <c r="D68" s="1" t="str">
        <f>IFERROR(VLOOKUP($C$6,PRIMARIA!$A$1:$EH$33,PRIMARIA!$DS$1,0),"-")</f>
        <v>X</v>
      </c>
      <c r="E68" s="1" t="str">
        <f>IFERROR(VLOOKUP($C$6,PRIMARIA!$A$1:$EH$33,PRIMARIA!$DT$1,0),"-")</f>
        <v/>
      </c>
      <c r="F68" s="1">
        <f>IFERROR(VLOOKUP($C$6,PRIMARIA!$A$1:$EH$33,PRIMARIA!$DU$1,0),"-")</f>
        <v>0</v>
      </c>
    </row>
    <row r="69" spans="2:6" ht="30.75" customHeight="1" x14ac:dyDescent="0.25">
      <c r="B69" s="11">
        <v>4</v>
      </c>
      <c r="C69" s="28" t="s">
        <v>57</v>
      </c>
      <c r="D69" s="1" t="str">
        <f>IFERROR(VLOOKUP($C$6,PRIMARIA!$A$1:$EH$33,PRIMARIA!$DV$1,0),"-")</f>
        <v>X</v>
      </c>
      <c r="E69" s="1">
        <f>IFERROR(VLOOKUP($C$6,PRIMARIA!$A$1:$EH$33,PRIMARIA!$DW$1,0),"-")</f>
        <v>0</v>
      </c>
      <c r="F69" s="1" t="str">
        <f>IFERROR(VLOOKUP($C$6,PRIMARIA!$A$1:$EH$33,PRIMARIA!$DX$1,0),"-")</f>
        <v/>
      </c>
    </row>
    <row r="70" spans="2:6" x14ac:dyDescent="0.25">
      <c r="C70" s="41" t="s">
        <v>49</v>
      </c>
      <c r="D70" s="65" t="str">
        <f>IFERROR(VLOOKUP($C$6,PRIMARIA!$A$1:$EH$33,PRIMARIA!$DY$1,0),"-")</f>
        <v>A</v>
      </c>
      <c r="E70" s="65" t="str">
        <f>IFERROR(VLOOKUP($C$6,PRIMARIA!$A$1:$EH$33,PRIMARIA!$EF$1,0),"-")</f>
        <v>Ha logrado avances importantes en varias competencias; sin embargo, aún requiere fortalecer algunos aprendizajes para alcanzar un desempeño más uniforme y seguro.</v>
      </c>
      <c r="F70" s="42"/>
    </row>
    <row r="72" spans="2:6" x14ac:dyDescent="0.25">
      <c r="B72" s="72" t="s">
        <v>58</v>
      </c>
      <c r="C72" s="72"/>
      <c r="D72" s="72"/>
      <c r="E72" s="72"/>
      <c r="F72" s="72"/>
    </row>
    <row r="73" spans="2:6" x14ac:dyDescent="0.25">
      <c r="B73" s="73">
        <v>1</v>
      </c>
      <c r="C73" s="66" t="str">
        <f>IFERROR(VLOOKUP($C$6,PRIMARIA!$A$1:$EH$33,PRIMARIA!$EF$1,0),"-")</f>
        <v>Ha logrado avances importantes en varias competencias; sin embargo, aún requiere fortalecer algunos aprendizajes para alcanzar un desempeño más uniforme y seguro.</v>
      </c>
      <c r="D73" s="66"/>
      <c r="E73" s="66"/>
      <c r="F73" s="66"/>
    </row>
    <row r="74" spans="2:6" x14ac:dyDescent="0.25">
      <c r="B74" s="73"/>
      <c r="C74" s="66"/>
      <c r="D74" s="66"/>
      <c r="E74" s="66"/>
      <c r="F74" s="66"/>
    </row>
    <row r="75" spans="2:6" x14ac:dyDescent="0.25">
      <c r="B75" s="73"/>
      <c r="C75" s="66"/>
      <c r="D75" s="66"/>
      <c r="E75" s="66"/>
      <c r="F75" s="66"/>
    </row>
    <row r="76" spans="2:6" x14ac:dyDescent="0.25">
      <c r="B76" s="43"/>
      <c r="C76" s="44"/>
      <c r="D76" s="44"/>
      <c r="E76" s="44"/>
      <c r="F76" s="44"/>
    </row>
    <row r="80" spans="2:6" x14ac:dyDescent="0.25">
      <c r="B80" s="57" t="s">
        <v>65</v>
      </c>
      <c r="C80" s="57"/>
      <c r="D80" s="57"/>
      <c r="E80" s="57"/>
      <c r="F80" s="57"/>
    </row>
    <row r="81" spans="2:6" x14ac:dyDescent="0.25">
      <c r="B81" s="57" t="s">
        <v>64</v>
      </c>
      <c r="C81" s="57"/>
      <c r="D81" s="57"/>
      <c r="E81" s="57"/>
      <c r="F81" s="57"/>
    </row>
  </sheetData>
  <mergeCells count="29">
    <mergeCell ref="B11:B15"/>
    <mergeCell ref="D5:E5"/>
    <mergeCell ref="B16:B18"/>
    <mergeCell ref="B24:B26"/>
    <mergeCell ref="B27:B30"/>
    <mergeCell ref="B19:B21"/>
    <mergeCell ref="B22:B23"/>
    <mergeCell ref="A2:F2"/>
    <mergeCell ref="A3:F3"/>
    <mergeCell ref="D9:F9"/>
    <mergeCell ref="B9:B10"/>
    <mergeCell ref="C9:C10"/>
    <mergeCell ref="B31:B33"/>
    <mergeCell ref="B34:B35"/>
    <mergeCell ref="B39:B40"/>
    <mergeCell ref="B72:F72"/>
    <mergeCell ref="B73:B75"/>
    <mergeCell ref="E39:F39"/>
    <mergeCell ref="E40:F40"/>
    <mergeCell ref="C40:D40"/>
    <mergeCell ref="C39:D39"/>
    <mergeCell ref="B80:F80"/>
    <mergeCell ref="B81:F81"/>
    <mergeCell ref="B42:C42"/>
    <mergeCell ref="E52:F52"/>
    <mergeCell ref="B52:C52"/>
    <mergeCell ref="B65:C65"/>
    <mergeCell ref="D70:E70"/>
    <mergeCell ref="C73:F75"/>
  </mergeCells>
  <pageMargins left="0.7" right="0.7" top="0.75" bottom="0.75" header="0.3" footer="0.3"/>
  <pageSetup paperSize="9" scale="9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PRIMARIA!$A$5:$A$33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1000"/>
  <sheetViews>
    <sheetView view="pageBreakPreview" zoomScale="106" zoomScaleNormal="70" zoomScaleSheetLayoutView="106" workbookViewId="0">
      <pane xSplit="2" ySplit="3" topLeftCell="DG1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baseColWidth="10" defaultColWidth="14.42578125" defaultRowHeight="15" x14ac:dyDescent="0.25"/>
  <cols>
    <col min="1" max="1" width="5.5703125" customWidth="1"/>
    <col min="2" max="2" width="47.42578125" customWidth="1"/>
    <col min="3" max="86" width="4.5703125" customWidth="1"/>
    <col min="87" max="87" width="5.7109375" customWidth="1"/>
    <col min="88" max="88" width="6.140625" customWidth="1"/>
    <col min="89" max="130" width="4.5703125" customWidth="1"/>
    <col min="131" max="131" width="6.42578125" customWidth="1"/>
    <col min="132" max="135" width="4.5703125" customWidth="1"/>
    <col min="136" max="136" width="91.28515625" customWidth="1"/>
    <col min="137" max="138" width="4.5703125" customWidth="1"/>
    <col min="139" max="142" width="2.42578125" hidden="1" customWidth="1"/>
  </cols>
  <sheetData>
    <row r="1" spans="1:142" x14ac:dyDescent="0.25">
      <c r="A1" s="105"/>
      <c r="B1" s="106">
        <v>2</v>
      </c>
      <c r="C1" s="106">
        <v>3</v>
      </c>
      <c r="D1" s="106">
        <v>4</v>
      </c>
      <c r="E1" s="106">
        <v>5</v>
      </c>
      <c r="F1" s="106">
        <v>6</v>
      </c>
      <c r="G1" s="106">
        <v>7</v>
      </c>
      <c r="H1" s="106">
        <v>8</v>
      </c>
      <c r="I1" s="106">
        <v>9</v>
      </c>
      <c r="J1" s="106">
        <v>10</v>
      </c>
      <c r="K1" s="106">
        <v>11</v>
      </c>
      <c r="L1" s="106">
        <v>12</v>
      </c>
      <c r="M1" s="106">
        <v>13</v>
      </c>
      <c r="N1" s="106">
        <v>14</v>
      </c>
      <c r="O1" s="106">
        <v>15</v>
      </c>
      <c r="P1" s="106">
        <v>16</v>
      </c>
      <c r="Q1" s="106">
        <v>17</v>
      </c>
      <c r="R1" s="106">
        <v>18</v>
      </c>
      <c r="S1" s="106">
        <v>19</v>
      </c>
      <c r="T1" s="106">
        <v>20</v>
      </c>
      <c r="U1" s="106">
        <v>21</v>
      </c>
      <c r="V1" s="106">
        <v>22</v>
      </c>
      <c r="W1" s="106">
        <v>23</v>
      </c>
      <c r="X1" s="106">
        <v>24</v>
      </c>
      <c r="Y1" s="106">
        <v>25</v>
      </c>
      <c r="Z1" s="106">
        <v>26</v>
      </c>
      <c r="AA1" s="106">
        <v>27</v>
      </c>
      <c r="AB1" s="106">
        <v>28</v>
      </c>
      <c r="AC1" s="106">
        <v>29</v>
      </c>
      <c r="AD1" s="106">
        <v>30</v>
      </c>
      <c r="AE1" s="106">
        <v>31</v>
      </c>
      <c r="AF1" s="106">
        <v>32</v>
      </c>
      <c r="AG1" s="106">
        <v>33</v>
      </c>
      <c r="AH1" s="106">
        <v>34</v>
      </c>
      <c r="AI1" s="106">
        <v>35</v>
      </c>
      <c r="AJ1" s="106">
        <v>36</v>
      </c>
      <c r="AK1" s="106">
        <v>37</v>
      </c>
      <c r="AL1" s="106">
        <v>38</v>
      </c>
      <c r="AM1" s="106">
        <v>39</v>
      </c>
      <c r="AN1" s="106">
        <v>40</v>
      </c>
      <c r="AO1" s="106">
        <v>41</v>
      </c>
      <c r="AP1" s="106">
        <v>42</v>
      </c>
      <c r="AQ1" s="106">
        <v>43</v>
      </c>
      <c r="AR1" s="106">
        <v>44</v>
      </c>
      <c r="AS1" s="106">
        <v>45</v>
      </c>
      <c r="AT1" s="106">
        <v>46</v>
      </c>
      <c r="AU1" s="106">
        <v>47</v>
      </c>
      <c r="AV1" s="106">
        <v>48</v>
      </c>
      <c r="AW1" s="106">
        <v>49</v>
      </c>
      <c r="AX1" s="106">
        <v>50</v>
      </c>
      <c r="AY1" s="106">
        <v>51</v>
      </c>
      <c r="AZ1" s="106">
        <v>52</v>
      </c>
      <c r="BA1" s="106">
        <v>53</v>
      </c>
      <c r="BB1" s="106">
        <v>54</v>
      </c>
      <c r="BC1" s="106">
        <v>55</v>
      </c>
      <c r="BD1" s="106">
        <v>56</v>
      </c>
      <c r="BE1" s="106">
        <v>57</v>
      </c>
      <c r="BF1" s="106">
        <v>58</v>
      </c>
      <c r="BG1" s="106">
        <v>59</v>
      </c>
      <c r="BH1" s="106">
        <v>60</v>
      </c>
      <c r="BI1" s="106">
        <v>61</v>
      </c>
      <c r="BJ1" s="106">
        <v>62</v>
      </c>
      <c r="BK1" s="106">
        <v>63</v>
      </c>
      <c r="BL1" s="106">
        <v>64</v>
      </c>
      <c r="BM1" s="106">
        <v>65</v>
      </c>
      <c r="BN1" s="106">
        <v>66</v>
      </c>
      <c r="BO1" s="106">
        <v>67</v>
      </c>
      <c r="BP1" s="106">
        <v>68</v>
      </c>
      <c r="BQ1" s="106">
        <v>69</v>
      </c>
      <c r="BR1" s="106">
        <v>70</v>
      </c>
      <c r="BS1" s="106">
        <v>71</v>
      </c>
      <c r="BT1" s="106">
        <v>72</v>
      </c>
      <c r="BU1" s="106">
        <v>73</v>
      </c>
      <c r="BV1" s="106">
        <v>74</v>
      </c>
      <c r="BW1" s="106">
        <v>75</v>
      </c>
      <c r="BX1" s="106">
        <v>76</v>
      </c>
      <c r="BY1" s="106">
        <v>77</v>
      </c>
      <c r="BZ1" s="106">
        <v>78</v>
      </c>
      <c r="CA1" s="106">
        <v>79</v>
      </c>
      <c r="CB1" s="106">
        <v>80</v>
      </c>
      <c r="CC1" s="106">
        <v>81</v>
      </c>
      <c r="CD1" s="106">
        <v>82</v>
      </c>
      <c r="CE1" s="106">
        <v>83</v>
      </c>
      <c r="CF1" s="106">
        <v>84</v>
      </c>
      <c r="CG1" s="106">
        <v>85</v>
      </c>
      <c r="CH1" s="106">
        <v>86</v>
      </c>
      <c r="CI1" s="106">
        <v>87</v>
      </c>
      <c r="CJ1" s="106">
        <v>88</v>
      </c>
      <c r="CK1" s="106">
        <v>89</v>
      </c>
      <c r="CL1" s="106">
        <v>90</v>
      </c>
      <c r="CM1" s="106">
        <v>91</v>
      </c>
      <c r="CN1" s="106">
        <v>92</v>
      </c>
      <c r="CO1" s="106">
        <v>93</v>
      </c>
      <c r="CP1" s="106">
        <v>94</v>
      </c>
      <c r="CQ1" s="106">
        <v>95</v>
      </c>
      <c r="CR1" s="106">
        <v>96</v>
      </c>
      <c r="CS1" s="106">
        <v>97</v>
      </c>
      <c r="CT1" s="106">
        <v>98</v>
      </c>
      <c r="CU1" s="106">
        <v>99</v>
      </c>
      <c r="CV1" s="106">
        <v>100</v>
      </c>
      <c r="CW1" s="106">
        <v>101</v>
      </c>
      <c r="CX1" s="106">
        <v>102</v>
      </c>
      <c r="CY1" s="106">
        <v>103</v>
      </c>
      <c r="CZ1" s="106">
        <v>104</v>
      </c>
      <c r="DA1" s="106">
        <v>105</v>
      </c>
      <c r="DB1" s="106">
        <v>106</v>
      </c>
      <c r="DC1" s="106">
        <v>107</v>
      </c>
      <c r="DD1" s="106">
        <v>108</v>
      </c>
      <c r="DE1" s="106">
        <v>109</v>
      </c>
      <c r="DF1" s="106">
        <v>110</v>
      </c>
      <c r="DG1" s="106">
        <v>111</v>
      </c>
      <c r="DH1" s="106">
        <v>112</v>
      </c>
      <c r="DI1" s="106">
        <v>113</v>
      </c>
      <c r="DJ1" s="106">
        <v>114</v>
      </c>
      <c r="DK1" s="106">
        <v>115</v>
      </c>
      <c r="DL1" s="106">
        <v>116</v>
      </c>
      <c r="DM1" s="106">
        <v>117</v>
      </c>
      <c r="DN1" s="106">
        <v>118</v>
      </c>
      <c r="DO1" s="106">
        <v>119</v>
      </c>
      <c r="DP1" s="106">
        <v>120</v>
      </c>
      <c r="DQ1" s="106">
        <v>121</v>
      </c>
      <c r="DR1" s="106">
        <v>122</v>
      </c>
      <c r="DS1" s="106">
        <v>123</v>
      </c>
      <c r="DT1" s="106">
        <v>124</v>
      </c>
      <c r="DU1" s="106">
        <v>125</v>
      </c>
      <c r="DV1" s="106">
        <v>126</v>
      </c>
      <c r="DW1" s="106">
        <v>127</v>
      </c>
      <c r="DX1" s="106">
        <v>128</v>
      </c>
      <c r="DY1" s="106">
        <v>129</v>
      </c>
      <c r="DZ1" s="106">
        <v>130</v>
      </c>
      <c r="EA1" s="106">
        <v>131</v>
      </c>
      <c r="EB1" s="106">
        <v>132</v>
      </c>
      <c r="EC1" s="106">
        <v>133</v>
      </c>
      <c r="ED1" s="106">
        <v>134</v>
      </c>
      <c r="EE1" s="106">
        <v>135</v>
      </c>
      <c r="EF1" s="106">
        <v>136</v>
      </c>
      <c r="EG1" s="106"/>
      <c r="EH1" s="106"/>
      <c r="EI1" s="106"/>
      <c r="EJ1" s="106"/>
      <c r="EK1" s="106"/>
      <c r="EL1" s="106"/>
    </row>
    <row r="2" spans="1:142" ht="15" customHeight="1" x14ac:dyDescent="0.25">
      <c r="A2" s="107"/>
      <c r="B2" s="107"/>
      <c r="C2" s="108" t="s">
        <v>11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108" t="s">
        <v>67</v>
      </c>
      <c r="S2" s="97"/>
      <c r="T2" s="97"/>
      <c r="U2" s="97"/>
      <c r="V2" s="97"/>
      <c r="W2" s="97"/>
      <c r="X2" s="97"/>
      <c r="Y2" s="97"/>
      <c r="Z2" s="98"/>
      <c r="AA2" s="108" t="s">
        <v>21</v>
      </c>
      <c r="AB2" s="97"/>
      <c r="AC2" s="97"/>
      <c r="AD2" s="97"/>
      <c r="AE2" s="97"/>
      <c r="AF2" s="97"/>
      <c r="AG2" s="97"/>
      <c r="AH2" s="97"/>
      <c r="AI2" s="98"/>
      <c r="AJ2" s="108" t="s">
        <v>68</v>
      </c>
      <c r="AK2" s="97"/>
      <c r="AL2" s="97"/>
      <c r="AM2" s="97"/>
      <c r="AN2" s="97"/>
      <c r="AO2" s="98"/>
      <c r="AP2" s="108" t="s">
        <v>25</v>
      </c>
      <c r="AQ2" s="97"/>
      <c r="AR2" s="97"/>
      <c r="AS2" s="97"/>
      <c r="AT2" s="97"/>
      <c r="AU2" s="97"/>
      <c r="AV2" s="97"/>
      <c r="AW2" s="97"/>
      <c r="AX2" s="98"/>
      <c r="AY2" s="108" t="s">
        <v>29</v>
      </c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8"/>
      <c r="BK2" s="108" t="s">
        <v>69</v>
      </c>
      <c r="BL2" s="97"/>
      <c r="BM2" s="97"/>
      <c r="BN2" s="97"/>
      <c r="BO2" s="97"/>
      <c r="BP2" s="97"/>
      <c r="BQ2" s="97"/>
      <c r="BR2" s="97"/>
      <c r="BS2" s="98"/>
      <c r="BT2" s="108" t="s">
        <v>70</v>
      </c>
      <c r="BU2" s="97"/>
      <c r="BV2" s="97"/>
      <c r="BW2" s="97"/>
      <c r="BX2" s="97"/>
      <c r="BY2" s="98"/>
      <c r="BZ2" s="108" t="s">
        <v>71</v>
      </c>
      <c r="CA2" s="97"/>
      <c r="CB2" s="98"/>
      <c r="CC2" s="109" t="s">
        <v>72</v>
      </c>
      <c r="CD2" s="97"/>
      <c r="CE2" s="98"/>
      <c r="CF2" s="109" t="s">
        <v>73</v>
      </c>
      <c r="CG2" s="97"/>
      <c r="CH2" s="98"/>
      <c r="CI2" s="110" t="s">
        <v>74</v>
      </c>
      <c r="CJ2" s="103"/>
      <c r="CK2" s="108" t="s">
        <v>75</v>
      </c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8"/>
      <c r="DM2" s="108" t="s">
        <v>76</v>
      </c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8"/>
      <c r="DZ2" s="108" t="s">
        <v>77</v>
      </c>
      <c r="EA2" s="97"/>
      <c r="EB2" s="97"/>
      <c r="EC2" s="97"/>
      <c r="ED2" s="97"/>
      <c r="EE2" s="98"/>
      <c r="EF2" s="111" t="s">
        <v>78</v>
      </c>
      <c r="EG2" s="112" t="s">
        <v>111</v>
      </c>
      <c r="EH2" s="98"/>
      <c r="EI2" s="113"/>
    </row>
    <row r="3" spans="1:142" ht="15" customHeight="1" x14ac:dyDescent="0.25">
      <c r="A3" s="111" t="s">
        <v>0</v>
      </c>
      <c r="B3" s="111" t="s">
        <v>79</v>
      </c>
      <c r="C3" s="108" t="s">
        <v>80</v>
      </c>
      <c r="D3" s="97"/>
      <c r="E3" s="98"/>
      <c r="F3" s="108" t="s">
        <v>81</v>
      </c>
      <c r="G3" s="97"/>
      <c r="H3" s="98"/>
      <c r="I3" s="108" t="s">
        <v>82</v>
      </c>
      <c r="J3" s="97"/>
      <c r="K3" s="98"/>
      <c r="L3" s="108" t="s">
        <v>83</v>
      </c>
      <c r="M3" s="97"/>
      <c r="N3" s="98"/>
      <c r="O3" s="108" t="s">
        <v>84</v>
      </c>
      <c r="P3" s="97"/>
      <c r="Q3" s="98"/>
      <c r="R3" s="108" t="s">
        <v>80</v>
      </c>
      <c r="S3" s="97"/>
      <c r="T3" s="98"/>
      <c r="U3" s="108" t="s">
        <v>81</v>
      </c>
      <c r="V3" s="97"/>
      <c r="W3" s="98"/>
      <c r="X3" s="108" t="s">
        <v>82</v>
      </c>
      <c r="Y3" s="97"/>
      <c r="Z3" s="98"/>
      <c r="AA3" s="108" t="s">
        <v>80</v>
      </c>
      <c r="AB3" s="97"/>
      <c r="AC3" s="98"/>
      <c r="AD3" s="108" t="s">
        <v>81</v>
      </c>
      <c r="AE3" s="97"/>
      <c r="AF3" s="98"/>
      <c r="AG3" s="108" t="s">
        <v>82</v>
      </c>
      <c r="AH3" s="97"/>
      <c r="AI3" s="98"/>
      <c r="AJ3" s="108" t="s">
        <v>80</v>
      </c>
      <c r="AK3" s="97"/>
      <c r="AL3" s="98"/>
      <c r="AM3" s="108" t="s">
        <v>81</v>
      </c>
      <c r="AN3" s="97"/>
      <c r="AO3" s="98"/>
      <c r="AP3" s="108" t="s">
        <v>80</v>
      </c>
      <c r="AQ3" s="97"/>
      <c r="AR3" s="98"/>
      <c r="AS3" s="108" t="s">
        <v>81</v>
      </c>
      <c r="AT3" s="97"/>
      <c r="AU3" s="98"/>
      <c r="AV3" s="108" t="s">
        <v>82</v>
      </c>
      <c r="AW3" s="97"/>
      <c r="AX3" s="98"/>
      <c r="AY3" s="108" t="s">
        <v>80</v>
      </c>
      <c r="AZ3" s="97"/>
      <c r="BA3" s="98"/>
      <c r="BB3" s="108" t="s">
        <v>81</v>
      </c>
      <c r="BC3" s="97"/>
      <c r="BD3" s="98"/>
      <c r="BE3" s="108" t="s">
        <v>82</v>
      </c>
      <c r="BF3" s="97"/>
      <c r="BG3" s="98"/>
      <c r="BH3" s="108" t="s">
        <v>83</v>
      </c>
      <c r="BI3" s="97"/>
      <c r="BJ3" s="98"/>
      <c r="BK3" s="108" t="s">
        <v>80</v>
      </c>
      <c r="BL3" s="97"/>
      <c r="BM3" s="98"/>
      <c r="BN3" s="108" t="s">
        <v>81</v>
      </c>
      <c r="BO3" s="97"/>
      <c r="BP3" s="98"/>
      <c r="BQ3" s="108" t="s">
        <v>82</v>
      </c>
      <c r="BR3" s="97"/>
      <c r="BS3" s="98"/>
      <c r="BT3" s="108" t="s">
        <v>80</v>
      </c>
      <c r="BU3" s="97"/>
      <c r="BV3" s="98"/>
      <c r="BW3" s="108" t="s">
        <v>81</v>
      </c>
      <c r="BX3" s="97"/>
      <c r="BY3" s="98"/>
      <c r="BZ3" s="108" t="s">
        <v>80</v>
      </c>
      <c r="CA3" s="97"/>
      <c r="CB3" s="98"/>
      <c r="CC3" s="108" t="s">
        <v>80</v>
      </c>
      <c r="CD3" s="97"/>
      <c r="CE3" s="98"/>
      <c r="CF3" s="108" t="s">
        <v>80</v>
      </c>
      <c r="CG3" s="97"/>
      <c r="CH3" s="98"/>
      <c r="CI3" s="101"/>
      <c r="CJ3" s="99"/>
      <c r="CK3" s="108">
        <v>1</v>
      </c>
      <c r="CL3" s="97"/>
      <c r="CM3" s="98"/>
      <c r="CN3" s="109">
        <v>2</v>
      </c>
      <c r="CO3" s="97"/>
      <c r="CP3" s="98"/>
      <c r="CQ3" s="108">
        <v>3</v>
      </c>
      <c r="CR3" s="97"/>
      <c r="CS3" s="98"/>
      <c r="CT3" s="109">
        <v>4</v>
      </c>
      <c r="CU3" s="97"/>
      <c r="CV3" s="98"/>
      <c r="CW3" s="109">
        <v>5</v>
      </c>
      <c r="CX3" s="97"/>
      <c r="CY3" s="98"/>
      <c r="CZ3" s="108">
        <v>6</v>
      </c>
      <c r="DA3" s="97"/>
      <c r="DB3" s="98"/>
      <c r="DC3" s="109">
        <v>7</v>
      </c>
      <c r="DD3" s="97"/>
      <c r="DE3" s="98"/>
      <c r="DF3" s="108">
        <v>8</v>
      </c>
      <c r="DG3" s="97"/>
      <c r="DH3" s="97"/>
      <c r="DI3" s="108">
        <v>9</v>
      </c>
      <c r="DJ3" s="97"/>
      <c r="DK3" s="98"/>
      <c r="DL3" s="114" t="s">
        <v>85</v>
      </c>
      <c r="DM3" s="108">
        <v>1</v>
      </c>
      <c r="DN3" s="97"/>
      <c r="DO3" s="98"/>
      <c r="DP3" s="109">
        <v>2</v>
      </c>
      <c r="DQ3" s="97"/>
      <c r="DR3" s="98"/>
      <c r="DS3" s="108">
        <v>3</v>
      </c>
      <c r="DT3" s="97"/>
      <c r="DU3" s="98"/>
      <c r="DV3" s="109">
        <v>4</v>
      </c>
      <c r="DW3" s="97"/>
      <c r="DX3" s="98"/>
      <c r="DY3" s="115"/>
      <c r="DZ3" s="116" t="s">
        <v>86</v>
      </c>
      <c r="EA3" s="114" t="s">
        <v>87</v>
      </c>
      <c r="EB3" s="116" t="s">
        <v>13</v>
      </c>
      <c r="EC3" s="116" t="s">
        <v>88</v>
      </c>
      <c r="ED3" s="116" t="s">
        <v>89</v>
      </c>
      <c r="EE3" s="116" t="s">
        <v>90</v>
      </c>
      <c r="EF3" s="117"/>
      <c r="EG3" s="118" t="s">
        <v>112</v>
      </c>
      <c r="EH3" s="118" t="s">
        <v>113</v>
      </c>
      <c r="EI3" s="106"/>
    </row>
    <row r="4" spans="1:142" ht="18.75" customHeight="1" x14ac:dyDescent="0.25">
      <c r="A4" s="119"/>
      <c r="B4" s="119"/>
      <c r="C4" s="120">
        <v>1</v>
      </c>
      <c r="D4" s="120">
        <v>2</v>
      </c>
      <c r="E4" s="120" t="s">
        <v>85</v>
      </c>
      <c r="F4" s="120">
        <v>1</v>
      </c>
      <c r="G4" s="120">
        <v>2</v>
      </c>
      <c r="H4" s="120" t="s">
        <v>85</v>
      </c>
      <c r="I4" s="120">
        <v>1</v>
      </c>
      <c r="J4" s="120">
        <v>2</v>
      </c>
      <c r="K4" s="120" t="s">
        <v>85</v>
      </c>
      <c r="L4" s="120">
        <v>1</v>
      </c>
      <c r="M4" s="120">
        <v>2</v>
      </c>
      <c r="N4" s="120" t="s">
        <v>85</v>
      </c>
      <c r="O4" s="120">
        <v>1</v>
      </c>
      <c r="P4" s="120">
        <v>2</v>
      </c>
      <c r="Q4" s="120" t="s">
        <v>85</v>
      </c>
      <c r="R4" s="120">
        <v>1</v>
      </c>
      <c r="S4" s="120">
        <v>2</v>
      </c>
      <c r="T4" s="120" t="s">
        <v>85</v>
      </c>
      <c r="U4" s="120">
        <v>1</v>
      </c>
      <c r="V4" s="120">
        <v>2</v>
      </c>
      <c r="W4" s="120" t="s">
        <v>85</v>
      </c>
      <c r="X4" s="120">
        <v>1</v>
      </c>
      <c r="Y4" s="120">
        <v>2</v>
      </c>
      <c r="Z4" s="120" t="s">
        <v>85</v>
      </c>
      <c r="AA4" s="120">
        <v>1</v>
      </c>
      <c r="AB4" s="120">
        <v>2</v>
      </c>
      <c r="AC4" s="120" t="s">
        <v>85</v>
      </c>
      <c r="AD4" s="120">
        <v>1</v>
      </c>
      <c r="AE4" s="120">
        <v>2</v>
      </c>
      <c r="AF4" s="120" t="s">
        <v>85</v>
      </c>
      <c r="AG4" s="120">
        <v>1</v>
      </c>
      <c r="AH4" s="120">
        <v>2</v>
      </c>
      <c r="AI4" s="120" t="s">
        <v>85</v>
      </c>
      <c r="AJ4" s="120">
        <v>1</v>
      </c>
      <c r="AK4" s="120">
        <v>2</v>
      </c>
      <c r="AL4" s="120" t="s">
        <v>85</v>
      </c>
      <c r="AM4" s="120">
        <v>1</v>
      </c>
      <c r="AN4" s="120">
        <v>2</v>
      </c>
      <c r="AO4" s="120" t="s">
        <v>85</v>
      </c>
      <c r="AP4" s="120">
        <v>1</v>
      </c>
      <c r="AQ4" s="120">
        <v>2</v>
      </c>
      <c r="AR4" s="120" t="s">
        <v>85</v>
      </c>
      <c r="AS4" s="120">
        <v>1</v>
      </c>
      <c r="AT4" s="120">
        <v>2</v>
      </c>
      <c r="AU4" s="120" t="s">
        <v>85</v>
      </c>
      <c r="AV4" s="120">
        <v>1</v>
      </c>
      <c r="AW4" s="120">
        <v>2</v>
      </c>
      <c r="AX4" s="120" t="s">
        <v>85</v>
      </c>
      <c r="AY4" s="120">
        <v>1</v>
      </c>
      <c r="AZ4" s="120">
        <v>2</v>
      </c>
      <c r="BA4" s="120" t="s">
        <v>85</v>
      </c>
      <c r="BB4" s="120">
        <v>1</v>
      </c>
      <c r="BC4" s="120">
        <v>2</v>
      </c>
      <c r="BD4" s="120" t="s">
        <v>85</v>
      </c>
      <c r="BE4" s="120">
        <v>1</v>
      </c>
      <c r="BF4" s="120">
        <v>2</v>
      </c>
      <c r="BG4" s="120" t="s">
        <v>85</v>
      </c>
      <c r="BH4" s="120">
        <v>1</v>
      </c>
      <c r="BI4" s="120">
        <v>2</v>
      </c>
      <c r="BJ4" s="120" t="s">
        <v>85</v>
      </c>
      <c r="BK4" s="120">
        <v>1</v>
      </c>
      <c r="BL4" s="120">
        <v>2</v>
      </c>
      <c r="BM4" s="120" t="s">
        <v>85</v>
      </c>
      <c r="BN4" s="120">
        <v>1</v>
      </c>
      <c r="BO4" s="120">
        <v>2</v>
      </c>
      <c r="BP4" s="120" t="s">
        <v>85</v>
      </c>
      <c r="BQ4" s="120">
        <v>1</v>
      </c>
      <c r="BR4" s="120">
        <v>2</v>
      </c>
      <c r="BS4" s="120" t="s">
        <v>85</v>
      </c>
      <c r="BT4" s="120">
        <v>1</v>
      </c>
      <c r="BU4" s="120">
        <v>2</v>
      </c>
      <c r="BV4" s="120" t="s">
        <v>85</v>
      </c>
      <c r="BW4" s="120">
        <v>1</v>
      </c>
      <c r="BX4" s="120">
        <v>2</v>
      </c>
      <c r="BY4" s="120" t="s">
        <v>85</v>
      </c>
      <c r="BZ4" s="120">
        <v>1</v>
      </c>
      <c r="CA4" s="120">
        <v>2</v>
      </c>
      <c r="CB4" s="120" t="s">
        <v>85</v>
      </c>
      <c r="CC4" s="120">
        <v>1</v>
      </c>
      <c r="CD4" s="120">
        <v>2</v>
      </c>
      <c r="CE4" s="120" t="s">
        <v>85</v>
      </c>
      <c r="CF4" s="120">
        <v>1</v>
      </c>
      <c r="CG4" s="120">
        <v>2</v>
      </c>
      <c r="CH4" s="120" t="s">
        <v>85</v>
      </c>
      <c r="CI4" s="120">
        <v>1</v>
      </c>
      <c r="CJ4" s="121">
        <v>2</v>
      </c>
      <c r="CK4" s="122" t="s">
        <v>46</v>
      </c>
      <c r="CL4" s="122" t="s">
        <v>13</v>
      </c>
      <c r="CM4" s="122" t="s">
        <v>47</v>
      </c>
      <c r="CN4" s="122" t="s">
        <v>46</v>
      </c>
      <c r="CO4" s="122" t="s">
        <v>13</v>
      </c>
      <c r="CP4" s="122" t="s">
        <v>47</v>
      </c>
      <c r="CQ4" s="122" t="s">
        <v>46</v>
      </c>
      <c r="CR4" s="122" t="s">
        <v>13</v>
      </c>
      <c r="CS4" s="122" t="s">
        <v>47</v>
      </c>
      <c r="CT4" s="122" t="s">
        <v>46</v>
      </c>
      <c r="CU4" s="122" t="s">
        <v>13</v>
      </c>
      <c r="CV4" s="122" t="s">
        <v>47</v>
      </c>
      <c r="CW4" s="122" t="s">
        <v>46</v>
      </c>
      <c r="CX4" s="122" t="s">
        <v>13</v>
      </c>
      <c r="CY4" s="122" t="s">
        <v>47</v>
      </c>
      <c r="CZ4" s="122" t="s">
        <v>46</v>
      </c>
      <c r="DA4" s="122" t="s">
        <v>13</v>
      </c>
      <c r="DB4" s="122" t="s">
        <v>47</v>
      </c>
      <c r="DC4" s="122" t="s">
        <v>46</v>
      </c>
      <c r="DD4" s="122" t="s">
        <v>13</v>
      </c>
      <c r="DE4" s="122" t="s">
        <v>47</v>
      </c>
      <c r="DF4" s="122" t="s">
        <v>46</v>
      </c>
      <c r="DG4" s="122" t="s">
        <v>13</v>
      </c>
      <c r="DH4" s="122" t="s">
        <v>47</v>
      </c>
      <c r="DI4" s="122" t="s">
        <v>46</v>
      </c>
      <c r="DJ4" s="122" t="s">
        <v>13</v>
      </c>
      <c r="DK4" s="122" t="s">
        <v>47</v>
      </c>
      <c r="DL4" s="100"/>
      <c r="DM4" s="122" t="s">
        <v>46</v>
      </c>
      <c r="DN4" s="122" t="s">
        <v>13</v>
      </c>
      <c r="DO4" s="122" t="s">
        <v>47</v>
      </c>
      <c r="DP4" s="122" t="s">
        <v>46</v>
      </c>
      <c r="DQ4" s="122" t="s">
        <v>13</v>
      </c>
      <c r="DR4" s="122" t="s">
        <v>47</v>
      </c>
      <c r="DS4" s="122" t="s">
        <v>46</v>
      </c>
      <c r="DT4" s="122" t="s">
        <v>13</v>
      </c>
      <c r="DU4" s="122" t="s">
        <v>47</v>
      </c>
      <c r="DV4" s="122" t="s">
        <v>46</v>
      </c>
      <c r="DW4" s="122" t="s">
        <v>13</v>
      </c>
      <c r="DX4" s="122" t="s">
        <v>47</v>
      </c>
      <c r="DY4" s="123" t="s">
        <v>85</v>
      </c>
      <c r="DZ4" s="100"/>
      <c r="EA4" s="100"/>
      <c r="EB4" s="100"/>
      <c r="EC4" s="100"/>
      <c r="ED4" s="100"/>
      <c r="EE4" s="100"/>
      <c r="EF4" s="119"/>
      <c r="EG4" s="100"/>
      <c r="EH4" s="100"/>
      <c r="EI4" s="124"/>
    </row>
    <row r="5" spans="1:142" ht="30" x14ac:dyDescent="0.25">
      <c r="A5" s="125">
        <v>1</v>
      </c>
      <c r="B5" s="102" t="s">
        <v>116</v>
      </c>
      <c r="C5" s="126" t="str">
        <f>[1]PERS!N13</f>
        <v>A</v>
      </c>
      <c r="D5" s="126" t="str">
        <f>[1]PERS!AH13</f>
        <v>A</v>
      </c>
      <c r="E5" s="126" t="str">
        <f>[1]PERS!AZ13</f>
        <v>A</v>
      </c>
      <c r="F5" s="126" t="str">
        <f>[1]PERS!R13</f>
        <v>A</v>
      </c>
      <c r="G5" s="126" t="str">
        <f>[1]PERS!AL13</f>
        <v>A</v>
      </c>
      <c r="H5" s="126" t="str">
        <f>[1]PERS!BA13</f>
        <v>A</v>
      </c>
      <c r="I5" s="126" t="str">
        <f>[1]PERS!V13</f>
        <v>A</v>
      </c>
      <c r="J5" s="126" t="str">
        <f>[1]PERS!AP13</f>
        <v>A</v>
      </c>
      <c r="K5" s="126" t="str">
        <f>[1]PERS!BB13</f>
        <v>A</v>
      </c>
      <c r="L5" s="126" t="str">
        <f>[1]PERS!Z13</f>
        <v>A</v>
      </c>
      <c r="M5" s="126" t="str">
        <f>[1]PERS!AT13</f>
        <v>A</v>
      </c>
      <c r="N5" s="126" t="str">
        <f>[1]PERS!BC13</f>
        <v>A</v>
      </c>
      <c r="O5" s="126" t="str">
        <f>[1]PERS!AD13</f>
        <v>A</v>
      </c>
      <c r="P5" s="126" t="str">
        <f>[1]PERS!AX13</f>
        <v>A</v>
      </c>
      <c r="Q5" s="126" t="str">
        <f>[1]PERS!BD13</f>
        <v>A</v>
      </c>
      <c r="R5" s="126" t="str">
        <f>[1]EFIS!N13</f>
        <v>AD</v>
      </c>
      <c r="S5" s="126" t="str">
        <f>[1]EFIS!AH13</f>
        <v>A</v>
      </c>
      <c r="T5" s="126" t="str">
        <f>[1]EFIS!AZ13</f>
        <v>AD</v>
      </c>
      <c r="U5" s="126" t="str">
        <f>[1]EFIS!R13</f>
        <v>A</v>
      </c>
      <c r="V5" s="126" t="str">
        <f>[1]EFIS!AL13</f>
        <v>A</v>
      </c>
      <c r="W5" s="126" t="str">
        <f>[1]EFIS!BA13</f>
        <v>A</v>
      </c>
      <c r="X5" s="126" t="str">
        <f>[1]EFIS!V13</f>
        <v>A</v>
      </c>
      <c r="Y5" s="126" t="str">
        <f>[1]EFIS!AP13</f>
        <v>A</v>
      </c>
      <c r="Z5" s="126" t="str">
        <f>[1]EFIS!BB13</f>
        <v>A</v>
      </c>
      <c r="AA5" s="126" t="str">
        <f>[1]COMU!N13</f>
        <v>A</v>
      </c>
      <c r="AB5" s="126" t="str">
        <f>[1]COMU!AH13</f>
        <v>A</v>
      </c>
      <c r="AC5" s="126" t="str">
        <f>[1]COMU!AZ13</f>
        <v>A</v>
      </c>
      <c r="AD5" s="126" t="str">
        <f>[1]COMU!R13</f>
        <v>A</v>
      </c>
      <c r="AE5" s="126" t="str">
        <f>[1]COMU!AH13</f>
        <v>A</v>
      </c>
      <c r="AF5" s="126" t="str">
        <f>[1]COMU!BA13</f>
        <v>A</v>
      </c>
      <c r="AG5" s="126" t="str">
        <f>[1]COMU!V13</f>
        <v>A</v>
      </c>
      <c r="AH5" s="126" t="str">
        <f>[1]COMU!AP13</f>
        <v>A</v>
      </c>
      <c r="AI5" s="126" t="str">
        <f>[1]COMU!BB13</f>
        <v>A</v>
      </c>
      <c r="AJ5" s="126" t="str">
        <f>[1]ARTE!N13</f>
        <v>A</v>
      </c>
      <c r="AK5" s="126" t="str">
        <f>[1]ARTE!AH13</f>
        <v>A</v>
      </c>
      <c r="AL5" s="126" t="str">
        <f>[1]ARTE!AZ13</f>
        <v>A</v>
      </c>
      <c r="AM5" s="126" t="str">
        <f>[1]ARTE!R13</f>
        <v>A</v>
      </c>
      <c r="AN5" s="126" t="str">
        <f>[1]ARTE!AL13</f>
        <v>A</v>
      </c>
      <c r="AO5" s="126" t="str">
        <f>[1]ARTE!BA13</f>
        <v>A</v>
      </c>
      <c r="AP5" s="126" t="str">
        <f>[1]ING!N13</f>
        <v>A</v>
      </c>
      <c r="AQ5" s="126" t="str">
        <f>[1]ING!AH13</f>
        <v>A</v>
      </c>
      <c r="AR5" s="126" t="str">
        <f>[1]ING!AZ13</f>
        <v>A</v>
      </c>
      <c r="AS5" s="126" t="str">
        <f>[1]ING!R13</f>
        <v>A</v>
      </c>
      <c r="AT5" s="126" t="str">
        <f>[1]ING!AL13</f>
        <v>A</v>
      </c>
      <c r="AU5" s="126" t="str">
        <f>[1]ING!BA13</f>
        <v>A</v>
      </c>
      <c r="AV5" s="126" t="str">
        <f>[1]ING!V13</f>
        <v>A</v>
      </c>
      <c r="AW5" s="126" t="str">
        <f>[1]ING!AP13</f>
        <v>A</v>
      </c>
      <c r="AX5" s="126" t="str">
        <f>[1]ING!BB13</f>
        <v>A</v>
      </c>
      <c r="AY5" s="126" t="str">
        <f>[1]MATE!N13</f>
        <v>A</v>
      </c>
      <c r="AZ5" s="126" t="str">
        <f>[1]MATE!AH13</f>
        <v>A</v>
      </c>
      <c r="BA5" s="126" t="str">
        <f>[1]MATE!AZ13</f>
        <v>A</v>
      </c>
      <c r="BB5" s="126" t="str">
        <f>[1]MATE!R13</f>
        <v>B</v>
      </c>
      <c r="BC5" s="126" t="str">
        <f>[1]MATE!AL13</f>
        <v>A</v>
      </c>
      <c r="BD5" s="126" t="str">
        <f>[1]MATE!BA13</f>
        <v>A</v>
      </c>
      <c r="BE5" s="126" t="str">
        <f>[1]MATE!V13</f>
        <v>A</v>
      </c>
      <c r="BF5" s="126" t="str">
        <f>[1]MATE!AP13</f>
        <v>A</v>
      </c>
      <c r="BG5" s="126" t="str">
        <f>[1]MATE!BB13</f>
        <v>A</v>
      </c>
      <c r="BH5" s="126" t="str">
        <f>[1]MATE!Z13</f>
        <v>A</v>
      </c>
      <c r="BI5" s="126" t="str">
        <f>[1]MATE!AT13</f>
        <v>A</v>
      </c>
      <c r="BJ5" s="126" t="str">
        <f>[1]MATE!BC13</f>
        <v>A</v>
      </c>
      <c r="BK5" s="126" t="str">
        <f>[1]CTEC!N13</f>
        <v>A</v>
      </c>
      <c r="BL5" s="126" t="str">
        <f>[1]CTEC!AH13</f>
        <v>A</v>
      </c>
      <c r="BM5" s="126" t="str">
        <f>[1]CTEC!AZ13</f>
        <v>A</v>
      </c>
      <c r="BN5" s="126" t="str">
        <f>[1]CTEC!R13</f>
        <v>A</v>
      </c>
      <c r="BO5" s="126" t="str">
        <f>[1]CTEC!AL13</f>
        <v>A</v>
      </c>
      <c r="BP5" s="126" t="str">
        <f>[1]CTEC!BA13</f>
        <v>A</v>
      </c>
      <c r="BQ5" s="126" t="str">
        <f>[1]CTEC!V13</f>
        <v>A</v>
      </c>
      <c r="BR5" s="126" t="str">
        <f>[1]CTEC!AP13</f>
        <v>A</v>
      </c>
      <c r="BS5" s="126" t="str">
        <f>[1]CTEC!BB13</f>
        <v>A</v>
      </c>
      <c r="BT5" s="126" t="str">
        <f>[1]REL!N13</f>
        <v>A</v>
      </c>
      <c r="BU5" s="126" t="str">
        <f>[1]REL!AH13</f>
        <v>A</v>
      </c>
      <c r="BV5" s="126" t="str">
        <f>[1]REL!AZ13</f>
        <v>A</v>
      </c>
      <c r="BW5" s="126" t="str">
        <f>[1]REL!R13</f>
        <v>A</v>
      </c>
      <c r="BX5" s="126" t="str">
        <f>[1]REL!AL13</f>
        <v>A</v>
      </c>
      <c r="BY5" s="126" t="str">
        <f>[1]REL!BA13</f>
        <v>A</v>
      </c>
      <c r="BZ5" s="126" t="str">
        <f>[1]EMPR!N13</f>
        <v>A</v>
      </c>
      <c r="CA5" s="126" t="str">
        <f>[1]EMPR!AH13</f>
        <v>A</v>
      </c>
      <c r="CB5" s="126" t="str">
        <f>[1]EMPR!AZ13</f>
        <v>A</v>
      </c>
      <c r="CC5" s="126" t="str">
        <f>[1]COMPU!N13</f>
        <v>A</v>
      </c>
      <c r="CD5" s="126" t="str">
        <f>[1]COMPU!AH13</f>
        <v>A</v>
      </c>
      <c r="CE5" s="126" t="str">
        <f>[1]COMPU!AZ13</f>
        <v>A</v>
      </c>
      <c r="CF5" s="126" t="str">
        <f>[1]ROBOTI!N13</f>
        <v>A</v>
      </c>
      <c r="CG5" s="126" t="str">
        <f>[1]ROBOTI!AH13</f>
        <v>A</v>
      </c>
      <c r="CH5" s="126" t="str">
        <f>[1]ROBOTI!AZ13</f>
        <v>A</v>
      </c>
      <c r="CI5" s="126" t="str">
        <f>[1]APREPER!AL12</f>
        <v>A</v>
      </c>
      <c r="CJ5" s="127" t="str">
        <f>[1]APREPER!AM12</f>
        <v>A</v>
      </c>
      <c r="CK5" s="128" t="str">
        <f>[1]APREPER!I12</f>
        <v>X</v>
      </c>
      <c r="CL5" s="128">
        <f>[1]APREPER!J12</f>
        <v>0</v>
      </c>
      <c r="CM5" s="128">
        <f>[1]APREPER!K12</f>
        <v>0</v>
      </c>
      <c r="CN5" s="128" t="str">
        <f>[1]APREPER!L12</f>
        <v>X</v>
      </c>
      <c r="CO5" s="128">
        <f>[1]APREPER!M12</f>
        <v>0</v>
      </c>
      <c r="CP5" s="128">
        <f>[1]APREPER!N12</f>
        <v>0</v>
      </c>
      <c r="CQ5" s="128" t="str">
        <f>[1]APREPER!O12</f>
        <v>X</v>
      </c>
      <c r="CR5" s="128">
        <f>[1]APREPER!P12</f>
        <v>0</v>
      </c>
      <c r="CS5" s="128">
        <f>[1]APREPER!Q12</f>
        <v>0</v>
      </c>
      <c r="CT5" s="128" t="str">
        <f>[1]APREPER!R12</f>
        <v>X</v>
      </c>
      <c r="CU5" s="128">
        <f>[1]APREPER!S12</f>
        <v>0</v>
      </c>
      <c r="CV5" s="128">
        <f>[1]APREPER!T12</f>
        <v>0</v>
      </c>
      <c r="CW5" s="128" t="str">
        <f>[1]APREPER!U12</f>
        <v>X</v>
      </c>
      <c r="CX5" s="128">
        <f>[1]APREPER!V12</f>
        <v>0</v>
      </c>
      <c r="CY5" s="128">
        <f>[1]APREPER!W12</f>
        <v>0</v>
      </c>
      <c r="CZ5" s="128" t="str">
        <f>[1]APREPER!X12</f>
        <v>X</v>
      </c>
      <c r="DA5" s="128">
        <f>[1]APREPER!Y12</f>
        <v>0</v>
      </c>
      <c r="DB5" s="128">
        <f>[1]APREPER!Z12</f>
        <v>0</v>
      </c>
      <c r="DC5" s="128" t="str">
        <f>[1]APREPER!AA12</f>
        <v>X</v>
      </c>
      <c r="DD5" s="128">
        <f>[1]APREPER!AB12</f>
        <v>0</v>
      </c>
      <c r="DE5" s="128">
        <f>[1]APREPER!AC12</f>
        <v>0</v>
      </c>
      <c r="DF5" s="128" t="str">
        <f>[1]APREPER!AD12</f>
        <v>X</v>
      </c>
      <c r="DG5" s="128">
        <f>[1]APREPER!AE12</f>
        <v>0</v>
      </c>
      <c r="DH5" s="128">
        <f>[1]APREPER!AF12</f>
        <v>0</v>
      </c>
      <c r="DI5" s="128" t="str">
        <f>[1]APREPER!AG12</f>
        <v>X</v>
      </c>
      <c r="DJ5" s="128">
        <f>[1]APREPER!AH12</f>
        <v>0</v>
      </c>
      <c r="DK5" s="128">
        <f>[1]APREPER!AI12</f>
        <v>0</v>
      </c>
      <c r="DL5" s="128" t="str">
        <f>[1]APREPER!AJ12</f>
        <v>A</v>
      </c>
      <c r="DM5" s="128">
        <f>[1]APREPPFF!I12</f>
        <v>0</v>
      </c>
      <c r="DN5" s="128" t="str">
        <f>[1]APREPPFF!J12</f>
        <v>X</v>
      </c>
      <c r="DO5" s="128">
        <f>[1]APREPPFF!K12</f>
        <v>0</v>
      </c>
      <c r="DP5" s="128" t="str">
        <f>[1]APREPPFF!L12</f>
        <v>X</v>
      </c>
      <c r="DQ5" s="128">
        <f>[1]APREPPFF!M12</f>
        <v>0</v>
      </c>
      <c r="DR5" s="128">
        <f>[1]APREPPFF!N12</f>
        <v>0</v>
      </c>
      <c r="DS5" s="128" t="str">
        <f>[1]APREPPFF!O12</f>
        <v>X</v>
      </c>
      <c r="DT5" s="128">
        <f>[1]APREPPFF!P12</f>
        <v>0</v>
      </c>
      <c r="DU5" s="128">
        <f>[1]APREPPFF!Q12</f>
        <v>0</v>
      </c>
      <c r="DV5" s="128">
        <f>[1]APREPPFF!R12</f>
        <v>0</v>
      </c>
      <c r="DW5" s="128" t="str">
        <f>[1]APREPPFF!S12</f>
        <v>X</v>
      </c>
      <c r="DX5" s="128">
        <f>[1]APREPPFF!T12</f>
        <v>0</v>
      </c>
      <c r="DY5" s="128" t="str">
        <f>[1]APREPPFF!U12</f>
        <v>A</v>
      </c>
      <c r="DZ5" s="128">
        <f>[1]ASISTEN!$BS$4</f>
        <v>47</v>
      </c>
      <c r="EA5" s="129">
        <f>[1]ASISTEN!BT13</f>
        <v>1</v>
      </c>
      <c r="EB5" s="128">
        <f>[1]ASISTEN!BP13</f>
        <v>44</v>
      </c>
      <c r="EC5" s="128">
        <f>[1]ASISTEN!BQ13</f>
        <v>3</v>
      </c>
      <c r="ED5" s="128">
        <f>[1]ASISTEN!BR13</f>
        <v>0</v>
      </c>
      <c r="EE5" s="128">
        <f>[1]ASISTEN!BS13</f>
        <v>0</v>
      </c>
      <c r="EF5" s="130" t="str">
        <f>[1]APREPER!AN12</f>
        <v>Mantiene un rendimiento satisfactorio en todas las competencias evaluadas, demostrando responsabilidad, compromiso y un adecuado desarrollo de sus aprendizajes.</v>
      </c>
      <c r="EG5" s="128">
        <f t="shared" ref="EG5:EG29" si="0">((EJ5*3)+(EK5*2)+(EL5*1))</f>
        <v>173</v>
      </c>
      <c r="EH5" s="128">
        <f t="shared" ref="EH5:EH29" si="1">RANK(EG5,$EG$5:$EG$32,0)</f>
        <v>3</v>
      </c>
      <c r="EI5" s="128"/>
      <c r="EJ5" s="104">
        <f t="shared" ref="EJ5:EJ32" si="2">COUNTIF(C5:CJ5,"AD")</f>
        <v>2</v>
      </c>
      <c r="EK5" s="104">
        <f t="shared" ref="EK5:EK32" si="3">COUNTIF(C5:CJ5,"A")</f>
        <v>83</v>
      </c>
      <c r="EL5" s="104">
        <f t="shared" ref="EL5:EL32" si="4">COUNTIF(C5:CJ5,"B")</f>
        <v>1</v>
      </c>
    </row>
    <row r="6" spans="1:142" ht="30" x14ac:dyDescent="0.25">
      <c r="A6" s="125">
        <v>2</v>
      </c>
      <c r="B6" s="102" t="s">
        <v>117</v>
      </c>
      <c r="C6" s="126" t="str">
        <f>[1]PERS!N14</f>
        <v>A</v>
      </c>
      <c r="D6" s="126" t="str">
        <f>[1]PERS!AH14</f>
        <v>A</v>
      </c>
      <c r="E6" s="126" t="str">
        <f>[1]PERS!AZ14</f>
        <v>A</v>
      </c>
      <c r="F6" s="126" t="str">
        <f>[1]PERS!R14</f>
        <v>A</v>
      </c>
      <c r="G6" s="126" t="str">
        <f>[1]PERS!AL14</f>
        <v>A</v>
      </c>
      <c r="H6" s="126" t="str">
        <f>[1]PERS!BA14</f>
        <v>A</v>
      </c>
      <c r="I6" s="126" t="str">
        <f>[1]PERS!V14</f>
        <v>A</v>
      </c>
      <c r="J6" s="126" t="str">
        <f>[1]PERS!AP14</f>
        <v>A</v>
      </c>
      <c r="K6" s="126" t="str">
        <f>[1]PERS!BB14</f>
        <v>A</v>
      </c>
      <c r="L6" s="126" t="str">
        <f>[1]PERS!Z14</f>
        <v>A</v>
      </c>
      <c r="M6" s="126" t="str">
        <f>[1]PERS!AT14</f>
        <v>A</v>
      </c>
      <c r="N6" s="126" t="str">
        <f>[1]PERS!BC14</f>
        <v>A</v>
      </c>
      <c r="O6" s="126" t="str">
        <f>[1]PERS!AD14</f>
        <v>A</v>
      </c>
      <c r="P6" s="126" t="str">
        <f>[1]PERS!AX14</f>
        <v>A</v>
      </c>
      <c r="Q6" s="126" t="str">
        <f>[1]PERS!BD14</f>
        <v>A</v>
      </c>
      <c r="R6" s="126" t="str">
        <f>[1]EFIS!N14</f>
        <v>A</v>
      </c>
      <c r="S6" s="126" t="str">
        <f>[1]EFIS!AH14</f>
        <v>A</v>
      </c>
      <c r="T6" s="126" t="str">
        <f>[1]EFIS!AZ14</f>
        <v>A</v>
      </c>
      <c r="U6" s="126" t="str">
        <f>[1]EFIS!R14</f>
        <v>A</v>
      </c>
      <c r="V6" s="126" t="str">
        <f>[1]EFIS!AL14</f>
        <v>A</v>
      </c>
      <c r="W6" s="126" t="str">
        <f>[1]EFIS!BA14</f>
        <v>A</v>
      </c>
      <c r="X6" s="126" t="str">
        <f>[1]EFIS!V14</f>
        <v>A</v>
      </c>
      <c r="Y6" s="126" t="str">
        <f>[1]EFIS!AP14</f>
        <v>A</v>
      </c>
      <c r="Z6" s="126" t="str">
        <f>[1]EFIS!BB14</f>
        <v>A</v>
      </c>
      <c r="AA6" s="126" t="str">
        <f>[1]COMU!N14</f>
        <v>A</v>
      </c>
      <c r="AB6" s="126" t="str">
        <f>[1]COMU!AH14</f>
        <v>A</v>
      </c>
      <c r="AC6" s="126" t="str">
        <f>[1]COMU!AZ14</f>
        <v>A</v>
      </c>
      <c r="AD6" s="126" t="str">
        <f>[1]COMU!R14</f>
        <v>A</v>
      </c>
      <c r="AE6" s="126" t="str">
        <f>[1]COMU!AH14</f>
        <v>A</v>
      </c>
      <c r="AF6" s="126" t="str">
        <f>[1]COMU!BA14</f>
        <v>A</v>
      </c>
      <c r="AG6" s="126" t="str">
        <f>[1]COMU!V14</f>
        <v>A</v>
      </c>
      <c r="AH6" s="126" t="str">
        <f>[1]COMU!AP14</f>
        <v>A</v>
      </c>
      <c r="AI6" s="126" t="str">
        <f>[1]COMU!BB14</f>
        <v>A</v>
      </c>
      <c r="AJ6" s="126" t="str">
        <f>[1]ARTE!N14</f>
        <v>A</v>
      </c>
      <c r="AK6" s="126" t="str">
        <f>[1]ARTE!AH14</f>
        <v>A</v>
      </c>
      <c r="AL6" s="126" t="str">
        <f>[1]ARTE!AZ14</f>
        <v>A</v>
      </c>
      <c r="AM6" s="126" t="str">
        <f>[1]ARTE!R14</f>
        <v>A</v>
      </c>
      <c r="AN6" s="126" t="str">
        <f>[1]ARTE!AL14</f>
        <v>A</v>
      </c>
      <c r="AO6" s="126" t="str">
        <f>[1]ARTE!BA14</f>
        <v>A</v>
      </c>
      <c r="AP6" s="126" t="str">
        <f>[1]ING!N14</f>
        <v>A</v>
      </c>
      <c r="AQ6" s="126" t="str">
        <f>[1]ING!AH14</f>
        <v>A</v>
      </c>
      <c r="AR6" s="126" t="str">
        <f>[1]ING!AZ14</f>
        <v>A</v>
      </c>
      <c r="AS6" s="126" t="str">
        <f>[1]ING!R14</f>
        <v>A</v>
      </c>
      <c r="AT6" s="126" t="str">
        <f>[1]ING!AL14</f>
        <v>A</v>
      </c>
      <c r="AU6" s="126" t="str">
        <f>[1]ING!BA14</f>
        <v>A</v>
      </c>
      <c r="AV6" s="126" t="str">
        <f>[1]ING!V14</f>
        <v>A</v>
      </c>
      <c r="AW6" s="126" t="str">
        <f>[1]ING!AP14</f>
        <v>A</v>
      </c>
      <c r="AX6" s="126" t="str">
        <f>[1]ING!BB14</f>
        <v>A</v>
      </c>
      <c r="AY6" s="126" t="str">
        <f>[1]MATE!N14</f>
        <v>A</v>
      </c>
      <c r="AZ6" s="126" t="str">
        <f>[1]MATE!AH14</f>
        <v>B</v>
      </c>
      <c r="BA6" s="126" t="str">
        <f>[1]MATE!AZ14</f>
        <v>A</v>
      </c>
      <c r="BB6" s="126" t="str">
        <f>[1]MATE!R14</f>
        <v>A</v>
      </c>
      <c r="BC6" s="126" t="str">
        <f>[1]MATE!AL14</f>
        <v>A</v>
      </c>
      <c r="BD6" s="126" t="str">
        <f>[1]MATE!BA14</f>
        <v>A</v>
      </c>
      <c r="BE6" s="126" t="str">
        <f>[1]MATE!V14</f>
        <v>A</v>
      </c>
      <c r="BF6" s="126" t="str">
        <f>[1]MATE!AP14</f>
        <v>B</v>
      </c>
      <c r="BG6" s="126" t="str">
        <f>[1]MATE!BB14</f>
        <v>A</v>
      </c>
      <c r="BH6" s="126" t="str">
        <f>[1]MATE!Z14</f>
        <v>A</v>
      </c>
      <c r="BI6" s="126" t="str">
        <f>[1]MATE!AT14</f>
        <v>A</v>
      </c>
      <c r="BJ6" s="126" t="str">
        <f>[1]MATE!BC14</f>
        <v>A</v>
      </c>
      <c r="BK6" s="126" t="str">
        <f>[1]CTEC!N14</f>
        <v>A</v>
      </c>
      <c r="BL6" s="126" t="str">
        <f>[1]CTEC!AH14</f>
        <v>B</v>
      </c>
      <c r="BM6" s="126" t="str">
        <f>[1]CTEC!AZ14</f>
        <v>A</v>
      </c>
      <c r="BN6" s="126" t="str">
        <f>[1]CTEC!R14</f>
        <v>A</v>
      </c>
      <c r="BO6" s="126" t="str">
        <f>[1]CTEC!AL14</f>
        <v>A</v>
      </c>
      <c r="BP6" s="126" t="str">
        <f>[1]CTEC!BA14</f>
        <v>A</v>
      </c>
      <c r="BQ6" s="126" t="str">
        <f>[1]CTEC!V14</f>
        <v>A</v>
      </c>
      <c r="BR6" s="126" t="str">
        <f>[1]CTEC!AP14</f>
        <v>A</v>
      </c>
      <c r="BS6" s="126" t="str">
        <f>[1]CTEC!BB14</f>
        <v>A</v>
      </c>
      <c r="BT6" s="126" t="str">
        <f>[1]REL!N14</f>
        <v>A</v>
      </c>
      <c r="BU6" s="126" t="str">
        <f>[1]REL!AH14</f>
        <v>A</v>
      </c>
      <c r="BV6" s="126" t="str">
        <f>[1]REL!AZ14</f>
        <v>A</v>
      </c>
      <c r="BW6" s="126" t="str">
        <f>[1]REL!R14</f>
        <v>A</v>
      </c>
      <c r="BX6" s="126" t="str">
        <f>[1]REL!AL14</f>
        <v>A</v>
      </c>
      <c r="BY6" s="126" t="str">
        <f>[1]REL!BA14</f>
        <v>A</v>
      </c>
      <c r="BZ6" s="126" t="str">
        <f>[1]EMPR!N14</f>
        <v>A</v>
      </c>
      <c r="CA6" s="126" t="str">
        <f>[1]EMPR!AH14</f>
        <v>A</v>
      </c>
      <c r="CB6" s="126" t="str">
        <f>[1]EMPR!AZ14</f>
        <v>A</v>
      </c>
      <c r="CC6" s="126" t="str">
        <f>[1]COMPU!N14</f>
        <v>A</v>
      </c>
      <c r="CD6" s="126" t="str">
        <f>[1]COMPU!AH14</f>
        <v>A</v>
      </c>
      <c r="CE6" s="126" t="str">
        <f>[1]COMPU!AZ14</f>
        <v>A</v>
      </c>
      <c r="CF6" s="126" t="str">
        <f>[1]ROBOTI!N14</f>
        <v>A</v>
      </c>
      <c r="CG6" s="126" t="str">
        <f>[1]ROBOTI!AH14</f>
        <v>A</v>
      </c>
      <c r="CH6" s="126" t="str">
        <f>[1]ROBOTI!AZ14</f>
        <v>A</v>
      </c>
      <c r="CI6" s="126" t="str">
        <f>[1]APREPER!AL13</f>
        <v>A</v>
      </c>
      <c r="CJ6" s="127" t="str">
        <f>[1]APREPER!AM13</f>
        <v>A</v>
      </c>
      <c r="CK6" s="128" t="str">
        <f>[1]APREPER!I13</f>
        <v>X</v>
      </c>
      <c r="CL6" s="128">
        <f>[1]APREPER!J13</f>
        <v>0</v>
      </c>
      <c r="CM6" s="128">
        <f>[1]APREPER!K13</f>
        <v>0</v>
      </c>
      <c r="CN6" s="128">
        <f>[1]APREPER!L13</f>
        <v>0</v>
      </c>
      <c r="CO6" s="128" t="str">
        <f>[1]APREPER!M13</f>
        <v>X</v>
      </c>
      <c r="CP6" s="128">
        <f>[1]APREPER!N13</f>
        <v>0</v>
      </c>
      <c r="CQ6" s="128" t="str">
        <f>[1]APREPER!O13</f>
        <v>X</v>
      </c>
      <c r="CR6" s="128">
        <f>[1]APREPER!P13</f>
        <v>0</v>
      </c>
      <c r="CS6" s="128">
        <f>[1]APREPER!Q13</f>
        <v>0</v>
      </c>
      <c r="CT6" s="128" t="str">
        <f>[1]APREPER!R13</f>
        <v>X</v>
      </c>
      <c r="CU6" s="128">
        <f>[1]APREPER!S13</f>
        <v>0</v>
      </c>
      <c r="CV6" s="128">
        <f>[1]APREPER!T13</f>
        <v>0</v>
      </c>
      <c r="CW6" s="128" t="str">
        <f>[1]APREPER!U13</f>
        <v>X</v>
      </c>
      <c r="CX6" s="128">
        <f>[1]APREPER!V13</f>
        <v>0</v>
      </c>
      <c r="CY6" s="128">
        <f>[1]APREPER!W13</f>
        <v>0</v>
      </c>
      <c r="CZ6" s="128" t="str">
        <f>[1]APREPER!X13</f>
        <v>X</v>
      </c>
      <c r="DA6" s="128">
        <f>[1]APREPER!Y13</f>
        <v>0</v>
      </c>
      <c r="DB6" s="128">
        <f>[1]APREPER!Z13</f>
        <v>0</v>
      </c>
      <c r="DC6" s="128" t="str">
        <f>[1]APREPER!AA13</f>
        <v>X</v>
      </c>
      <c r="DD6" s="128">
        <f>[1]APREPER!AB13</f>
        <v>0</v>
      </c>
      <c r="DE6" s="128">
        <f>[1]APREPER!AC13</f>
        <v>0</v>
      </c>
      <c r="DF6" s="128" t="str">
        <f>[1]APREPER!AD13</f>
        <v>X</v>
      </c>
      <c r="DG6" s="128">
        <f>[1]APREPER!AE13</f>
        <v>0</v>
      </c>
      <c r="DH6" s="128">
        <f>[1]APREPER!AF13</f>
        <v>0</v>
      </c>
      <c r="DI6" s="128" t="str">
        <f>[1]APREPER!AG13</f>
        <v>X</v>
      </c>
      <c r="DJ6" s="128">
        <f>[1]APREPER!AH13</f>
        <v>0</v>
      </c>
      <c r="DK6" s="128">
        <f>[1]APREPER!AI13</f>
        <v>0</v>
      </c>
      <c r="DL6" s="128" t="str">
        <f>[1]APREPER!AJ13</f>
        <v>A</v>
      </c>
      <c r="DM6" s="128" t="str">
        <f>[1]APREPPFF!I13</f>
        <v>X</v>
      </c>
      <c r="DN6" s="128">
        <f>[1]APREPPFF!J13</f>
        <v>0</v>
      </c>
      <c r="DO6" s="128">
        <f>[1]APREPPFF!K13</f>
        <v>0</v>
      </c>
      <c r="DP6" s="128" t="str">
        <f>[1]APREPPFF!L13</f>
        <v>X</v>
      </c>
      <c r="DQ6" s="128">
        <f>[1]APREPPFF!M13</f>
        <v>0</v>
      </c>
      <c r="DR6" s="128">
        <f>[1]APREPPFF!N13</f>
        <v>0</v>
      </c>
      <c r="DS6" s="128" t="str">
        <f>[1]APREPPFF!O13</f>
        <v>X</v>
      </c>
      <c r="DT6" s="128">
        <f>[1]APREPPFF!P13</f>
        <v>0</v>
      </c>
      <c r="DU6" s="128">
        <f>[1]APREPPFF!Q13</f>
        <v>0</v>
      </c>
      <c r="DV6" s="128" t="str">
        <f>[1]APREPPFF!R13</f>
        <v>X</v>
      </c>
      <c r="DW6" s="128">
        <f>[1]APREPPFF!S13</f>
        <v>0</v>
      </c>
      <c r="DX6" s="128">
        <f>[1]APREPPFF!T13</f>
        <v>0</v>
      </c>
      <c r="DY6" s="128" t="str">
        <f>[1]APREPPFF!U13</f>
        <v>A</v>
      </c>
      <c r="DZ6" s="128">
        <f>[1]ASISTEN!$BS$4</f>
        <v>47</v>
      </c>
      <c r="EA6" s="129">
        <f>[1]ASISTEN!BT14</f>
        <v>1</v>
      </c>
      <c r="EB6" s="128">
        <f>[1]ASISTEN!BP14</f>
        <v>33</v>
      </c>
      <c r="EC6" s="128">
        <f>[1]ASISTEN!BQ14</f>
        <v>13</v>
      </c>
      <c r="ED6" s="128">
        <f>[1]ASISTEN!BR14</f>
        <v>1</v>
      </c>
      <c r="EE6" s="128">
        <f>[1]ASISTEN!BS14</f>
        <v>0</v>
      </c>
      <c r="EF6" s="130" t="str">
        <f>[1]APREPER!AN13</f>
        <v>Mantiene un rendimiento satisfactorio en todas las competencias evaluadas, demostrando responsabilidad, compromiso y un adecuado desarrollo de sus aprendizajes.</v>
      </c>
      <c r="EG6" s="128">
        <f t="shared" si="0"/>
        <v>169</v>
      </c>
      <c r="EH6" s="128">
        <f t="shared" si="1"/>
        <v>7</v>
      </c>
      <c r="EI6" s="128"/>
      <c r="EJ6" s="104">
        <f t="shared" si="2"/>
        <v>0</v>
      </c>
      <c r="EK6" s="104">
        <f t="shared" si="3"/>
        <v>83</v>
      </c>
      <c r="EL6" s="104">
        <f t="shared" si="4"/>
        <v>3</v>
      </c>
    </row>
    <row r="7" spans="1:142" ht="30" x14ac:dyDescent="0.25">
      <c r="A7" s="125">
        <v>3</v>
      </c>
      <c r="B7" s="102" t="s">
        <v>118</v>
      </c>
      <c r="C7" s="126" t="str">
        <f>[1]PERS!N15</f>
        <v>A</v>
      </c>
      <c r="D7" s="126" t="str">
        <f>[1]PERS!AH15</f>
        <v>A</v>
      </c>
      <c r="E7" s="126" t="str">
        <f>[1]PERS!AZ15</f>
        <v>A</v>
      </c>
      <c r="F7" s="126" t="str">
        <f>[1]PERS!R15</f>
        <v>A</v>
      </c>
      <c r="G7" s="126" t="str">
        <f>[1]PERS!AL15</f>
        <v>A</v>
      </c>
      <c r="H7" s="126" t="str">
        <f>[1]PERS!BA15</f>
        <v>A</v>
      </c>
      <c r="I7" s="126" t="str">
        <f>[1]PERS!V15</f>
        <v>B</v>
      </c>
      <c r="J7" s="126" t="str">
        <f>[1]PERS!AP15</f>
        <v>B</v>
      </c>
      <c r="K7" s="126" t="str">
        <f>[1]PERS!BB15</f>
        <v>B</v>
      </c>
      <c r="L7" s="126" t="str">
        <f>[1]PERS!Z15</f>
        <v>A</v>
      </c>
      <c r="M7" s="126" t="str">
        <f>[1]PERS!AT15</f>
        <v>A</v>
      </c>
      <c r="N7" s="126" t="str">
        <f>[1]PERS!BC15</f>
        <v>A</v>
      </c>
      <c r="O7" s="126" t="str">
        <f>[1]PERS!AD15</f>
        <v>A</v>
      </c>
      <c r="P7" s="126" t="str">
        <f>[1]PERS!AX15</f>
        <v>A</v>
      </c>
      <c r="Q7" s="126" t="str">
        <f>[1]PERS!BD15</f>
        <v>A</v>
      </c>
      <c r="R7" s="126" t="str">
        <f>[1]EFIS!N15</f>
        <v>AD</v>
      </c>
      <c r="S7" s="126" t="str">
        <f>[1]EFIS!AH15</f>
        <v>A</v>
      </c>
      <c r="T7" s="126" t="str">
        <f>[1]EFIS!AZ15</f>
        <v>AD</v>
      </c>
      <c r="U7" s="126" t="str">
        <f>[1]EFIS!R15</f>
        <v>A</v>
      </c>
      <c r="V7" s="126" t="str">
        <f>[1]EFIS!AL15</f>
        <v>A</v>
      </c>
      <c r="W7" s="126" t="str">
        <f>[1]EFIS!BA15</f>
        <v>A</v>
      </c>
      <c r="X7" s="126" t="str">
        <f>[1]EFIS!V15</f>
        <v>A</v>
      </c>
      <c r="Y7" s="126" t="str">
        <f>[1]EFIS!AP15</f>
        <v>A</v>
      </c>
      <c r="Z7" s="126" t="str">
        <f>[1]EFIS!BB15</f>
        <v>A</v>
      </c>
      <c r="AA7" s="126" t="str">
        <f>[1]COMU!N15</f>
        <v>A</v>
      </c>
      <c r="AB7" s="126" t="str">
        <f>[1]COMU!AH15</f>
        <v>A</v>
      </c>
      <c r="AC7" s="126" t="str">
        <f>[1]COMU!AZ15</f>
        <v>A</v>
      </c>
      <c r="AD7" s="126" t="str">
        <f>[1]COMU!R15</f>
        <v>A</v>
      </c>
      <c r="AE7" s="126" t="str">
        <f>[1]COMU!AH15</f>
        <v>A</v>
      </c>
      <c r="AF7" s="126" t="str">
        <f>[1]COMU!BA15</f>
        <v>A</v>
      </c>
      <c r="AG7" s="126" t="str">
        <f>[1]COMU!V15</f>
        <v>A</v>
      </c>
      <c r="AH7" s="126" t="str">
        <f>[1]COMU!AP15</f>
        <v>A</v>
      </c>
      <c r="AI7" s="126" t="str">
        <f>[1]COMU!BB15</f>
        <v>A</v>
      </c>
      <c r="AJ7" s="126" t="str">
        <f>[1]ARTE!N15</f>
        <v>A</v>
      </c>
      <c r="AK7" s="126" t="str">
        <f>[1]ARTE!AH15</f>
        <v>A</v>
      </c>
      <c r="AL7" s="126" t="str">
        <f>[1]ARTE!AZ15</f>
        <v>A</v>
      </c>
      <c r="AM7" s="126" t="str">
        <f>[1]ARTE!R15</f>
        <v>A</v>
      </c>
      <c r="AN7" s="126" t="str">
        <f>[1]ARTE!AL15</f>
        <v>A</v>
      </c>
      <c r="AO7" s="126" t="str">
        <f>[1]ARTE!BA15</f>
        <v>A</v>
      </c>
      <c r="AP7" s="126" t="str">
        <f>[1]ING!N15</f>
        <v>A</v>
      </c>
      <c r="AQ7" s="126" t="str">
        <f>[1]ING!AH15</f>
        <v>A</v>
      </c>
      <c r="AR7" s="126" t="str">
        <f>[1]ING!AZ15</f>
        <v>A</v>
      </c>
      <c r="AS7" s="126" t="str">
        <f>[1]ING!R15</f>
        <v>B</v>
      </c>
      <c r="AT7" s="126" t="str">
        <f>[1]ING!AL15</f>
        <v>A</v>
      </c>
      <c r="AU7" s="126" t="str">
        <f>[1]ING!BA15</f>
        <v>A</v>
      </c>
      <c r="AV7" s="126" t="str">
        <f>[1]ING!V15</f>
        <v>A</v>
      </c>
      <c r="AW7" s="126" t="str">
        <f>[1]ING!AP15</f>
        <v>A</v>
      </c>
      <c r="AX7" s="126" t="str">
        <f>[1]ING!BB15</f>
        <v>A</v>
      </c>
      <c r="AY7" s="126" t="str">
        <f>[1]MATE!N15</f>
        <v>B</v>
      </c>
      <c r="AZ7" s="126" t="str">
        <f>[1]MATE!AH15</f>
        <v>B</v>
      </c>
      <c r="BA7" s="126" t="str">
        <f>[1]MATE!AZ15</f>
        <v>B</v>
      </c>
      <c r="BB7" s="126" t="str">
        <f>[1]MATE!R15</f>
        <v>A</v>
      </c>
      <c r="BC7" s="126" t="str">
        <f>[1]MATE!AL15</f>
        <v>A</v>
      </c>
      <c r="BD7" s="126" t="str">
        <f>[1]MATE!BA15</f>
        <v>A</v>
      </c>
      <c r="BE7" s="126" t="str">
        <f>[1]MATE!V15</f>
        <v>A</v>
      </c>
      <c r="BF7" s="126" t="str">
        <f>[1]MATE!AP15</f>
        <v>B</v>
      </c>
      <c r="BG7" s="126" t="str">
        <f>[1]MATE!BB15</f>
        <v>A</v>
      </c>
      <c r="BH7" s="126" t="str">
        <f>[1]MATE!Z15</f>
        <v>A</v>
      </c>
      <c r="BI7" s="126" t="str">
        <f>[1]MATE!AT15</f>
        <v>A</v>
      </c>
      <c r="BJ7" s="126" t="str">
        <f>[1]MATE!BC15</f>
        <v>A</v>
      </c>
      <c r="BK7" s="126" t="str">
        <f>[1]CTEC!N15</f>
        <v>B</v>
      </c>
      <c r="BL7" s="126" t="str">
        <f>[1]CTEC!AH15</f>
        <v>A</v>
      </c>
      <c r="BM7" s="126" t="str">
        <f>[1]CTEC!AZ15</f>
        <v>A</v>
      </c>
      <c r="BN7" s="126" t="str">
        <f>[1]CTEC!R15</f>
        <v>B</v>
      </c>
      <c r="BO7" s="126" t="str">
        <f>[1]CTEC!AL15</f>
        <v>A</v>
      </c>
      <c r="BP7" s="126" t="str">
        <f>[1]CTEC!BA15</f>
        <v>A</v>
      </c>
      <c r="BQ7" s="126" t="str">
        <f>[1]CTEC!V15</f>
        <v>A</v>
      </c>
      <c r="BR7" s="126" t="str">
        <f>[1]CTEC!AP15</f>
        <v>A</v>
      </c>
      <c r="BS7" s="126" t="str">
        <f>[1]CTEC!BB15</f>
        <v>A</v>
      </c>
      <c r="BT7" s="126" t="str">
        <f>[1]REL!N15</f>
        <v>A</v>
      </c>
      <c r="BU7" s="126" t="str">
        <f>[1]REL!AH15</f>
        <v>A</v>
      </c>
      <c r="BV7" s="126" t="str">
        <f>[1]REL!AZ15</f>
        <v>A</v>
      </c>
      <c r="BW7" s="126" t="str">
        <f>[1]REL!R15</f>
        <v>A</v>
      </c>
      <c r="BX7" s="126" t="str">
        <f>[1]REL!AL15</f>
        <v>AD</v>
      </c>
      <c r="BY7" s="126" t="str">
        <f>[1]REL!BA15</f>
        <v>AD</v>
      </c>
      <c r="BZ7" s="126" t="str">
        <f>[1]EMPR!N15</f>
        <v>A</v>
      </c>
      <c r="CA7" s="126" t="str">
        <f>[1]EMPR!AH15</f>
        <v>A</v>
      </c>
      <c r="CB7" s="126" t="str">
        <f>[1]EMPR!AZ15</f>
        <v>A</v>
      </c>
      <c r="CC7" s="126" t="str">
        <f>[1]COMPU!N15</f>
        <v>A</v>
      </c>
      <c r="CD7" s="126" t="str">
        <f>[1]COMPU!AH15</f>
        <v>A</v>
      </c>
      <c r="CE7" s="126" t="str">
        <f>[1]COMPU!AZ15</f>
        <v>A</v>
      </c>
      <c r="CF7" s="126" t="str">
        <f>[1]ROBOTI!N15</f>
        <v>A</v>
      </c>
      <c r="CG7" s="126" t="str">
        <f>[1]ROBOTI!AH15</f>
        <v>A</v>
      </c>
      <c r="CH7" s="126" t="str">
        <f>[1]ROBOTI!AZ15</f>
        <v>A</v>
      </c>
      <c r="CI7" s="126" t="str">
        <f>[1]APREPER!AL14</f>
        <v>A</v>
      </c>
      <c r="CJ7" s="127" t="str">
        <f>[1]APREPER!AM14</f>
        <v>A</v>
      </c>
      <c r="CK7" s="128" t="str">
        <f>[1]APREPER!I14</f>
        <v>X</v>
      </c>
      <c r="CL7" s="128">
        <f>[1]APREPER!J14</f>
        <v>0</v>
      </c>
      <c r="CM7" s="128">
        <f>[1]APREPER!K14</f>
        <v>0</v>
      </c>
      <c r="CN7" s="128">
        <f>[1]APREPER!L14</f>
        <v>0</v>
      </c>
      <c r="CO7" s="128" t="str">
        <f>[1]APREPER!M14</f>
        <v>X</v>
      </c>
      <c r="CP7" s="128">
        <f>[1]APREPER!N14</f>
        <v>0</v>
      </c>
      <c r="CQ7" s="128" t="str">
        <f>[1]APREPER!O14</f>
        <v>X</v>
      </c>
      <c r="CR7" s="128">
        <f>[1]APREPER!P14</f>
        <v>0</v>
      </c>
      <c r="CS7" s="128">
        <f>[1]APREPER!Q14</f>
        <v>0</v>
      </c>
      <c r="CT7" s="128">
        <f>[1]APREPER!R14</f>
        <v>0</v>
      </c>
      <c r="CU7" s="128" t="str">
        <f>[1]APREPER!S14</f>
        <v>X</v>
      </c>
      <c r="CV7" s="128">
        <f>[1]APREPER!T14</f>
        <v>0</v>
      </c>
      <c r="CW7" s="128" t="str">
        <f>[1]APREPER!U14</f>
        <v>X</v>
      </c>
      <c r="CX7" s="128">
        <f>[1]APREPER!V14</f>
        <v>0</v>
      </c>
      <c r="CY7" s="128">
        <f>[1]APREPER!W14</f>
        <v>0</v>
      </c>
      <c r="CZ7" s="128" t="str">
        <f>[1]APREPER!X14</f>
        <v>X</v>
      </c>
      <c r="DA7" s="128">
        <f>[1]APREPER!Y14</f>
        <v>0</v>
      </c>
      <c r="DB7" s="128">
        <f>[1]APREPER!Z14</f>
        <v>0</v>
      </c>
      <c r="DC7" s="128" t="str">
        <f>[1]APREPER!AA14</f>
        <v>X</v>
      </c>
      <c r="DD7" s="128">
        <f>[1]APREPER!AB14</f>
        <v>0</v>
      </c>
      <c r="DE7" s="128">
        <f>[1]APREPER!AC14</f>
        <v>0</v>
      </c>
      <c r="DF7" s="128" t="str">
        <f>[1]APREPER!AD14</f>
        <v>X</v>
      </c>
      <c r="DG7" s="128">
        <f>[1]APREPER!AE14</f>
        <v>0</v>
      </c>
      <c r="DH7" s="128">
        <f>[1]APREPER!AF14</f>
        <v>0</v>
      </c>
      <c r="DI7" s="128" t="str">
        <f>[1]APREPER!AG14</f>
        <v>X</v>
      </c>
      <c r="DJ7" s="128">
        <f>[1]APREPER!AH14</f>
        <v>0</v>
      </c>
      <c r="DK7" s="128">
        <f>[1]APREPER!AI14</f>
        <v>0</v>
      </c>
      <c r="DL7" s="128" t="str">
        <f>[1]APREPER!AJ14</f>
        <v>A</v>
      </c>
      <c r="DM7" s="128" t="str">
        <f>[1]APREPPFF!I14</f>
        <v>X</v>
      </c>
      <c r="DN7" s="128">
        <f>[1]APREPPFF!J14</f>
        <v>0</v>
      </c>
      <c r="DO7" s="128">
        <f>[1]APREPPFF!K14</f>
        <v>0</v>
      </c>
      <c r="DP7" s="128" t="str">
        <f>[1]APREPPFF!L14</f>
        <v>X</v>
      </c>
      <c r="DQ7" s="128">
        <f>[1]APREPPFF!M14</f>
        <v>0</v>
      </c>
      <c r="DR7" s="128">
        <f>[1]APREPPFF!N14</f>
        <v>0</v>
      </c>
      <c r="DS7" s="128">
        <f>[1]APREPPFF!O14</f>
        <v>0</v>
      </c>
      <c r="DT7" s="128" t="str">
        <f>[1]APREPPFF!P14</f>
        <v>X</v>
      </c>
      <c r="DU7" s="128">
        <f>[1]APREPPFF!Q14</f>
        <v>0</v>
      </c>
      <c r="DV7" s="128" t="str">
        <f>[1]APREPPFF!R14</f>
        <v>X</v>
      </c>
      <c r="DW7" s="128">
        <f>[1]APREPPFF!S14</f>
        <v>0</v>
      </c>
      <c r="DX7" s="128">
        <f>[1]APREPPFF!T14</f>
        <v>0</v>
      </c>
      <c r="DY7" s="128" t="str">
        <f>[1]APREPPFF!U14</f>
        <v>A</v>
      </c>
      <c r="DZ7" s="128">
        <f>[1]ASISTEN!$BS$4</f>
        <v>47</v>
      </c>
      <c r="EA7" s="129">
        <f>[1]ASISTEN!BT15</f>
        <v>1</v>
      </c>
      <c r="EB7" s="128">
        <f>[1]ASISTEN!BP15</f>
        <v>44</v>
      </c>
      <c r="EC7" s="128">
        <f>[1]ASISTEN!BQ15</f>
        <v>3</v>
      </c>
      <c r="ED7" s="128">
        <f>[1]ASISTEN!BR15</f>
        <v>0</v>
      </c>
      <c r="EE7" s="128">
        <f>[1]ASISTEN!BS15</f>
        <v>0</v>
      </c>
      <c r="EF7" s="130" t="str">
        <f>[1]APREPER!AN14</f>
        <v>Ha logrado avances importantes en varias competencias; sin embargo, aún requiere fortalecer algunos aprendizajes para alcanzar un desempeño más uniforme y seguro.</v>
      </c>
      <c r="EG7" s="128">
        <f t="shared" si="0"/>
        <v>166</v>
      </c>
      <c r="EH7" s="128">
        <f t="shared" si="1"/>
        <v>11</v>
      </c>
      <c r="EI7" s="128"/>
      <c r="EJ7" s="104">
        <f t="shared" si="2"/>
        <v>4</v>
      </c>
      <c r="EK7" s="104">
        <f t="shared" si="3"/>
        <v>72</v>
      </c>
      <c r="EL7" s="104">
        <f t="shared" si="4"/>
        <v>10</v>
      </c>
    </row>
    <row r="8" spans="1:142" ht="30" x14ac:dyDescent="0.25">
      <c r="A8" s="125">
        <v>4</v>
      </c>
      <c r="B8" s="102" t="s">
        <v>119</v>
      </c>
      <c r="C8" s="126" t="str">
        <f>[1]PERS!N16</f>
        <v>A</v>
      </c>
      <c r="D8" s="126" t="str">
        <f>[1]PERS!AH16</f>
        <v>A</v>
      </c>
      <c r="E8" s="126" t="str">
        <f>[1]PERS!AZ16</f>
        <v>A</v>
      </c>
      <c r="F8" s="126" t="str">
        <f>[1]PERS!R16</f>
        <v>A</v>
      </c>
      <c r="G8" s="126" t="str">
        <f>[1]PERS!AL16</f>
        <v>A</v>
      </c>
      <c r="H8" s="126" t="str">
        <f>[1]PERS!BA16</f>
        <v>A</v>
      </c>
      <c r="I8" s="126" t="str">
        <f>[1]PERS!V16</f>
        <v>A</v>
      </c>
      <c r="J8" s="126" t="str">
        <f>[1]PERS!AP16</f>
        <v>A</v>
      </c>
      <c r="K8" s="126" t="str">
        <f>[1]PERS!BB16</f>
        <v>A</v>
      </c>
      <c r="L8" s="126" t="str">
        <f>[1]PERS!Z16</f>
        <v>A</v>
      </c>
      <c r="M8" s="126" t="str">
        <f>[1]PERS!AT16</f>
        <v>A</v>
      </c>
      <c r="N8" s="126" t="str">
        <f>[1]PERS!BC16</f>
        <v>A</v>
      </c>
      <c r="O8" s="126" t="str">
        <f>[1]PERS!AD16</f>
        <v>A</v>
      </c>
      <c r="P8" s="126" t="str">
        <f>[1]PERS!AX16</f>
        <v>A</v>
      </c>
      <c r="Q8" s="126" t="str">
        <f>[1]PERS!BD16</f>
        <v>A</v>
      </c>
      <c r="R8" s="126" t="str">
        <f>[1]EFIS!N16</f>
        <v>A</v>
      </c>
      <c r="S8" s="126" t="str">
        <f>[1]EFIS!AH16</f>
        <v>A</v>
      </c>
      <c r="T8" s="126" t="str">
        <f>[1]EFIS!AZ16</f>
        <v>A</v>
      </c>
      <c r="U8" s="126" t="str">
        <f>[1]EFIS!R16</f>
        <v>A</v>
      </c>
      <c r="V8" s="126" t="str">
        <f>[1]EFIS!AL16</f>
        <v>A</v>
      </c>
      <c r="W8" s="126" t="str">
        <f>[1]EFIS!BA16</f>
        <v>A</v>
      </c>
      <c r="X8" s="126" t="str">
        <f>[1]EFIS!V16</f>
        <v>A</v>
      </c>
      <c r="Y8" s="126" t="str">
        <f>[1]EFIS!AP16</f>
        <v>A</v>
      </c>
      <c r="Z8" s="126" t="str">
        <f>[1]EFIS!BB16</f>
        <v>A</v>
      </c>
      <c r="AA8" s="126" t="str">
        <f>[1]COMU!N16</f>
        <v>A</v>
      </c>
      <c r="AB8" s="126" t="str">
        <f>[1]COMU!AH16</f>
        <v>A</v>
      </c>
      <c r="AC8" s="126" t="str">
        <f>[1]COMU!AZ16</f>
        <v>A</v>
      </c>
      <c r="AD8" s="126" t="str">
        <f>[1]COMU!R16</f>
        <v>A</v>
      </c>
      <c r="AE8" s="126" t="str">
        <f>[1]COMU!AH16</f>
        <v>A</v>
      </c>
      <c r="AF8" s="126" t="str">
        <f>[1]COMU!BA16</f>
        <v>A</v>
      </c>
      <c r="AG8" s="126" t="str">
        <f>[1]COMU!V16</f>
        <v>A</v>
      </c>
      <c r="AH8" s="126" t="str">
        <f>[1]COMU!AP16</f>
        <v>A</v>
      </c>
      <c r="AI8" s="126" t="str">
        <f>[1]COMU!BB16</f>
        <v>A</v>
      </c>
      <c r="AJ8" s="126" t="str">
        <f>[1]ARTE!N16</f>
        <v>A</v>
      </c>
      <c r="AK8" s="126" t="str">
        <f>[1]ARTE!AH16</f>
        <v>A</v>
      </c>
      <c r="AL8" s="126" t="str">
        <f>[1]ARTE!AZ16</f>
        <v>A</v>
      </c>
      <c r="AM8" s="126" t="str">
        <f>[1]ARTE!R16</f>
        <v>A</v>
      </c>
      <c r="AN8" s="126" t="str">
        <f>[1]ARTE!AL16</f>
        <v>A</v>
      </c>
      <c r="AO8" s="126" t="str">
        <f>[1]ARTE!BA16</f>
        <v>A</v>
      </c>
      <c r="AP8" s="126" t="str">
        <f>[1]ING!N16</f>
        <v>A</v>
      </c>
      <c r="AQ8" s="126" t="str">
        <f>[1]ING!AH16</f>
        <v>A</v>
      </c>
      <c r="AR8" s="126" t="str">
        <f>[1]ING!AZ16</f>
        <v>A</v>
      </c>
      <c r="AS8" s="126" t="str">
        <f>[1]ING!R16</f>
        <v>A</v>
      </c>
      <c r="AT8" s="126" t="str">
        <f>[1]ING!AL16</f>
        <v>A</v>
      </c>
      <c r="AU8" s="126" t="str">
        <f>[1]ING!BA16</f>
        <v>A</v>
      </c>
      <c r="AV8" s="126" t="str">
        <f>[1]ING!V16</f>
        <v>A</v>
      </c>
      <c r="AW8" s="126" t="str">
        <f>[1]ING!AP16</f>
        <v>A</v>
      </c>
      <c r="AX8" s="126" t="str">
        <f>[1]ING!BB16</f>
        <v>A</v>
      </c>
      <c r="AY8" s="126" t="str">
        <f>[1]MATE!N16</f>
        <v>A</v>
      </c>
      <c r="AZ8" s="126" t="str">
        <f>[1]MATE!AH16</f>
        <v>A</v>
      </c>
      <c r="BA8" s="126" t="str">
        <f>[1]MATE!AZ16</f>
        <v>A</v>
      </c>
      <c r="BB8" s="126" t="str">
        <f>[1]MATE!R16</f>
        <v>A</v>
      </c>
      <c r="BC8" s="126" t="str">
        <f>[1]MATE!AL16</f>
        <v>A</v>
      </c>
      <c r="BD8" s="126" t="str">
        <f>[1]MATE!BA16</f>
        <v>A</v>
      </c>
      <c r="BE8" s="126" t="str">
        <f>[1]MATE!V16</f>
        <v>A</v>
      </c>
      <c r="BF8" s="126" t="str">
        <f>[1]MATE!AP16</f>
        <v>A</v>
      </c>
      <c r="BG8" s="126" t="str">
        <f>[1]MATE!BB16</f>
        <v>A</v>
      </c>
      <c r="BH8" s="126" t="str">
        <f>[1]MATE!Z16</f>
        <v>A</v>
      </c>
      <c r="BI8" s="126" t="str">
        <f>[1]MATE!AT16</f>
        <v>A</v>
      </c>
      <c r="BJ8" s="126" t="str">
        <f>[1]MATE!BC16</f>
        <v>A</v>
      </c>
      <c r="BK8" s="126" t="str">
        <f>[1]CTEC!N16</f>
        <v>A</v>
      </c>
      <c r="BL8" s="126" t="str">
        <f>[1]CTEC!AH16</f>
        <v>A</v>
      </c>
      <c r="BM8" s="126" t="str">
        <f>[1]CTEC!AZ16</f>
        <v>A</v>
      </c>
      <c r="BN8" s="126" t="str">
        <f>[1]CTEC!R16</f>
        <v>A</v>
      </c>
      <c r="BO8" s="126" t="str">
        <f>[1]CTEC!AL16</f>
        <v>A</v>
      </c>
      <c r="BP8" s="126" t="str">
        <f>[1]CTEC!BA16</f>
        <v>A</v>
      </c>
      <c r="BQ8" s="126" t="str">
        <f>[1]CTEC!V16</f>
        <v>A</v>
      </c>
      <c r="BR8" s="126" t="str">
        <f>[1]CTEC!AP16</f>
        <v>A</v>
      </c>
      <c r="BS8" s="126" t="str">
        <f>[1]CTEC!BB16</f>
        <v>A</v>
      </c>
      <c r="BT8" s="126" t="str">
        <f>[1]REL!N16</f>
        <v>A</v>
      </c>
      <c r="BU8" s="126" t="str">
        <f>[1]REL!AH16</f>
        <v>A</v>
      </c>
      <c r="BV8" s="126" t="str">
        <f>[1]REL!AZ16</f>
        <v>A</v>
      </c>
      <c r="BW8" s="126" t="str">
        <f>[1]REL!R16</f>
        <v>A</v>
      </c>
      <c r="BX8" s="126" t="str">
        <f>[1]REL!AL16</f>
        <v>AD</v>
      </c>
      <c r="BY8" s="126" t="str">
        <f>[1]REL!BA16</f>
        <v>AD</v>
      </c>
      <c r="BZ8" s="126" t="str">
        <f>[1]EMPR!N16</f>
        <v>A</v>
      </c>
      <c r="CA8" s="126" t="str">
        <f>[1]EMPR!AH16</f>
        <v>A</v>
      </c>
      <c r="CB8" s="126" t="str">
        <f>[1]EMPR!AZ16</f>
        <v>A</v>
      </c>
      <c r="CC8" s="126" t="str">
        <f>[1]COMPU!N16</f>
        <v>A</v>
      </c>
      <c r="CD8" s="126" t="str">
        <f>[1]COMPU!AH16</f>
        <v>A</v>
      </c>
      <c r="CE8" s="126" t="str">
        <f>[1]COMPU!AZ16</f>
        <v>A</v>
      </c>
      <c r="CF8" s="126" t="str">
        <f>[1]ROBOTI!N16</f>
        <v>A</v>
      </c>
      <c r="CG8" s="126" t="str">
        <f>[1]ROBOTI!AH16</f>
        <v>A</v>
      </c>
      <c r="CH8" s="126" t="str">
        <f>[1]ROBOTI!AZ16</f>
        <v>A</v>
      </c>
      <c r="CI8" s="126" t="str">
        <f>[1]APREPER!AL15</f>
        <v>A</v>
      </c>
      <c r="CJ8" s="127" t="str">
        <f>[1]APREPER!AM15</f>
        <v>A</v>
      </c>
      <c r="CK8" s="128" t="str">
        <f>[1]APREPER!I15</f>
        <v>X</v>
      </c>
      <c r="CL8" s="128">
        <f>[1]APREPER!J15</f>
        <v>0</v>
      </c>
      <c r="CM8" s="128">
        <f>[1]APREPER!K15</f>
        <v>0</v>
      </c>
      <c r="CN8" s="128" t="str">
        <f>[1]APREPER!L15</f>
        <v>X</v>
      </c>
      <c r="CO8" s="128">
        <f>[1]APREPER!M15</f>
        <v>0</v>
      </c>
      <c r="CP8" s="128">
        <f>[1]APREPER!N15</f>
        <v>0</v>
      </c>
      <c r="CQ8" s="128" t="str">
        <f>[1]APREPER!O15</f>
        <v>X</v>
      </c>
      <c r="CR8" s="128">
        <f>[1]APREPER!P15</f>
        <v>0</v>
      </c>
      <c r="CS8" s="128">
        <f>[1]APREPER!Q15</f>
        <v>0</v>
      </c>
      <c r="CT8" s="128" t="str">
        <f>[1]APREPER!R15</f>
        <v>X</v>
      </c>
      <c r="CU8" s="128">
        <f>[1]APREPER!S15</f>
        <v>0</v>
      </c>
      <c r="CV8" s="128">
        <f>[1]APREPER!T15</f>
        <v>0</v>
      </c>
      <c r="CW8" s="128" t="str">
        <f>[1]APREPER!U15</f>
        <v>X</v>
      </c>
      <c r="CX8" s="128">
        <f>[1]APREPER!V15</f>
        <v>0</v>
      </c>
      <c r="CY8" s="128">
        <f>[1]APREPER!W15</f>
        <v>0</v>
      </c>
      <c r="CZ8" s="128" t="str">
        <f>[1]APREPER!X15</f>
        <v>X</v>
      </c>
      <c r="DA8" s="128">
        <f>[1]APREPER!Y15</f>
        <v>0</v>
      </c>
      <c r="DB8" s="128">
        <f>[1]APREPER!Z15</f>
        <v>0</v>
      </c>
      <c r="DC8" s="128" t="str">
        <f>[1]APREPER!AA15</f>
        <v>X</v>
      </c>
      <c r="DD8" s="128">
        <f>[1]APREPER!AB15</f>
        <v>0</v>
      </c>
      <c r="DE8" s="128">
        <f>[1]APREPER!AC15</f>
        <v>0</v>
      </c>
      <c r="DF8" s="128" t="str">
        <f>[1]APREPER!AD15</f>
        <v>X</v>
      </c>
      <c r="DG8" s="128">
        <f>[1]APREPER!AE15</f>
        <v>0</v>
      </c>
      <c r="DH8" s="128">
        <f>[1]APREPER!AF15</f>
        <v>0</v>
      </c>
      <c r="DI8" s="128" t="str">
        <f>[1]APREPER!AG15</f>
        <v>X</v>
      </c>
      <c r="DJ8" s="128">
        <f>[1]APREPER!AH15</f>
        <v>0</v>
      </c>
      <c r="DK8" s="128">
        <f>[1]APREPER!AI15</f>
        <v>0</v>
      </c>
      <c r="DL8" s="128" t="str">
        <f>[1]APREPER!AJ15</f>
        <v>A</v>
      </c>
      <c r="DM8" s="128" t="str">
        <f>[1]APREPPFF!I15</f>
        <v>X</v>
      </c>
      <c r="DN8" s="128">
        <f>[1]APREPPFF!J15</f>
        <v>0</v>
      </c>
      <c r="DO8" s="128">
        <f>[1]APREPPFF!K15</f>
        <v>0</v>
      </c>
      <c r="DP8" s="128" t="str">
        <f>[1]APREPPFF!L15</f>
        <v>X</v>
      </c>
      <c r="DQ8" s="128">
        <f>[1]APREPPFF!M15</f>
        <v>0</v>
      </c>
      <c r="DR8" s="128">
        <f>[1]APREPPFF!N15</f>
        <v>0</v>
      </c>
      <c r="DS8" s="128" t="str">
        <f>[1]APREPPFF!O15</f>
        <v>X</v>
      </c>
      <c r="DT8" s="128">
        <f>[1]APREPPFF!P15</f>
        <v>0</v>
      </c>
      <c r="DU8" s="128">
        <f>[1]APREPPFF!Q15</f>
        <v>0</v>
      </c>
      <c r="DV8" s="128" t="str">
        <f>[1]APREPPFF!R15</f>
        <v>X</v>
      </c>
      <c r="DW8" s="128">
        <f>[1]APREPPFF!S15</f>
        <v>0</v>
      </c>
      <c r="DX8" s="128">
        <f>[1]APREPPFF!T15</f>
        <v>0</v>
      </c>
      <c r="DY8" s="128" t="str">
        <f>[1]APREPPFF!U15</f>
        <v>A</v>
      </c>
      <c r="DZ8" s="128">
        <f>[1]ASISTEN!$BS$4</f>
        <v>47</v>
      </c>
      <c r="EA8" s="129">
        <f>[1]ASISTEN!BT16</f>
        <v>1</v>
      </c>
      <c r="EB8" s="128">
        <f>[1]ASISTEN!BP16</f>
        <v>47</v>
      </c>
      <c r="EC8" s="128">
        <f>[1]ASISTEN!BQ16</f>
        <v>0</v>
      </c>
      <c r="ED8" s="128">
        <f>[1]ASISTEN!BR16</f>
        <v>0</v>
      </c>
      <c r="EE8" s="128">
        <f>[1]ASISTEN!BS16</f>
        <v>0</v>
      </c>
      <c r="EF8" s="130" t="str">
        <f>[1]APREPER!AN15</f>
        <v>Evidencia un desempeño destacado en diversas competencias, alcanzando con solvencia los logros esperados y sobresaliendo por su participación y dedicación constante.</v>
      </c>
      <c r="EG8" s="128">
        <f t="shared" si="0"/>
        <v>174</v>
      </c>
      <c r="EH8" s="128">
        <f t="shared" si="1"/>
        <v>2</v>
      </c>
      <c r="EI8" s="128"/>
      <c r="EJ8" s="104">
        <f t="shared" si="2"/>
        <v>2</v>
      </c>
      <c r="EK8" s="104">
        <f t="shared" si="3"/>
        <v>84</v>
      </c>
      <c r="EL8" s="104">
        <f t="shared" si="4"/>
        <v>0</v>
      </c>
    </row>
    <row r="9" spans="1:142" ht="30" x14ac:dyDescent="0.25">
      <c r="A9" s="125">
        <v>5</v>
      </c>
      <c r="B9" s="102" t="s">
        <v>120</v>
      </c>
      <c r="C9" s="126" t="str">
        <f>[1]PERS!N17</f>
        <v>C</v>
      </c>
      <c r="D9" s="126" t="str">
        <f>[1]PERS!AH17</f>
        <v>A</v>
      </c>
      <c r="E9" s="126" t="str">
        <f>[1]PERS!AZ17</f>
        <v>B</v>
      </c>
      <c r="F9" s="126" t="str">
        <f>[1]PERS!R17</f>
        <v>A</v>
      </c>
      <c r="G9" s="126" t="str">
        <f>[1]PERS!AL17</f>
        <v>A</v>
      </c>
      <c r="H9" s="126" t="str">
        <f>[1]PERS!BA17</f>
        <v>A</v>
      </c>
      <c r="I9" s="126" t="str">
        <f>[1]PERS!V17</f>
        <v>B</v>
      </c>
      <c r="J9" s="126" t="str">
        <f>[1]PERS!AP17</f>
        <v>B</v>
      </c>
      <c r="K9" s="126" t="str">
        <f>[1]PERS!BB17</f>
        <v>B</v>
      </c>
      <c r="L9" s="126" t="str">
        <f>[1]PERS!Z17</f>
        <v>A</v>
      </c>
      <c r="M9" s="126" t="str">
        <f>[1]PERS!AT17</f>
        <v>A</v>
      </c>
      <c r="N9" s="126" t="str">
        <f>[1]PERS!BC17</f>
        <v>A</v>
      </c>
      <c r="O9" s="126" t="str">
        <f>[1]PERS!AD17</f>
        <v>A</v>
      </c>
      <c r="P9" s="126" t="str">
        <f>[1]PERS!AX17</f>
        <v>B</v>
      </c>
      <c r="Q9" s="126" t="str">
        <f>[1]PERS!BD17</f>
        <v>A</v>
      </c>
      <c r="R9" s="126" t="str">
        <f>[1]EFIS!N17</f>
        <v>A</v>
      </c>
      <c r="S9" s="126" t="str">
        <f>[1]EFIS!AH17</f>
        <v>A</v>
      </c>
      <c r="T9" s="126" t="str">
        <f>[1]EFIS!AZ17</f>
        <v>A</v>
      </c>
      <c r="U9" s="126" t="str">
        <f>[1]EFIS!R17</f>
        <v>A</v>
      </c>
      <c r="V9" s="126" t="str">
        <f>[1]EFIS!AL17</f>
        <v>A</v>
      </c>
      <c r="W9" s="126" t="str">
        <f>[1]EFIS!BA17</f>
        <v>A</v>
      </c>
      <c r="X9" s="126" t="str">
        <f>[1]EFIS!V17</f>
        <v>A</v>
      </c>
      <c r="Y9" s="126" t="str">
        <f>[1]EFIS!AP17</f>
        <v>A</v>
      </c>
      <c r="Z9" s="126" t="str">
        <f>[1]EFIS!BB17</f>
        <v>A</v>
      </c>
      <c r="AA9" s="126" t="str">
        <f>[1]COMU!N17</f>
        <v>B</v>
      </c>
      <c r="AB9" s="126" t="str">
        <f>[1]COMU!AH17</f>
        <v>B</v>
      </c>
      <c r="AC9" s="126" t="str">
        <f>[1]COMU!AZ17</f>
        <v>B</v>
      </c>
      <c r="AD9" s="126" t="str">
        <f>[1]COMU!R17</f>
        <v>B</v>
      </c>
      <c r="AE9" s="126" t="str">
        <f>[1]COMU!AH17</f>
        <v>B</v>
      </c>
      <c r="AF9" s="126" t="str">
        <f>[1]COMU!BA17</f>
        <v>B</v>
      </c>
      <c r="AG9" s="126" t="str">
        <f>[1]COMU!V17</f>
        <v>B</v>
      </c>
      <c r="AH9" s="126" t="str">
        <f>[1]COMU!AP17</f>
        <v>B</v>
      </c>
      <c r="AI9" s="126" t="str">
        <f>[1]COMU!BB17</f>
        <v>B</v>
      </c>
      <c r="AJ9" s="126" t="str">
        <f>[1]ARTE!N17</f>
        <v>A</v>
      </c>
      <c r="AK9" s="126" t="str">
        <f>[1]ARTE!AH17</f>
        <v>A</v>
      </c>
      <c r="AL9" s="126" t="str">
        <f>[1]ARTE!AZ17</f>
        <v>A</v>
      </c>
      <c r="AM9" s="126" t="str">
        <f>[1]ARTE!R17</f>
        <v>A</v>
      </c>
      <c r="AN9" s="126" t="str">
        <f>[1]ARTE!AL17</f>
        <v>A</v>
      </c>
      <c r="AO9" s="126" t="str">
        <f>[1]ARTE!BA17</f>
        <v>A</v>
      </c>
      <c r="AP9" s="126" t="str">
        <f>[1]ING!N17</f>
        <v>A</v>
      </c>
      <c r="AQ9" s="126" t="str">
        <f>[1]ING!AH17</f>
        <v>A</v>
      </c>
      <c r="AR9" s="126" t="str">
        <f>[1]ING!AZ17</f>
        <v>A</v>
      </c>
      <c r="AS9" s="126" t="str">
        <f>[1]ING!R17</f>
        <v>B</v>
      </c>
      <c r="AT9" s="126" t="str">
        <f>[1]ING!AL17</f>
        <v>B</v>
      </c>
      <c r="AU9" s="126" t="str">
        <f>[1]ING!BA17</f>
        <v>B</v>
      </c>
      <c r="AV9" s="126" t="str">
        <f>[1]ING!V17</f>
        <v>A</v>
      </c>
      <c r="AW9" s="126" t="str">
        <f>[1]ING!AP17</f>
        <v>B</v>
      </c>
      <c r="AX9" s="126" t="str">
        <f>[1]ING!BB17</f>
        <v>A</v>
      </c>
      <c r="AY9" s="126" t="str">
        <f>[1]MATE!N17</f>
        <v>B</v>
      </c>
      <c r="AZ9" s="126" t="str">
        <f>[1]MATE!AH17</f>
        <v>C</v>
      </c>
      <c r="BA9" s="126" t="str">
        <f>[1]MATE!AZ17</f>
        <v>B</v>
      </c>
      <c r="BB9" s="126" t="str">
        <f>[1]MATE!R17</f>
        <v>A</v>
      </c>
      <c r="BC9" s="126" t="str">
        <f>[1]MATE!AL17</f>
        <v>A</v>
      </c>
      <c r="BD9" s="126" t="str">
        <f>[1]MATE!BA17</f>
        <v>A</v>
      </c>
      <c r="BE9" s="126" t="str">
        <f>[1]MATE!V17</f>
        <v>A</v>
      </c>
      <c r="BF9" s="126" t="str">
        <f>[1]MATE!AP17</f>
        <v>A</v>
      </c>
      <c r="BG9" s="126" t="str">
        <f>[1]MATE!BB17</f>
        <v>A</v>
      </c>
      <c r="BH9" s="126" t="str">
        <f>[1]MATE!Z17</f>
        <v>A</v>
      </c>
      <c r="BI9" s="126" t="str">
        <f>[1]MATE!AT17</f>
        <v>A</v>
      </c>
      <c r="BJ9" s="126" t="str">
        <f>[1]MATE!BC17</f>
        <v>A</v>
      </c>
      <c r="BK9" s="126" t="str">
        <f>[1]CTEC!N17</f>
        <v>B</v>
      </c>
      <c r="BL9" s="126" t="str">
        <f>[1]CTEC!AH17</f>
        <v>B</v>
      </c>
      <c r="BM9" s="126" t="str">
        <f>[1]CTEC!AZ17</f>
        <v>B</v>
      </c>
      <c r="BN9" s="126" t="str">
        <f>[1]CTEC!R17</f>
        <v>A</v>
      </c>
      <c r="BO9" s="126" t="str">
        <f>[1]CTEC!AL17</f>
        <v>A</v>
      </c>
      <c r="BP9" s="126" t="str">
        <f>[1]CTEC!BA17</f>
        <v>A</v>
      </c>
      <c r="BQ9" s="126" t="str">
        <f>[1]CTEC!V17</f>
        <v>B</v>
      </c>
      <c r="BR9" s="126" t="str">
        <f>[1]CTEC!AP17</f>
        <v>B</v>
      </c>
      <c r="BS9" s="126" t="str">
        <f>[1]CTEC!BB17</f>
        <v>B</v>
      </c>
      <c r="BT9" s="126" t="str">
        <f>[1]REL!N17</f>
        <v>A</v>
      </c>
      <c r="BU9" s="126" t="str">
        <f>[1]REL!AH17</f>
        <v>A</v>
      </c>
      <c r="BV9" s="126" t="str">
        <f>[1]REL!AZ17</f>
        <v>A</v>
      </c>
      <c r="BW9" s="126" t="str">
        <f>[1]REL!R17</f>
        <v>A</v>
      </c>
      <c r="BX9" s="126" t="str">
        <f>[1]REL!AL17</f>
        <v>A</v>
      </c>
      <c r="BY9" s="126" t="str">
        <f>[1]REL!BA17</f>
        <v>A</v>
      </c>
      <c r="BZ9" s="126" t="str">
        <f>[1]EMPR!N17</f>
        <v>A</v>
      </c>
      <c r="CA9" s="126" t="str">
        <f>[1]EMPR!AH17</f>
        <v>B</v>
      </c>
      <c r="CB9" s="126" t="str">
        <f>[1]EMPR!AZ17</f>
        <v>A</v>
      </c>
      <c r="CC9" s="126" t="str">
        <f>[1]COMPU!N17</f>
        <v>A</v>
      </c>
      <c r="CD9" s="126" t="str">
        <f>[1]COMPU!AH17</f>
        <v>A</v>
      </c>
      <c r="CE9" s="126" t="str">
        <f>[1]COMPU!AZ17</f>
        <v>A</v>
      </c>
      <c r="CF9" s="126" t="str">
        <f>[1]ROBOTI!N17</f>
        <v>A</v>
      </c>
      <c r="CG9" s="126" t="str">
        <f>[1]ROBOTI!AH17</f>
        <v>A</v>
      </c>
      <c r="CH9" s="126" t="str">
        <f>[1]ROBOTI!AZ17</f>
        <v>A</v>
      </c>
      <c r="CI9" s="126" t="str">
        <f>[1]APREPER!AL16</f>
        <v>A</v>
      </c>
      <c r="CJ9" s="127" t="str">
        <f>[1]APREPER!AM16</f>
        <v>A</v>
      </c>
      <c r="CK9" s="128" t="str">
        <f>[1]APREPER!I16</f>
        <v>X</v>
      </c>
      <c r="CL9" s="128">
        <f>[1]APREPER!J16</f>
        <v>0</v>
      </c>
      <c r="CM9" s="128">
        <f>[1]APREPER!K16</f>
        <v>0</v>
      </c>
      <c r="CN9" s="128" t="str">
        <f>[1]APREPER!L16</f>
        <v>X</v>
      </c>
      <c r="CO9" s="128">
        <f>[1]APREPER!M16</f>
        <v>0</v>
      </c>
      <c r="CP9" s="128">
        <f>[1]APREPER!N16</f>
        <v>0</v>
      </c>
      <c r="CQ9" s="128">
        <f>[1]APREPER!O16</f>
        <v>0</v>
      </c>
      <c r="CR9" s="128" t="str">
        <f>[1]APREPER!P16</f>
        <v>X</v>
      </c>
      <c r="CS9" s="128">
        <f>[1]APREPER!Q16</f>
        <v>0</v>
      </c>
      <c r="CT9" s="128" t="str">
        <f>[1]APREPER!R16</f>
        <v>X</v>
      </c>
      <c r="CU9" s="128">
        <f>[1]APREPER!S16</f>
        <v>0</v>
      </c>
      <c r="CV9" s="128">
        <f>[1]APREPER!T16</f>
        <v>0</v>
      </c>
      <c r="CW9" s="128" t="str">
        <f>[1]APREPER!U16</f>
        <v>X</v>
      </c>
      <c r="CX9" s="128">
        <f>[1]APREPER!V16</f>
        <v>0</v>
      </c>
      <c r="CY9" s="128">
        <f>[1]APREPER!W16</f>
        <v>0</v>
      </c>
      <c r="CZ9" s="128" t="str">
        <f>[1]APREPER!X16</f>
        <v>X</v>
      </c>
      <c r="DA9" s="128">
        <f>[1]APREPER!Y16</f>
        <v>0</v>
      </c>
      <c r="DB9" s="128">
        <f>[1]APREPER!Z16</f>
        <v>0</v>
      </c>
      <c r="DC9" s="128" t="str">
        <f>[1]APREPER!AA16</f>
        <v>X</v>
      </c>
      <c r="DD9" s="128">
        <f>[1]APREPER!AB16</f>
        <v>0</v>
      </c>
      <c r="DE9" s="128">
        <f>[1]APREPER!AC16</f>
        <v>0</v>
      </c>
      <c r="DF9" s="128" t="str">
        <f>[1]APREPER!AD16</f>
        <v>X</v>
      </c>
      <c r="DG9" s="128">
        <f>[1]APREPER!AE16</f>
        <v>0</v>
      </c>
      <c r="DH9" s="128">
        <f>[1]APREPER!AF16</f>
        <v>0</v>
      </c>
      <c r="DI9" s="128">
        <f>[1]APREPER!AG16</f>
        <v>0</v>
      </c>
      <c r="DJ9" s="128" t="str">
        <f>[1]APREPER!AH16</f>
        <v>X</v>
      </c>
      <c r="DK9" s="128">
        <f>[1]APREPER!AI16</f>
        <v>0</v>
      </c>
      <c r="DL9" s="128" t="str">
        <f>[1]APREPER!AJ16</f>
        <v>A</v>
      </c>
      <c r="DM9" s="128">
        <f>[1]APREPPFF!I16</f>
        <v>0</v>
      </c>
      <c r="DN9" s="128" t="str">
        <f>[1]APREPPFF!J16</f>
        <v>X</v>
      </c>
      <c r="DO9" s="128">
        <f>[1]APREPPFF!K16</f>
        <v>0</v>
      </c>
      <c r="DP9" s="128" t="str">
        <f>[1]APREPPFF!L16</f>
        <v>X</v>
      </c>
      <c r="DQ9" s="128">
        <f>[1]APREPPFF!M16</f>
        <v>0</v>
      </c>
      <c r="DR9" s="128">
        <f>[1]APREPPFF!N16</f>
        <v>0</v>
      </c>
      <c r="DS9" s="128" t="str">
        <f>[1]APREPPFF!O16</f>
        <v>X</v>
      </c>
      <c r="DT9" s="128">
        <f>[1]APREPPFF!P16</f>
        <v>0</v>
      </c>
      <c r="DU9" s="128">
        <f>[1]APREPPFF!Q16</f>
        <v>0</v>
      </c>
      <c r="DV9" s="128" t="str">
        <f>[1]APREPPFF!R16</f>
        <v>X</v>
      </c>
      <c r="DW9" s="128">
        <f>[1]APREPPFF!S16</f>
        <v>0</v>
      </c>
      <c r="DX9" s="128">
        <f>[1]APREPPFF!T16</f>
        <v>0</v>
      </c>
      <c r="DY9" s="128" t="str">
        <f>[1]APREPPFF!U16</f>
        <v>A</v>
      </c>
      <c r="DZ9" s="128">
        <f>[1]ASISTEN!$BS$4</f>
        <v>47</v>
      </c>
      <c r="EA9" s="129">
        <f>[1]ASISTEN!BT17</f>
        <v>1</v>
      </c>
      <c r="EB9" s="128">
        <f>[1]ASISTEN!BP17</f>
        <v>45</v>
      </c>
      <c r="EC9" s="128">
        <f>[1]ASISTEN!BQ17</f>
        <v>2</v>
      </c>
      <c r="ED9" s="128">
        <f>[1]ASISTEN!BR17</f>
        <v>0</v>
      </c>
      <c r="EE9" s="128">
        <f>[1]ASISTEN!BS17</f>
        <v>0</v>
      </c>
      <c r="EF9" s="130" t="str">
        <f>[1]APREPER!AN16</f>
        <v>Requiere mayor esfuerzo y compromiso en sus actividades escolares, ya que la mayoría de competencias aún se encuentran en proceso y demandan atención continua.</v>
      </c>
      <c r="EG9" s="128">
        <f t="shared" si="0"/>
        <v>141</v>
      </c>
      <c r="EH9" s="128">
        <f t="shared" si="1"/>
        <v>23</v>
      </c>
      <c r="EI9" s="128"/>
      <c r="EJ9" s="104">
        <f t="shared" si="2"/>
        <v>0</v>
      </c>
      <c r="EK9" s="104">
        <f t="shared" si="3"/>
        <v>57</v>
      </c>
      <c r="EL9" s="104">
        <f t="shared" si="4"/>
        <v>27</v>
      </c>
    </row>
    <row r="10" spans="1:142" ht="30" x14ac:dyDescent="0.25">
      <c r="A10" s="125">
        <v>6</v>
      </c>
      <c r="B10" s="102" t="s">
        <v>121</v>
      </c>
      <c r="C10" s="126" t="str">
        <f>[1]PERS!N18</f>
        <v>A</v>
      </c>
      <c r="D10" s="126" t="str">
        <f>[1]PERS!AH18</f>
        <v>B</v>
      </c>
      <c r="E10" s="126" t="str">
        <f>[1]PERS!AZ18</f>
        <v>A</v>
      </c>
      <c r="F10" s="126" t="str">
        <f>[1]PERS!R18</f>
        <v>A</v>
      </c>
      <c r="G10" s="126" t="str">
        <f>[1]PERS!AL18</f>
        <v>A</v>
      </c>
      <c r="H10" s="126" t="str">
        <f>[1]PERS!BA18</f>
        <v>A</v>
      </c>
      <c r="I10" s="126" t="str">
        <f>[1]PERS!V18</f>
        <v>A</v>
      </c>
      <c r="J10" s="126" t="str">
        <f>[1]PERS!AP18</f>
        <v>A</v>
      </c>
      <c r="K10" s="126" t="str">
        <f>[1]PERS!BB18</f>
        <v>A</v>
      </c>
      <c r="L10" s="126" t="str">
        <f>[1]PERS!Z18</f>
        <v>A</v>
      </c>
      <c r="M10" s="126" t="str">
        <f>[1]PERS!AT18</f>
        <v>A</v>
      </c>
      <c r="N10" s="126" t="str">
        <f>[1]PERS!BC18</f>
        <v>A</v>
      </c>
      <c r="O10" s="126" t="str">
        <f>[1]PERS!AD18</f>
        <v>A</v>
      </c>
      <c r="P10" s="126" t="str">
        <f>[1]PERS!AX18</f>
        <v>A</v>
      </c>
      <c r="Q10" s="126" t="str">
        <f>[1]PERS!BD18</f>
        <v>A</v>
      </c>
      <c r="R10" s="126" t="str">
        <f>[1]EFIS!N18</f>
        <v>A</v>
      </c>
      <c r="S10" s="126" t="str">
        <f>[1]EFIS!AH18</f>
        <v>A</v>
      </c>
      <c r="T10" s="126" t="str">
        <f>[1]EFIS!AZ18</f>
        <v>A</v>
      </c>
      <c r="U10" s="126" t="str">
        <f>[1]EFIS!R18</f>
        <v>A</v>
      </c>
      <c r="V10" s="126" t="str">
        <f>[1]EFIS!AL18</f>
        <v>A</v>
      </c>
      <c r="W10" s="126" t="str">
        <f>[1]EFIS!BA18</f>
        <v>A</v>
      </c>
      <c r="X10" s="126" t="str">
        <f>[1]EFIS!V18</f>
        <v>A</v>
      </c>
      <c r="Y10" s="126" t="str">
        <f>[1]EFIS!AP18</f>
        <v>A</v>
      </c>
      <c r="Z10" s="126" t="str">
        <f>[1]EFIS!BB18</f>
        <v>A</v>
      </c>
      <c r="AA10" s="126" t="str">
        <f>[1]COMU!N18</f>
        <v>A</v>
      </c>
      <c r="AB10" s="126" t="str">
        <f>[1]COMU!AH18</f>
        <v>A</v>
      </c>
      <c r="AC10" s="126" t="str">
        <f>[1]COMU!AZ18</f>
        <v>A</v>
      </c>
      <c r="AD10" s="126" t="str">
        <f>[1]COMU!R18</f>
        <v>A</v>
      </c>
      <c r="AE10" s="126" t="str">
        <f>[1]COMU!AH18</f>
        <v>A</v>
      </c>
      <c r="AF10" s="126" t="str">
        <f>[1]COMU!BA18</f>
        <v>A</v>
      </c>
      <c r="AG10" s="126" t="str">
        <f>[1]COMU!V18</f>
        <v>A</v>
      </c>
      <c r="AH10" s="126" t="str">
        <f>[1]COMU!AP18</f>
        <v>A</v>
      </c>
      <c r="AI10" s="126" t="str">
        <f>[1]COMU!BB18</f>
        <v>A</v>
      </c>
      <c r="AJ10" s="126" t="str">
        <f>[1]ARTE!N18</f>
        <v>A</v>
      </c>
      <c r="AK10" s="126" t="str">
        <f>[1]ARTE!AH18</f>
        <v>A</v>
      </c>
      <c r="AL10" s="126" t="str">
        <f>[1]ARTE!AZ18</f>
        <v>A</v>
      </c>
      <c r="AM10" s="126" t="str">
        <f>[1]ARTE!R18</f>
        <v>A</v>
      </c>
      <c r="AN10" s="126" t="str">
        <f>[1]ARTE!AL18</f>
        <v>A</v>
      </c>
      <c r="AO10" s="126" t="str">
        <f>[1]ARTE!BA18</f>
        <v>A</v>
      </c>
      <c r="AP10" s="126" t="str">
        <f>[1]ING!N18</f>
        <v>A</v>
      </c>
      <c r="AQ10" s="126" t="str">
        <f>[1]ING!AH18</f>
        <v>A</v>
      </c>
      <c r="AR10" s="126" t="str">
        <f>[1]ING!AZ18</f>
        <v>A</v>
      </c>
      <c r="AS10" s="126" t="str">
        <f>[1]ING!R18</f>
        <v>A</v>
      </c>
      <c r="AT10" s="126" t="str">
        <f>[1]ING!AL18</f>
        <v>A</v>
      </c>
      <c r="AU10" s="126" t="str">
        <f>[1]ING!BA18</f>
        <v>A</v>
      </c>
      <c r="AV10" s="126" t="str">
        <f>[1]ING!V18</f>
        <v>A</v>
      </c>
      <c r="AW10" s="126" t="str">
        <f>[1]ING!AP18</f>
        <v>A</v>
      </c>
      <c r="AX10" s="126" t="str">
        <f>[1]ING!BB18</f>
        <v>A</v>
      </c>
      <c r="AY10" s="126" t="str">
        <f>[1]MATE!N18</f>
        <v>A</v>
      </c>
      <c r="AZ10" s="126" t="str">
        <f>[1]MATE!AH18</f>
        <v>B</v>
      </c>
      <c r="BA10" s="126" t="str">
        <f>[1]MATE!AZ18</f>
        <v>A</v>
      </c>
      <c r="BB10" s="126" t="str">
        <f>[1]MATE!R18</f>
        <v>A</v>
      </c>
      <c r="BC10" s="126" t="str">
        <f>[1]MATE!AL18</f>
        <v>A</v>
      </c>
      <c r="BD10" s="126" t="str">
        <f>[1]MATE!BA18</f>
        <v>A</v>
      </c>
      <c r="BE10" s="126" t="str">
        <f>[1]MATE!V18</f>
        <v>A</v>
      </c>
      <c r="BF10" s="126" t="str">
        <f>[1]MATE!AP18</f>
        <v>C</v>
      </c>
      <c r="BG10" s="126" t="str">
        <f>[1]MATE!BB18</f>
        <v>B</v>
      </c>
      <c r="BH10" s="126" t="str">
        <f>[1]MATE!Z18</f>
        <v>A</v>
      </c>
      <c r="BI10" s="126" t="str">
        <f>[1]MATE!AT18</f>
        <v>A</v>
      </c>
      <c r="BJ10" s="126" t="str">
        <f>[1]MATE!BC18</f>
        <v>A</v>
      </c>
      <c r="BK10" s="126" t="str">
        <f>[1]CTEC!N18</f>
        <v>B</v>
      </c>
      <c r="BL10" s="126" t="str">
        <f>[1]CTEC!AH18</f>
        <v>A</v>
      </c>
      <c r="BM10" s="126" t="str">
        <f>[1]CTEC!AZ18</f>
        <v>A</v>
      </c>
      <c r="BN10" s="126" t="str">
        <f>[1]CTEC!R18</f>
        <v>A</v>
      </c>
      <c r="BO10" s="126" t="str">
        <f>[1]CTEC!AL18</f>
        <v>A</v>
      </c>
      <c r="BP10" s="126" t="str">
        <f>[1]CTEC!BA18</f>
        <v>A</v>
      </c>
      <c r="BQ10" s="126" t="str">
        <f>[1]CTEC!V18</f>
        <v>A</v>
      </c>
      <c r="BR10" s="126" t="str">
        <f>[1]CTEC!AP18</f>
        <v>A</v>
      </c>
      <c r="BS10" s="126" t="str">
        <f>[1]CTEC!BB18</f>
        <v>A</v>
      </c>
      <c r="BT10" s="126" t="str">
        <f>[1]REL!N18</f>
        <v>A</v>
      </c>
      <c r="BU10" s="126" t="str">
        <f>[1]REL!AH18</f>
        <v>A</v>
      </c>
      <c r="BV10" s="126" t="str">
        <f>[1]REL!AZ18</f>
        <v>A</v>
      </c>
      <c r="BW10" s="126" t="str">
        <f>[1]REL!R18</f>
        <v>A</v>
      </c>
      <c r="BX10" s="126" t="str">
        <f>[1]REL!AL18</f>
        <v>A</v>
      </c>
      <c r="BY10" s="126" t="str">
        <f>[1]REL!BA18</f>
        <v>A</v>
      </c>
      <c r="BZ10" s="126" t="str">
        <f>[1]EMPR!N18</f>
        <v>A</v>
      </c>
      <c r="CA10" s="126" t="str">
        <f>[1]EMPR!AH18</f>
        <v>A</v>
      </c>
      <c r="CB10" s="126" t="str">
        <f>[1]EMPR!AZ18</f>
        <v>A</v>
      </c>
      <c r="CC10" s="126" t="str">
        <f>[1]COMPU!N18</f>
        <v>A</v>
      </c>
      <c r="CD10" s="126" t="str">
        <f>[1]COMPU!AH18</f>
        <v>A</v>
      </c>
      <c r="CE10" s="126" t="str">
        <f>[1]COMPU!AZ18</f>
        <v>A</v>
      </c>
      <c r="CF10" s="126" t="str">
        <f>[1]ROBOTI!N18</f>
        <v>A</v>
      </c>
      <c r="CG10" s="126" t="str">
        <f>[1]ROBOTI!AH18</f>
        <v>A</v>
      </c>
      <c r="CH10" s="126" t="str">
        <f>[1]ROBOTI!AZ18</f>
        <v>A</v>
      </c>
      <c r="CI10" s="126" t="str">
        <f>[1]APREPER!AL17</f>
        <v>A</v>
      </c>
      <c r="CJ10" s="127" t="str">
        <f>[1]APREPER!AM17</f>
        <v>A</v>
      </c>
      <c r="CK10" s="128" t="str">
        <f>[1]APREPER!I17</f>
        <v>X</v>
      </c>
      <c r="CL10" s="128">
        <f>[1]APREPER!J17</f>
        <v>0</v>
      </c>
      <c r="CM10" s="128">
        <f>[1]APREPER!K17</f>
        <v>0</v>
      </c>
      <c r="CN10" s="128">
        <f>[1]APREPER!L17</f>
        <v>0</v>
      </c>
      <c r="CO10" s="128" t="str">
        <f>[1]APREPER!M17</f>
        <v>X</v>
      </c>
      <c r="CP10" s="128">
        <f>[1]APREPER!N17</f>
        <v>0</v>
      </c>
      <c r="CQ10" s="128" t="str">
        <f>[1]APREPER!O17</f>
        <v>X</v>
      </c>
      <c r="CR10" s="128">
        <f>[1]APREPER!P17</f>
        <v>0</v>
      </c>
      <c r="CS10" s="128">
        <f>[1]APREPER!Q17</f>
        <v>0</v>
      </c>
      <c r="CT10" s="128">
        <f>[1]APREPER!R17</f>
        <v>0</v>
      </c>
      <c r="CU10" s="128" t="str">
        <f>[1]APREPER!S17</f>
        <v>X</v>
      </c>
      <c r="CV10" s="128">
        <f>[1]APREPER!T17</f>
        <v>0</v>
      </c>
      <c r="CW10" s="128" t="str">
        <f>[1]APREPER!U17</f>
        <v>X</v>
      </c>
      <c r="CX10" s="128">
        <f>[1]APREPER!V17</f>
        <v>0</v>
      </c>
      <c r="CY10" s="128">
        <f>[1]APREPER!W17</f>
        <v>0</v>
      </c>
      <c r="CZ10" s="128" t="str">
        <f>[1]APREPER!X17</f>
        <v>X</v>
      </c>
      <c r="DA10" s="128">
        <f>[1]APREPER!Y17</f>
        <v>0</v>
      </c>
      <c r="DB10" s="128">
        <f>[1]APREPER!Z17</f>
        <v>0</v>
      </c>
      <c r="DC10" s="128" t="str">
        <f>[1]APREPER!AA17</f>
        <v>X</v>
      </c>
      <c r="DD10" s="128">
        <f>[1]APREPER!AB17</f>
        <v>0</v>
      </c>
      <c r="DE10" s="128">
        <f>[1]APREPER!AC17</f>
        <v>0</v>
      </c>
      <c r="DF10" s="128" t="str">
        <f>[1]APREPER!AD17</f>
        <v>X</v>
      </c>
      <c r="DG10" s="128">
        <f>[1]APREPER!AE17</f>
        <v>0</v>
      </c>
      <c r="DH10" s="128">
        <f>[1]APREPER!AF17</f>
        <v>0</v>
      </c>
      <c r="DI10" s="128" t="str">
        <f>[1]APREPER!AG17</f>
        <v>X</v>
      </c>
      <c r="DJ10" s="128">
        <f>[1]APREPER!AH17</f>
        <v>0</v>
      </c>
      <c r="DK10" s="128">
        <f>[1]APREPER!AI17</f>
        <v>0</v>
      </c>
      <c r="DL10" s="128" t="str">
        <f>[1]APREPER!AJ17</f>
        <v>A</v>
      </c>
      <c r="DM10" s="128">
        <f>[1]APREPPFF!I17</f>
        <v>0</v>
      </c>
      <c r="DN10" s="128" t="str">
        <f>[1]APREPPFF!J17</f>
        <v>X</v>
      </c>
      <c r="DO10" s="128">
        <f>[1]APREPPFF!K17</f>
        <v>0</v>
      </c>
      <c r="DP10" s="128">
        <f>[1]APREPPFF!L17</f>
        <v>0</v>
      </c>
      <c r="DQ10" s="128" t="str">
        <f>[1]APREPPFF!M17</f>
        <v>X</v>
      </c>
      <c r="DR10" s="128">
        <f>[1]APREPPFF!N17</f>
        <v>0</v>
      </c>
      <c r="DS10" s="128" t="str">
        <f>[1]APREPPFF!O17</f>
        <v>X</v>
      </c>
      <c r="DT10" s="128">
        <f>[1]APREPPFF!P17</f>
        <v>0</v>
      </c>
      <c r="DU10" s="128">
        <f>[1]APREPPFF!Q17</f>
        <v>0</v>
      </c>
      <c r="DV10" s="128">
        <f>[1]APREPPFF!R17</f>
        <v>0</v>
      </c>
      <c r="DW10" s="128" t="str">
        <f>[1]APREPPFF!S17</f>
        <v>X</v>
      </c>
      <c r="DX10" s="128">
        <f>[1]APREPPFF!T17</f>
        <v>0</v>
      </c>
      <c r="DY10" s="128" t="str">
        <f>[1]APREPPFF!U17</f>
        <v>B</v>
      </c>
      <c r="DZ10" s="128">
        <f>[1]ASISTEN!$BS$4</f>
        <v>47</v>
      </c>
      <c r="EA10" s="129">
        <f>[1]ASISTEN!BT18</f>
        <v>1</v>
      </c>
      <c r="EB10" s="128">
        <f>[1]ASISTEN!BP18</f>
        <v>40</v>
      </c>
      <c r="EC10" s="128">
        <f>[1]ASISTEN!BQ18</f>
        <v>7</v>
      </c>
      <c r="ED10" s="128">
        <f>[1]ASISTEN!BR18</f>
        <v>0</v>
      </c>
      <c r="EE10" s="128">
        <f>[1]ASISTEN!BS18</f>
        <v>0</v>
      </c>
      <c r="EF10" s="130" t="str">
        <f>[1]APREPER!AN17</f>
        <v>Ha logrado avances importantes en varias competencias; sin embargo, aún requiere fortalecer algunos aprendizajes para alcanzar un desempeño más uniforme y seguro.</v>
      </c>
      <c r="EG10" s="128">
        <f t="shared" si="0"/>
        <v>166</v>
      </c>
      <c r="EH10" s="128">
        <f t="shared" si="1"/>
        <v>11</v>
      </c>
      <c r="EI10" s="128"/>
      <c r="EJ10" s="104">
        <f t="shared" si="2"/>
        <v>0</v>
      </c>
      <c r="EK10" s="104">
        <f t="shared" si="3"/>
        <v>81</v>
      </c>
      <c r="EL10" s="104">
        <f t="shared" si="4"/>
        <v>4</v>
      </c>
    </row>
    <row r="11" spans="1:142" ht="30" x14ac:dyDescent="0.25">
      <c r="A11" s="125">
        <v>7</v>
      </c>
      <c r="B11" s="102" t="s">
        <v>122</v>
      </c>
      <c r="C11" s="126" t="str">
        <f>[1]PERS!N19</f>
        <v>A</v>
      </c>
      <c r="D11" s="126" t="str">
        <f>[1]PERS!AH19</f>
        <v>A</v>
      </c>
      <c r="E11" s="126" t="str">
        <f>[1]PERS!AZ19</f>
        <v>A</v>
      </c>
      <c r="F11" s="126" t="str">
        <f>[1]PERS!R19</f>
        <v>A</v>
      </c>
      <c r="G11" s="126" t="str">
        <f>[1]PERS!AL19</f>
        <v>A</v>
      </c>
      <c r="H11" s="126" t="str">
        <f>[1]PERS!BA19</f>
        <v>A</v>
      </c>
      <c r="I11" s="126" t="str">
        <f>[1]PERS!V19</f>
        <v>A</v>
      </c>
      <c r="J11" s="126" t="str">
        <f>[1]PERS!AP19</f>
        <v>A</v>
      </c>
      <c r="K11" s="126" t="str">
        <f>[1]PERS!BB19</f>
        <v>A</v>
      </c>
      <c r="L11" s="126" t="str">
        <f>[1]PERS!Z19</f>
        <v>A</v>
      </c>
      <c r="M11" s="126" t="str">
        <f>[1]PERS!AT19</f>
        <v>A</v>
      </c>
      <c r="N11" s="126" t="str">
        <f>[1]PERS!BC19</f>
        <v>A</v>
      </c>
      <c r="O11" s="126" t="str">
        <f>[1]PERS!AD19</f>
        <v>A</v>
      </c>
      <c r="P11" s="126" t="str">
        <f>[1]PERS!AX19</f>
        <v>A</v>
      </c>
      <c r="Q11" s="126" t="str">
        <f>[1]PERS!BD19</f>
        <v>A</v>
      </c>
      <c r="R11" s="126" t="str">
        <f>[1]EFIS!N19</f>
        <v>A</v>
      </c>
      <c r="S11" s="126" t="str">
        <f>[1]EFIS!AH19</f>
        <v>A</v>
      </c>
      <c r="T11" s="126" t="str">
        <f>[1]EFIS!AZ19</f>
        <v>A</v>
      </c>
      <c r="U11" s="126" t="str">
        <f>[1]EFIS!R19</f>
        <v>A</v>
      </c>
      <c r="V11" s="126" t="str">
        <f>[1]EFIS!AL19</f>
        <v>A</v>
      </c>
      <c r="W11" s="126" t="str">
        <f>[1]EFIS!BA19</f>
        <v>A</v>
      </c>
      <c r="X11" s="126" t="str">
        <f>[1]EFIS!V19</f>
        <v>A</v>
      </c>
      <c r="Y11" s="126" t="str">
        <f>[1]EFIS!AP19</f>
        <v>A</v>
      </c>
      <c r="Z11" s="126" t="str">
        <f>[1]EFIS!BB19</f>
        <v>A</v>
      </c>
      <c r="AA11" s="126" t="str">
        <f>[1]COMU!N19</f>
        <v>A</v>
      </c>
      <c r="AB11" s="126" t="str">
        <f>[1]COMU!AH19</f>
        <v>A</v>
      </c>
      <c r="AC11" s="126" t="str">
        <f>[1]COMU!AZ19</f>
        <v>A</v>
      </c>
      <c r="AD11" s="126" t="str">
        <f>[1]COMU!R19</f>
        <v>A</v>
      </c>
      <c r="AE11" s="126" t="str">
        <f>[1]COMU!AH19</f>
        <v>A</v>
      </c>
      <c r="AF11" s="126" t="str">
        <f>[1]COMU!BA19</f>
        <v>A</v>
      </c>
      <c r="AG11" s="126" t="str">
        <f>[1]COMU!V19</f>
        <v>A</v>
      </c>
      <c r="AH11" s="126" t="str">
        <f>[1]COMU!AP19</f>
        <v>A</v>
      </c>
      <c r="AI11" s="126" t="str">
        <f>[1]COMU!BB19</f>
        <v>A</v>
      </c>
      <c r="AJ11" s="126" t="str">
        <f>[1]ARTE!N19</f>
        <v>A</v>
      </c>
      <c r="AK11" s="126" t="str">
        <f>[1]ARTE!AH19</f>
        <v>A</v>
      </c>
      <c r="AL11" s="126" t="str">
        <f>[1]ARTE!AZ19</f>
        <v>A</v>
      </c>
      <c r="AM11" s="126" t="str">
        <f>[1]ARTE!R19</f>
        <v>A</v>
      </c>
      <c r="AN11" s="126" t="str">
        <f>[1]ARTE!AL19</f>
        <v>A</v>
      </c>
      <c r="AO11" s="126" t="str">
        <f>[1]ARTE!BA19</f>
        <v>A</v>
      </c>
      <c r="AP11" s="126" t="str">
        <f>[1]ING!N19</f>
        <v>A</v>
      </c>
      <c r="AQ11" s="126" t="str">
        <f>[1]ING!AH19</f>
        <v>A</v>
      </c>
      <c r="AR11" s="126" t="str">
        <f>[1]ING!AZ19</f>
        <v>A</v>
      </c>
      <c r="AS11" s="126" t="str">
        <f>[1]ING!R19</f>
        <v>A</v>
      </c>
      <c r="AT11" s="126" t="str">
        <f>[1]ING!AL19</f>
        <v>B</v>
      </c>
      <c r="AU11" s="126" t="str">
        <f>[1]ING!BA19</f>
        <v>A</v>
      </c>
      <c r="AV11" s="126" t="str">
        <f>[1]ING!V19</f>
        <v>A</v>
      </c>
      <c r="AW11" s="126" t="str">
        <f>[1]ING!AP19</f>
        <v>A</v>
      </c>
      <c r="AX11" s="126" t="str">
        <f>[1]ING!BB19</f>
        <v>A</v>
      </c>
      <c r="AY11" s="126" t="str">
        <f>[1]MATE!N19</f>
        <v>A</v>
      </c>
      <c r="AZ11" s="126" t="str">
        <f>[1]MATE!AH19</f>
        <v>B</v>
      </c>
      <c r="BA11" s="126" t="str">
        <f>[1]MATE!AZ19</f>
        <v>A</v>
      </c>
      <c r="BB11" s="126" t="str">
        <f>[1]MATE!R19</f>
        <v>A</v>
      </c>
      <c r="BC11" s="126" t="str">
        <f>[1]MATE!AL19</f>
        <v>A</v>
      </c>
      <c r="BD11" s="126" t="str">
        <f>[1]MATE!BA19</f>
        <v>A</v>
      </c>
      <c r="BE11" s="126" t="str">
        <f>[1]MATE!V19</f>
        <v>A</v>
      </c>
      <c r="BF11" s="126" t="str">
        <f>[1]MATE!AP19</f>
        <v>B</v>
      </c>
      <c r="BG11" s="126" t="str">
        <f>[1]MATE!BB19</f>
        <v>A</v>
      </c>
      <c r="BH11" s="126" t="str">
        <f>[1]MATE!Z19</f>
        <v>A</v>
      </c>
      <c r="BI11" s="126" t="str">
        <f>[1]MATE!AT19</f>
        <v>A</v>
      </c>
      <c r="BJ11" s="126" t="str">
        <f>[1]MATE!BC19</f>
        <v>A</v>
      </c>
      <c r="BK11" s="126" t="str">
        <f>[1]CTEC!N19</f>
        <v>A</v>
      </c>
      <c r="BL11" s="126" t="str">
        <f>[1]CTEC!AH19</f>
        <v>B</v>
      </c>
      <c r="BM11" s="126" t="str">
        <f>[1]CTEC!AZ19</f>
        <v>A</v>
      </c>
      <c r="BN11" s="126" t="str">
        <f>[1]CTEC!R19</f>
        <v>A</v>
      </c>
      <c r="BO11" s="126" t="str">
        <f>[1]CTEC!AL19</f>
        <v>A</v>
      </c>
      <c r="BP11" s="126" t="str">
        <f>[1]CTEC!BA19</f>
        <v>A</v>
      </c>
      <c r="BQ11" s="126" t="str">
        <f>[1]CTEC!V19</f>
        <v>A</v>
      </c>
      <c r="BR11" s="126" t="str">
        <f>[1]CTEC!AP19</f>
        <v>B</v>
      </c>
      <c r="BS11" s="126" t="str">
        <f>[1]CTEC!BB19</f>
        <v>A</v>
      </c>
      <c r="BT11" s="126" t="str">
        <f>[1]REL!N19</f>
        <v>A</v>
      </c>
      <c r="BU11" s="126" t="str">
        <f>[1]REL!AH19</f>
        <v>A</v>
      </c>
      <c r="BV11" s="126" t="str">
        <f>[1]REL!AZ19</f>
        <v>A</v>
      </c>
      <c r="BW11" s="126" t="str">
        <f>[1]REL!R19</f>
        <v>A</v>
      </c>
      <c r="BX11" s="126" t="str">
        <f>[1]REL!AL19</f>
        <v>A</v>
      </c>
      <c r="BY11" s="126" t="str">
        <f>[1]REL!BA19</f>
        <v>A</v>
      </c>
      <c r="BZ11" s="126" t="str">
        <f>[1]EMPR!N19</f>
        <v>A</v>
      </c>
      <c r="CA11" s="126" t="str">
        <f>[1]EMPR!AH19</f>
        <v>A</v>
      </c>
      <c r="CB11" s="126" t="str">
        <f>[1]EMPR!AZ19</f>
        <v>A</v>
      </c>
      <c r="CC11" s="126" t="str">
        <f>[1]COMPU!N19</f>
        <v>A</v>
      </c>
      <c r="CD11" s="126" t="str">
        <f>[1]COMPU!AH19</f>
        <v>A</v>
      </c>
      <c r="CE11" s="126" t="str">
        <f>[1]COMPU!AZ19</f>
        <v>A</v>
      </c>
      <c r="CF11" s="126" t="str">
        <f>[1]ROBOTI!N19</f>
        <v>A</v>
      </c>
      <c r="CG11" s="126" t="str">
        <f>[1]ROBOTI!AH19</f>
        <v>A</v>
      </c>
      <c r="CH11" s="126" t="str">
        <f>[1]ROBOTI!AZ19</f>
        <v>A</v>
      </c>
      <c r="CI11" s="126" t="str">
        <f>[1]APREPER!AL18</f>
        <v>A</v>
      </c>
      <c r="CJ11" s="127" t="str">
        <f>[1]APREPER!AM18</f>
        <v>A</v>
      </c>
      <c r="CK11" s="128" t="str">
        <f>[1]APREPER!I18</f>
        <v>X</v>
      </c>
      <c r="CL11" s="128">
        <f>[1]APREPER!J18</f>
        <v>0</v>
      </c>
      <c r="CM11" s="128">
        <f>[1]APREPER!K18</f>
        <v>0</v>
      </c>
      <c r="CN11" s="128" t="str">
        <f>[1]APREPER!L18</f>
        <v>X</v>
      </c>
      <c r="CO11" s="128">
        <f>[1]APREPER!M18</f>
        <v>0</v>
      </c>
      <c r="CP11" s="128">
        <f>[1]APREPER!N18</f>
        <v>0</v>
      </c>
      <c r="CQ11" s="128" t="str">
        <f>[1]APREPER!O18</f>
        <v>X</v>
      </c>
      <c r="CR11" s="128">
        <f>[1]APREPER!P18</f>
        <v>0</v>
      </c>
      <c r="CS11" s="128">
        <f>[1]APREPER!Q18</f>
        <v>0</v>
      </c>
      <c r="CT11" s="128" t="str">
        <f>[1]APREPER!R18</f>
        <v>X</v>
      </c>
      <c r="CU11" s="128">
        <f>[1]APREPER!S18</f>
        <v>0</v>
      </c>
      <c r="CV11" s="128">
        <f>[1]APREPER!T18</f>
        <v>0</v>
      </c>
      <c r="CW11" s="128" t="str">
        <f>[1]APREPER!U18</f>
        <v>X</v>
      </c>
      <c r="CX11" s="128">
        <f>[1]APREPER!V18</f>
        <v>0</v>
      </c>
      <c r="CY11" s="128">
        <f>[1]APREPER!W18</f>
        <v>0</v>
      </c>
      <c r="CZ11" s="128" t="str">
        <f>[1]APREPER!X18</f>
        <v>X</v>
      </c>
      <c r="DA11" s="128">
        <f>[1]APREPER!Y18</f>
        <v>0</v>
      </c>
      <c r="DB11" s="128">
        <f>[1]APREPER!Z18</f>
        <v>0</v>
      </c>
      <c r="DC11" s="128" t="str">
        <f>[1]APREPER!AA18</f>
        <v>X</v>
      </c>
      <c r="DD11" s="128">
        <f>[1]APREPER!AB18</f>
        <v>0</v>
      </c>
      <c r="DE11" s="128">
        <f>[1]APREPER!AC18</f>
        <v>0</v>
      </c>
      <c r="DF11" s="128" t="str">
        <f>[1]APREPER!AD18</f>
        <v>X</v>
      </c>
      <c r="DG11" s="128">
        <f>[1]APREPER!AE18</f>
        <v>0</v>
      </c>
      <c r="DH11" s="128">
        <f>[1]APREPER!AF18</f>
        <v>0</v>
      </c>
      <c r="DI11" s="128" t="str">
        <f>[1]APREPER!AG18</f>
        <v>X</v>
      </c>
      <c r="DJ11" s="128">
        <f>[1]APREPER!AH18</f>
        <v>0</v>
      </c>
      <c r="DK11" s="128">
        <f>[1]APREPER!AI18</f>
        <v>0</v>
      </c>
      <c r="DL11" s="128" t="str">
        <f>[1]APREPER!AJ18</f>
        <v>A</v>
      </c>
      <c r="DM11" s="128" t="str">
        <f>[1]APREPPFF!I18</f>
        <v>X</v>
      </c>
      <c r="DN11" s="128">
        <f>[1]APREPPFF!J18</f>
        <v>0</v>
      </c>
      <c r="DO11" s="128">
        <f>[1]APREPPFF!K18</f>
        <v>0</v>
      </c>
      <c r="DP11" s="128" t="str">
        <f>[1]APREPPFF!L18</f>
        <v>X</v>
      </c>
      <c r="DQ11" s="128">
        <f>[1]APREPPFF!M18</f>
        <v>0</v>
      </c>
      <c r="DR11" s="128">
        <f>[1]APREPPFF!N18</f>
        <v>0</v>
      </c>
      <c r="DS11" s="128" t="str">
        <f>[1]APREPPFF!O18</f>
        <v>X</v>
      </c>
      <c r="DT11" s="128">
        <f>[1]APREPPFF!P18</f>
        <v>0</v>
      </c>
      <c r="DU11" s="128">
        <f>[1]APREPPFF!Q18</f>
        <v>0</v>
      </c>
      <c r="DV11" s="128" t="str">
        <f>[1]APREPPFF!R18</f>
        <v>X</v>
      </c>
      <c r="DW11" s="128">
        <f>[1]APREPPFF!S18</f>
        <v>0</v>
      </c>
      <c r="DX11" s="128">
        <f>[1]APREPPFF!T18</f>
        <v>0</v>
      </c>
      <c r="DY11" s="128" t="str">
        <f>[1]APREPPFF!U18</f>
        <v>A</v>
      </c>
      <c r="DZ11" s="128">
        <f>[1]ASISTEN!$BS$4</f>
        <v>47</v>
      </c>
      <c r="EA11" s="129">
        <f>[1]ASISTEN!BT19</f>
        <v>1</v>
      </c>
      <c r="EB11" s="128">
        <f>[1]ASISTEN!BP19</f>
        <v>47</v>
      </c>
      <c r="EC11" s="128">
        <f>[1]ASISTEN!BQ19</f>
        <v>0</v>
      </c>
      <c r="ED11" s="128">
        <f>[1]ASISTEN!BR19</f>
        <v>0</v>
      </c>
      <c r="EE11" s="128">
        <f>[1]ASISTEN!BS19</f>
        <v>0</v>
      </c>
      <c r="EF11" s="130" t="str">
        <f>[1]APREPER!AN18</f>
        <v>Mantiene un rendimiento satisfactorio en todas las competencias evaluadas, demostrando responsabilidad, compromiso y un adecuado desarrollo de sus aprendizajes.</v>
      </c>
      <c r="EG11" s="128">
        <f t="shared" si="0"/>
        <v>167</v>
      </c>
      <c r="EH11" s="128">
        <f t="shared" si="1"/>
        <v>9</v>
      </c>
      <c r="EI11" s="128"/>
      <c r="EJ11" s="104">
        <f t="shared" si="2"/>
        <v>0</v>
      </c>
      <c r="EK11" s="104">
        <f t="shared" si="3"/>
        <v>81</v>
      </c>
      <c r="EL11" s="104">
        <f t="shared" si="4"/>
        <v>5</v>
      </c>
    </row>
    <row r="12" spans="1:142" ht="30" x14ac:dyDescent="0.25">
      <c r="A12" s="125">
        <v>8</v>
      </c>
      <c r="B12" s="102" t="s">
        <v>123</v>
      </c>
      <c r="C12" s="126" t="str">
        <f>[1]PERS!N20</f>
        <v>A</v>
      </c>
      <c r="D12" s="126" t="str">
        <f>[1]PERS!AH20</f>
        <v>A</v>
      </c>
      <c r="E12" s="126" t="str">
        <f>[1]PERS!AZ20</f>
        <v>A</v>
      </c>
      <c r="F12" s="126" t="str">
        <f>[1]PERS!R20</f>
        <v>A</v>
      </c>
      <c r="G12" s="126" t="str">
        <f>[1]PERS!AL20</f>
        <v>A</v>
      </c>
      <c r="H12" s="126" t="str">
        <f>[1]PERS!BA20</f>
        <v>A</v>
      </c>
      <c r="I12" s="126" t="str">
        <f>[1]PERS!V20</f>
        <v>B</v>
      </c>
      <c r="J12" s="126" t="str">
        <f>[1]PERS!AP20</f>
        <v>B</v>
      </c>
      <c r="K12" s="126" t="str">
        <f>[1]PERS!BB20</f>
        <v>B</v>
      </c>
      <c r="L12" s="126" t="str">
        <f>[1]PERS!Z20</f>
        <v>A</v>
      </c>
      <c r="M12" s="126" t="str">
        <f>[1]PERS!AT20</f>
        <v>A</v>
      </c>
      <c r="N12" s="126" t="str">
        <f>[1]PERS!BC20</f>
        <v>A</v>
      </c>
      <c r="O12" s="126" t="str">
        <f>[1]PERS!AD20</f>
        <v>A</v>
      </c>
      <c r="P12" s="126" t="str">
        <f>[1]PERS!AX20</f>
        <v>A</v>
      </c>
      <c r="Q12" s="126" t="str">
        <f>[1]PERS!BD20</f>
        <v>A</v>
      </c>
      <c r="R12" s="126" t="str">
        <f>[1]EFIS!N20</f>
        <v>A</v>
      </c>
      <c r="S12" s="126" t="str">
        <f>[1]EFIS!AH20</f>
        <v>A</v>
      </c>
      <c r="T12" s="126" t="str">
        <f>[1]EFIS!AZ20</f>
        <v>A</v>
      </c>
      <c r="U12" s="126" t="str">
        <f>[1]EFIS!R20</f>
        <v>A</v>
      </c>
      <c r="V12" s="126" t="str">
        <f>[1]EFIS!AL20</f>
        <v>A</v>
      </c>
      <c r="W12" s="126" t="str">
        <f>[1]EFIS!BA20</f>
        <v>A</v>
      </c>
      <c r="X12" s="126" t="str">
        <f>[1]EFIS!V20</f>
        <v>A</v>
      </c>
      <c r="Y12" s="126" t="str">
        <f>[1]EFIS!AP20</f>
        <v>A</v>
      </c>
      <c r="Z12" s="126" t="str">
        <f>[1]EFIS!BB20</f>
        <v>A</v>
      </c>
      <c r="AA12" s="126" t="str">
        <f>[1]COMU!N20</f>
        <v>A</v>
      </c>
      <c r="AB12" s="126" t="str">
        <f>[1]COMU!AH20</f>
        <v>A</v>
      </c>
      <c r="AC12" s="126" t="str">
        <f>[1]COMU!AZ20</f>
        <v>A</v>
      </c>
      <c r="AD12" s="126" t="str">
        <f>[1]COMU!R20</f>
        <v>A</v>
      </c>
      <c r="AE12" s="126" t="str">
        <f>[1]COMU!AH20</f>
        <v>A</v>
      </c>
      <c r="AF12" s="126" t="str">
        <f>[1]COMU!BA20</f>
        <v>A</v>
      </c>
      <c r="AG12" s="126" t="str">
        <f>[1]COMU!V20</f>
        <v>B</v>
      </c>
      <c r="AH12" s="126" t="str">
        <f>[1]COMU!AP20</f>
        <v>A</v>
      </c>
      <c r="AI12" s="126" t="str">
        <f>[1]COMU!BB20</f>
        <v>A</v>
      </c>
      <c r="AJ12" s="126" t="str">
        <f>[1]ARTE!N20</f>
        <v>A</v>
      </c>
      <c r="AK12" s="126" t="str">
        <f>[1]ARTE!AH20</f>
        <v>A</v>
      </c>
      <c r="AL12" s="126" t="str">
        <f>[1]ARTE!AZ20</f>
        <v>A</v>
      </c>
      <c r="AM12" s="126" t="str">
        <f>[1]ARTE!R20</f>
        <v>A</v>
      </c>
      <c r="AN12" s="126" t="str">
        <f>[1]ARTE!AL20</f>
        <v>A</v>
      </c>
      <c r="AO12" s="126" t="str">
        <f>[1]ARTE!BA20</f>
        <v>A</v>
      </c>
      <c r="AP12" s="126" t="str">
        <f>[1]ING!N20</f>
        <v>A</v>
      </c>
      <c r="AQ12" s="126" t="str">
        <f>[1]ING!AH20</f>
        <v>A</v>
      </c>
      <c r="AR12" s="126" t="str">
        <f>[1]ING!AZ20</f>
        <v>A</v>
      </c>
      <c r="AS12" s="126" t="str">
        <f>[1]ING!R20</f>
        <v>A</v>
      </c>
      <c r="AT12" s="126" t="str">
        <f>[1]ING!AL20</f>
        <v>A</v>
      </c>
      <c r="AU12" s="126" t="str">
        <f>[1]ING!BA20</f>
        <v>A</v>
      </c>
      <c r="AV12" s="126" t="str">
        <f>[1]ING!V20</f>
        <v>A</v>
      </c>
      <c r="AW12" s="126" t="str">
        <f>[1]ING!AP20</f>
        <v>A</v>
      </c>
      <c r="AX12" s="126" t="str">
        <f>[1]ING!BB20</f>
        <v>A</v>
      </c>
      <c r="AY12" s="126" t="str">
        <f>[1]MATE!N20</f>
        <v>A</v>
      </c>
      <c r="AZ12" s="126" t="str">
        <f>[1]MATE!AH20</f>
        <v>A</v>
      </c>
      <c r="BA12" s="126" t="str">
        <f>[1]MATE!AZ20</f>
        <v>A</v>
      </c>
      <c r="BB12" s="126" t="str">
        <f>[1]MATE!R20</f>
        <v>A</v>
      </c>
      <c r="BC12" s="126" t="str">
        <f>[1]MATE!AL20</f>
        <v>A</v>
      </c>
      <c r="BD12" s="126" t="str">
        <f>[1]MATE!BA20</f>
        <v>A</v>
      </c>
      <c r="BE12" s="126" t="str">
        <f>[1]MATE!V20</f>
        <v>A</v>
      </c>
      <c r="BF12" s="126" t="str">
        <f>[1]MATE!AP20</f>
        <v>A</v>
      </c>
      <c r="BG12" s="126" t="str">
        <f>[1]MATE!BB20</f>
        <v>A</v>
      </c>
      <c r="BH12" s="126" t="str">
        <f>[1]MATE!Z20</f>
        <v>A</v>
      </c>
      <c r="BI12" s="126" t="str">
        <f>[1]MATE!AT20</f>
        <v>A</v>
      </c>
      <c r="BJ12" s="126" t="str">
        <f>[1]MATE!BC20</f>
        <v>A</v>
      </c>
      <c r="BK12" s="126" t="str">
        <f>[1]CTEC!N20</f>
        <v>B</v>
      </c>
      <c r="BL12" s="126" t="str">
        <f>[1]CTEC!AH20</f>
        <v>A</v>
      </c>
      <c r="BM12" s="126" t="str">
        <f>[1]CTEC!AZ20</f>
        <v>A</v>
      </c>
      <c r="BN12" s="126" t="str">
        <f>[1]CTEC!R20</f>
        <v>A</v>
      </c>
      <c r="BO12" s="126" t="str">
        <f>[1]CTEC!AL20</f>
        <v>A</v>
      </c>
      <c r="BP12" s="126" t="str">
        <f>[1]CTEC!BA20</f>
        <v>A</v>
      </c>
      <c r="BQ12" s="126" t="str">
        <f>[1]CTEC!V20</f>
        <v>B</v>
      </c>
      <c r="BR12" s="126" t="str">
        <f>[1]CTEC!AP20</f>
        <v>A</v>
      </c>
      <c r="BS12" s="126" t="str">
        <f>[1]CTEC!BB20</f>
        <v>A</v>
      </c>
      <c r="BT12" s="126" t="str">
        <f>[1]REL!N20</f>
        <v>A</v>
      </c>
      <c r="BU12" s="126" t="str">
        <f>[1]REL!AH20</f>
        <v>A</v>
      </c>
      <c r="BV12" s="126" t="str">
        <f>[1]REL!AZ20</f>
        <v>A</v>
      </c>
      <c r="BW12" s="126" t="str">
        <f>[1]REL!R20</f>
        <v>A</v>
      </c>
      <c r="BX12" s="126" t="str">
        <f>[1]REL!AL20</f>
        <v>A</v>
      </c>
      <c r="BY12" s="126" t="str">
        <f>[1]REL!BA20</f>
        <v>A</v>
      </c>
      <c r="BZ12" s="126" t="str">
        <f>[1]EMPR!N20</f>
        <v>A</v>
      </c>
      <c r="CA12" s="126" t="str">
        <f>[1]EMPR!AH20</f>
        <v>A</v>
      </c>
      <c r="CB12" s="126" t="str">
        <f>[1]EMPR!AZ20</f>
        <v>A</v>
      </c>
      <c r="CC12" s="126" t="str">
        <f>[1]COMPU!N20</f>
        <v>A</v>
      </c>
      <c r="CD12" s="126" t="str">
        <f>[1]COMPU!AH20</f>
        <v>A</v>
      </c>
      <c r="CE12" s="126" t="str">
        <f>[1]COMPU!AZ20</f>
        <v>A</v>
      </c>
      <c r="CF12" s="126" t="str">
        <f>[1]ROBOTI!N20</f>
        <v>A</v>
      </c>
      <c r="CG12" s="126" t="str">
        <f>[1]ROBOTI!AH20</f>
        <v>A</v>
      </c>
      <c r="CH12" s="126" t="str">
        <f>[1]ROBOTI!AZ20</f>
        <v>A</v>
      </c>
      <c r="CI12" s="126" t="str">
        <f>[1]APREPER!AL19</f>
        <v>A</v>
      </c>
      <c r="CJ12" s="127" t="str">
        <f>[1]APREPER!AM19</f>
        <v>A</v>
      </c>
      <c r="CK12" s="128" t="str">
        <f>[1]APREPER!I19</f>
        <v>X</v>
      </c>
      <c r="CL12" s="128">
        <f>[1]APREPER!J19</f>
        <v>0</v>
      </c>
      <c r="CM12" s="128">
        <f>[1]APREPER!K19</f>
        <v>0</v>
      </c>
      <c r="CN12" s="128" t="str">
        <f>[1]APREPER!L19</f>
        <v>X</v>
      </c>
      <c r="CO12" s="128">
        <f>[1]APREPER!M19</f>
        <v>0</v>
      </c>
      <c r="CP12" s="128">
        <f>[1]APREPER!N19</f>
        <v>0</v>
      </c>
      <c r="CQ12" s="128" t="str">
        <f>[1]APREPER!O19</f>
        <v>X</v>
      </c>
      <c r="CR12" s="128">
        <f>[1]APREPER!P19</f>
        <v>0</v>
      </c>
      <c r="CS12" s="128">
        <f>[1]APREPER!Q19</f>
        <v>0</v>
      </c>
      <c r="CT12" s="128" t="str">
        <f>[1]APREPER!R19</f>
        <v>X</v>
      </c>
      <c r="CU12" s="128">
        <f>[1]APREPER!S19</f>
        <v>0</v>
      </c>
      <c r="CV12" s="128">
        <f>[1]APREPER!T19</f>
        <v>0</v>
      </c>
      <c r="CW12" s="128" t="str">
        <f>[1]APREPER!U19</f>
        <v>X</v>
      </c>
      <c r="CX12" s="128">
        <f>[1]APREPER!V19</f>
        <v>0</v>
      </c>
      <c r="CY12" s="128">
        <f>[1]APREPER!W19</f>
        <v>0</v>
      </c>
      <c r="CZ12" s="128" t="str">
        <f>[1]APREPER!X19</f>
        <v>X</v>
      </c>
      <c r="DA12" s="128">
        <f>[1]APREPER!Y19</f>
        <v>0</v>
      </c>
      <c r="DB12" s="128">
        <f>[1]APREPER!Z19</f>
        <v>0</v>
      </c>
      <c r="DC12" s="128" t="str">
        <f>[1]APREPER!AA19</f>
        <v>X</v>
      </c>
      <c r="DD12" s="128">
        <f>[1]APREPER!AB19</f>
        <v>0</v>
      </c>
      <c r="DE12" s="128">
        <f>[1]APREPER!AC19</f>
        <v>0</v>
      </c>
      <c r="DF12" s="128" t="str">
        <f>[1]APREPER!AD19</f>
        <v>X</v>
      </c>
      <c r="DG12" s="128">
        <f>[1]APREPER!AE19</f>
        <v>0</v>
      </c>
      <c r="DH12" s="128">
        <f>[1]APREPER!AF19</f>
        <v>0</v>
      </c>
      <c r="DI12" s="128">
        <f>[1]APREPER!AG19</f>
        <v>0</v>
      </c>
      <c r="DJ12" s="128" t="str">
        <f>[1]APREPER!AH19</f>
        <v>X</v>
      </c>
      <c r="DK12" s="128">
        <f>[1]APREPER!AI19</f>
        <v>0</v>
      </c>
      <c r="DL12" s="128" t="str">
        <f>[1]APREPER!AJ19</f>
        <v>A</v>
      </c>
      <c r="DM12" s="128" t="str">
        <f>[1]APREPPFF!I19</f>
        <v>X</v>
      </c>
      <c r="DN12" s="128">
        <f>[1]APREPPFF!J19</f>
        <v>0</v>
      </c>
      <c r="DO12" s="128">
        <f>[1]APREPPFF!K19</f>
        <v>0</v>
      </c>
      <c r="DP12" s="128" t="str">
        <f>[1]APREPPFF!L19</f>
        <v>X</v>
      </c>
      <c r="DQ12" s="128">
        <f>[1]APREPPFF!M19</f>
        <v>0</v>
      </c>
      <c r="DR12" s="128">
        <f>[1]APREPPFF!N19</f>
        <v>0</v>
      </c>
      <c r="DS12" s="128" t="str">
        <f>[1]APREPPFF!O19</f>
        <v>X</v>
      </c>
      <c r="DT12" s="128">
        <f>[1]APREPPFF!P19</f>
        <v>0</v>
      </c>
      <c r="DU12" s="128">
        <f>[1]APREPPFF!Q19</f>
        <v>0</v>
      </c>
      <c r="DV12" s="128">
        <f>[1]APREPPFF!R19</f>
        <v>0</v>
      </c>
      <c r="DW12" s="128" t="str">
        <f>[1]APREPPFF!S19</f>
        <v>X</v>
      </c>
      <c r="DX12" s="128">
        <f>[1]APREPPFF!T19</f>
        <v>0</v>
      </c>
      <c r="DY12" s="128" t="str">
        <f>[1]APREPPFF!U19</f>
        <v>A</v>
      </c>
      <c r="DZ12" s="128">
        <f>[1]ASISTEN!$BS$4</f>
        <v>47</v>
      </c>
      <c r="EA12" s="129">
        <f>[1]ASISTEN!BT20</f>
        <v>1</v>
      </c>
      <c r="EB12" s="128">
        <f>[1]ASISTEN!BP20</f>
        <v>47</v>
      </c>
      <c r="EC12" s="128">
        <f>[1]ASISTEN!BQ20</f>
        <v>0</v>
      </c>
      <c r="ED12" s="128">
        <f>[1]ASISTEN!BR20</f>
        <v>0</v>
      </c>
      <c r="EE12" s="128">
        <f>[1]ASISTEN!BS20</f>
        <v>0</v>
      </c>
      <c r="EF12" s="130" t="str">
        <f>[1]APREPER!AN19</f>
        <v>Ha logrado avances importantes en varias competencias; sin embargo, aún requiere fortalecer algunos aprendizajes para alcanzar un desempeño más uniforme y seguro.</v>
      </c>
      <c r="EG12" s="128">
        <f t="shared" si="0"/>
        <v>166</v>
      </c>
      <c r="EH12" s="128">
        <f t="shared" si="1"/>
        <v>11</v>
      </c>
      <c r="EI12" s="128"/>
      <c r="EJ12" s="104">
        <f t="shared" si="2"/>
        <v>0</v>
      </c>
      <c r="EK12" s="104">
        <f t="shared" si="3"/>
        <v>80</v>
      </c>
      <c r="EL12" s="104">
        <f t="shared" si="4"/>
        <v>6</v>
      </c>
    </row>
    <row r="13" spans="1:142" ht="30" x14ac:dyDescent="0.25">
      <c r="A13" s="125">
        <v>9</v>
      </c>
      <c r="B13" s="102" t="s">
        <v>124</v>
      </c>
      <c r="C13" s="126" t="str">
        <f>[1]PERS!N21</f>
        <v>A</v>
      </c>
      <c r="D13" s="126" t="str">
        <f>[1]PERS!AH21</f>
        <v>A</v>
      </c>
      <c r="E13" s="126" t="str">
        <f>[1]PERS!AZ21</f>
        <v>A</v>
      </c>
      <c r="F13" s="126" t="str">
        <f>[1]PERS!R21</f>
        <v>A</v>
      </c>
      <c r="G13" s="126" t="str">
        <f>[1]PERS!AL21</f>
        <v>A</v>
      </c>
      <c r="H13" s="126" t="str">
        <f>[1]PERS!BA21</f>
        <v>A</v>
      </c>
      <c r="I13" s="126" t="str">
        <f>[1]PERS!V21</f>
        <v>B</v>
      </c>
      <c r="J13" s="126" t="str">
        <f>[1]PERS!AP21</f>
        <v>A</v>
      </c>
      <c r="K13" s="126" t="str">
        <f>[1]PERS!BB21</f>
        <v>A</v>
      </c>
      <c r="L13" s="126" t="str">
        <f>[1]PERS!Z21</f>
        <v>A</v>
      </c>
      <c r="M13" s="126" t="str">
        <f>[1]PERS!AT21</f>
        <v>A</v>
      </c>
      <c r="N13" s="126" t="str">
        <f>[1]PERS!BC21</f>
        <v>A</v>
      </c>
      <c r="O13" s="126" t="str">
        <f>[1]PERS!AD21</f>
        <v>A</v>
      </c>
      <c r="P13" s="126" t="str">
        <f>[1]PERS!AX21</f>
        <v>A</v>
      </c>
      <c r="Q13" s="126" t="str">
        <f>[1]PERS!BD21</f>
        <v>A</v>
      </c>
      <c r="R13" s="126" t="str">
        <f>[1]EFIS!N21</f>
        <v>A</v>
      </c>
      <c r="S13" s="126" t="str">
        <f>[1]EFIS!AH21</f>
        <v>A</v>
      </c>
      <c r="T13" s="126" t="str">
        <f>[1]EFIS!AZ21</f>
        <v>A</v>
      </c>
      <c r="U13" s="126" t="str">
        <f>[1]EFIS!R21</f>
        <v>A</v>
      </c>
      <c r="V13" s="126" t="str">
        <f>[1]EFIS!AL21</f>
        <v>A</v>
      </c>
      <c r="W13" s="126" t="str">
        <f>[1]EFIS!BA21</f>
        <v>A</v>
      </c>
      <c r="X13" s="126" t="str">
        <f>[1]EFIS!V21</f>
        <v>A</v>
      </c>
      <c r="Y13" s="126" t="str">
        <f>[1]EFIS!AP21</f>
        <v>A</v>
      </c>
      <c r="Z13" s="126" t="str">
        <f>[1]EFIS!BB21</f>
        <v>A</v>
      </c>
      <c r="AA13" s="126" t="str">
        <f>[1]COMU!N21</f>
        <v>A</v>
      </c>
      <c r="AB13" s="126" t="str">
        <f>[1]COMU!AH21</f>
        <v>A</v>
      </c>
      <c r="AC13" s="126" t="str">
        <f>[1]COMU!AZ21</f>
        <v>A</v>
      </c>
      <c r="AD13" s="126" t="str">
        <f>[1]COMU!R21</f>
        <v>B</v>
      </c>
      <c r="AE13" s="126" t="str">
        <f>[1]COMU!AH21</f>
        <v>A</v>
      </c>
      <c r="AF13" s="126" t="str">
        <f>[1]COMU!BA21</f>
        <v>B</v>
      </c>
      <c r="AG13" s="126" t="str">
        <f>[1]COMU!V21</f>
        <v>B</v>
      </c>
      <c r="AH13" s="126" t="str">
        <f>[1]COMU!AP21</f>
        <v>A</v>
      </c>
      <c r="AI13" s="126" t="str">
        <f>[1]COMU!BB21</f>
        <v>A</v>
      </c>
      <c r="AJ13" s="126" t="str">
        <f>[1]ARTE!N21</f>
        <v>A</v>
      </c>
      <c r="AK13" s="126" t="str">
        <f>[1]ARTE!AH21</f>
        <v>A</v>
      </c>
      <c r="AL13" s="126" t="str">
        <f>[1]ARTE!AZ21</f>
        <v>A</v>
      </c>
      <c r="AM13" s="126" t="str">
        <f>[1]ARTE!R21</f>
        <v>A</v>
      </c>
      <c r="AN13" s="126" t="str">
        <f>[1]ARTE!AL21</f>
        <v>A</v>
      </c>
      <c r="AO13" s="126" t="str">
        <f>[1]ARTE!BA21</f>
        <v>A</v>
      </c>
      <c r="AP13" s="126" t="str">
        <f>[1]ING!N21</f>
        <v>A</v>
      </c>
      <c r="AQ13" s="126" t="str">
        <f>[1]ING!AH21</f>
        <v>A</v>
      </c>
      <c r="AR13" s="126" t="str">
        <f>[1]ING!AZ21</f>
        <v>A</v>
      </c>
      <c r="AS13" s="126" t="str">
        <f>[1]ING!R21</f>
        <v>A</v>
      </c>
      <c r="AT13" s="126" t="str">
        <f>[1]ING!AL21</f>
        <v>B</v>
      </c>
      <c r="AU13" s="126" t="str">
        <f>[1]ING!BA21</f>
        <v>A</v>
      </c>
      <c r="AV13" s="126" t="str">
        <f>[1]ING!V21</f>
        <v>A</v>
      </c>
      <c r="AW13" s="126" t="str">
        <f>[1]ING!AP21</f>
        <v>A</v>
      </c>
      <c r="AX13" s="126" t="str">
        <f>[1]ING!BB21</f>
        <v>A</v>
      </c>
      <c r="AY13" s="126" t="str">
        <f>[1]MATE!N21</f>
        <v>B</v>
      </c>
      <c r="AZ13" s="126" t="str">
        <f>[1]MATE!AH21</f>
        <v>C</v>
      </c>
      <c r="BA13" s="126" t="str">
        <f>[1]MATE!AZ21</f>
        <v>B</v>
      </c>
      <c r="BB13" s="126" t="str">
        <f>[1]MATE!R21</f>
        <v>A</v>
      </c>
      <c r="BC13" s="126" t="str">
        <f>[1]MATE!AL21</f>
        <v>B</v>
      </c>
      <c r="BD13" s="126" t="str">
        <f>[1]MATE!BA21</f>
        <v>A</v>
      </c>
      <c r="BE13" s="126" t="str">
        <f>[1]MATE!V21</f>
        <v>B</v>
      </c>
      <c r="BF13" s="126" t="str">
        <f>[1]MATE!AP21</f>
        <v>B</v>
      </c>
      <c r="BG13" s="126" t="str">
        <f>[1]MATE!BB21</f>
        <v>B</v>
      </c>
      <c r="BH13" s="126" t="str">
        <f>[1]MATE!Z21</f>
        <v>A</v>
      </c>
      <c r="BI13" s="126" t="str">
        <f>[1]MATE!AT21</f>
        <v>A</v>
      </c>
      <c r="BJ13" s="126" t="str">
        <f>[1]MATE!BC21</f>
        <v>A</v>
      </c>
      <c r="BK13" s="126" t="str">
        <f>[1]CTEC!N21</f>
        <v>A</v>
      </c>
      <c r="BL13" s="126" t="str">
        <f>[1]CTEC!AH21</f>
        <v>A</v>
      </c>
      <c r="BM13" s="126" t="str">
        <f>[1]CTEC!AZ21</f>
        <v>A</v>
      </c>
      <c r="BN13" s="126" t="str">
        <f>[1]CTEC!R21</f>
        <v>A</v>
      </c>
      <c r="BO13" s="126" t="str">
        <f>[1]CTEC!AL21</f>
        <v>B</v>
      </c>
      <c r="BP13" s="126" t="str">
        <f>[1]CTEC!BA21</f>
        <v>A</v>
      </c>
      <c r="BQ13" s="126" t="str">
        <f>[1]CTEC!V21</f>
        <v>A</v>
      </c>
      <c r="BR13" s="126" t="str">
        <f>[1]CTEC!AP21</f>
        <v>A</v>
      </c>
      <c r="BS13" s="126" t="str">
        <f>[1]CTEC!BB21</f>
        <v>A</v>
      </c>
      <c r="BT13" s="126" t="str">
        <f>[1]REL!N21</f>
        <v>A</v>
      </c>
      <c r="BU13" s="126" t="str">
        <f>[1]REL!AH21</f>
        <v>A</v>
      </c>
      <c r="BV13" s="126" t="str">
        <f>[1]REL!AZ21</f>
        <v>A</v>
      </c>
      <c r="BW13" s="126" t="str">
        <f>[1]REL!R21</f>
        <v>A</v>
      </c>
      <c r="BX13" s="126" t="str">
        <f>[1]REL!AL21</f>
        <v>A</v>
      </c>
      <c r="BY13" s="126" t="str">
        <f>[1]REL!BA21</f>
        <v>A</v>
      </c>
      <c r="BZ13" s="126" t="str">
        <f>[1]EMPR!N21</f>
        <v>A</v>
      </c>
      <c r="CA13" s="126" t="str">
        <f>[1]EMPR!AH21</f>
        <v>B</v>
      </c>
      <c r="CB13" s="126" t="str">
        <f>[1]EMPR!AZ21</f>
        <v>A</v>
      </c>
      <c r="CC13" s="126" t="str">
        <f>[1]COMPU!N21</f>
        <v>A</v>
      </c>
      <c r="CD13" s="126" t="str">
        <f>[1]COMPU!AH21</f>
        <v>A</v>
      </c>
      <c r="CE13" s="126" t="str">
        <f>[1]COMPU!AZ21</f>
        <v>A</v>
      </c>
      <c r="CF13" s="126" t="str">
        <f>[1]ROBOTI!N21</f>
        <v>A</v>
      </c>
      <c r="CG13" s="126" t="str">
        <f>[1]ROBOTI!AH21</f>
        <v>A</v>
      </c>
      <c r="CH13" s="126" t="str">
        <f>[1]ROBOTI!AZ21</f>
        <v>A</v>
      </c>
      <c r="CI13" s="126" t="str">
        <f>[1]APREPER!AL20</f>
        <v>A</v>
      </c>
      <c r="CJ13" s="127" t="str">
        <f>[1]APREPER!AM20</f>
        <v>A</v>
      </c>
      <c r="CK13" s="128" t="str">
        <f>[1]APREPER!I20</f>
        <v>X</v>
      </c>
      <c r="CL13" s="128">
        <f>[1]APREPER!J20</f>
        <v>0</v>
      </c>
      <c r="CM13" s="128">
        <f>[1]APREPER!K20</f>
        <v>0</v>
      </c>
      <c r="CN13" s="128" t="str">
        <f>[1]APREPER!L20</f>
        <v>X</v>
      </c>
      <c r="CO13" s="128">
        <f>[1]APREPER!M20</f>
        <v>0</v>
      </c>
      <c r="CP13" s="128">
        <f>[1]APREPER!N20</f>
        <v>0</v>
      </c>
      <c r="CQ13" s="128" t="str">
        <f>[1]APREPER!O20</f>
        <v>X</v>
      </c>
      <c r="CR13" s="128">
        <f>[1]APREPER!P20</f>
        <v>0</v>
      </c>
      <c r="CS13" s="128">
        <f>[1]APREPER!Q20</f>
        <v>0</v>
      </c>
      <c r="CT13" s="128" t="str">
        <f>[1]APREPER!R20</f>
        <v>X</v>
      </c>
      <c r="CU13" s="128">
        <f>[1]APREPER!S20</f>
        <v>0</v>
      </c>
      <c r="CV13" s="128">
        <f>[1]APREPER!T20</f>
        <v>0</v>
      </c>
      <c r="CW13" s="128" t="str">
        <f>[1]APREPER!U20</f>
        <v>X</v>
      </c>
      <c r="CX13" s="128">
        <f>[1]APREPER!V20</f>
        <v>0</v>
      </c>
      <c r="CY13" s="128">
        <f>[1]APREPER!W20</f>
        <v>0</v>
      </c>
      <c r="CZ13" s="128" t="str">
        <f>[1]APREPER!X20</f>
        <v>X</v>
      </c>
      <c r="DA13" s="128">
        <f>[1]APREPER!Y20</f>
        <v>0</v>
      </c>
      <c r="DB13" s="128">
        <f>[1]APREPER!Z20</f>
        <v>0</v>
      </c>
      <c r="DC13" s="128" t="str">
        <f>[1]APREPER!AA20</f>
        <v>X</v>
      </c>
      <c r="DD13" s="128">
        <f>[1]APREPER!AB20</f>
        <v>0</v>
      </c>
      <c r="DE13" s="128">
        <f>[1]APREPER!AC20</f>
        <v>0</v>
      </c>
      <c r="DF13" s="128" t="str">
        <f>[1]APREPER!AD20</f>
        <v>X</v>
      </c>
      <c r="DG13" s="128">
        <f>[1]APREPER!AE20</f>
        <v>0</v>
      </c>
      <c r="DH13" s="128">
        <f>[1]APREPER!AF20</f>
        <v>0</v>
      </c>
      <c r="DI13" s="128">
        <f>[1]APREPER!AG20</f>
        <v>0</v>
      </c>
      <c r="DJ13" s="128" t="str">
        <f>[1]APREPER!AH20</f>
        <v>X</v>
      </c>
      <c r="DK13" s="128">
        <f>[1]APREPER!AI20</f>
        <v>0</v>
      </c>
      <c r="DL13" s="128" t="str">
        <f>[1]APREPER!AJ20</f>
        <v>A</v>
      </c>
      <c r="DM13" s="128">
        <f>[1]APREPPFF!I20</f>
        <v>0</v>
      </c>
      <c r="DN13" s="128" t="str">
        <f>[1]APREPPFF!J20</f>
        <v>X</v>
      </c>
      <c r="DO13" s="128">
        <f>[1]APREPPFF!K20</f>
        <v>0</v>
      </c>
      <c r="DP13" s="128" t="str">
        <f>[1]APREPPFF!L20</f>
        <v>X</v>
      </c>
      <c r="DQ13" s="128">
        <f>[1]APREPPFF!M20</f>
        <v>0</v>
      </c>
      <c r="DR13" s="128">
        <f>[1]APREPPFF!N20</f>
        <v>0</v>
      </c>
      <c r="DS13" s="128" t="str">
        <f>[1]APREPPFF!O20</f>
        <v>X</v>
      </c>
      <c r="DT13" s="128">
        <f>[1]APREPPFF!P20</f>
        <v>0</v>
      </c>
      <c r="DU13" s="128">
        <f>[1]APREPPFF!Q20</f>
        <v>0</v>
      </c>
      <c r="DV13" s="128" t="str">
        <f>[1]APREPPFF!R20</f>
        <v>X</v>
      </c>
      <c r="DW13" s="128">
        <f>[1]APREPPFF!S20</f>
        <v>0</v>
      </c>
      <c r="DX13" s="128">
        <f>[1]APREPPFF!T20</f>
        <v>0</v>
      </c>
      <c r="DY13" s="128" t="str">
        <f>[1]APREPPFF!U20</f>
        <v>A</v>
      </c>
      <c r="DZ13" s="128">
        <f>[1]ASISTEN!$BS$4</f>
        <v>47</v>
      </c>
      <c r="EA13" s="129">
        <f>[1]ASISTEN!BT21</f>
        <v>1</v>
      </c>
      <c r="EB13" s="128">
        <f>[1]ASISTEN!BP21</f>
        <v>46</v>
      </c>
      <c r="EC13" s="128">
        <f>[1]ASISTEN!BQ21</f>
        <v>1</v>
      </c>
      <c r="ED13" s="128">
        <f>[1]ASISTEN!BR21</f>
        <v>0</v>
      </c>
      <c r="EE13" s="128">
        <f>[1]ASISTEN!BS21</f>
        <v>0</v>
      </c>
      <c r="EF13" s="130" t="str">
        <f>[1]APREPER!AN20</f>
        <v>Ha logrado avances importantes en varias competencias; sin embargo, aún requiere fortalecer algunos aprendizajes para alcanzar un desempeño más uniforme y seguro.</v>
      </c>
      <c r="EG13" s="128">
        <f t="shared" si="0"/>
        <v>157</v>
      </c>
      <c r="EH13" s="128">
        <f t="shared" si="1"/>
        <v>17</v>
      </c>
      <c r="EI13" s="128"/>
      <c r="EJ13" s="104">
        <f t="shared" si="2"/>
        <v>0</v>
      </c>
      <c r="EK13" s="104">
        <f t="shared" si="3"/>
        <v>72</v>
      </c>
      <c r="EL13" s="104">
        <f t="shared" si="4"/>
        <v>13</v>
      </c>
    </row>
    <row r="14" spans="1:142" ht="30" x14ac:dyDescent="0.25">
      <c r="A14" s="125">
        <v>10</v>
      </c>
      <c r="B14" s="102" t="s">
        <v>125</v>
      </c>
      <c r="C14" s="126" t="str">
        <f>[1]PERS!N22</f>
        <v>A</v>
      </c>
      <c r="D14" s="126" t="str">
        <f>[1]PERS!AH22</f>
        <v>A</v>
      </c>
      <c r="E14" s="126" t="str">
        <f>[1]PERS!AZ22</f>
        <v>A</v>
      </c>
      <c r="F14" s="126" t="str">
        <f>[1]PERS!R22</f>
        <v>A</v>
      </c>
      <c r="G14" s="126" t="str">
        <f>[1]PERS!AL22</f>
        <v>A</v>
      </c>
      <c r="H14" s="126" t="str">
        <f>[1]PERS!BA22</f>
        <v>A</v>
      </c>
      <c r="I14" s="126" t="str">
        <f>[1]PERS!V22</f>
        <v>A</v>
      </c>
      <c r="J14" s="126" t="str">
        <f>[1]PERS!AP22</f>
        <v>A</v>
      </c>
      <c r="K14" s="126" t="str">
        <f>[1]PERS!BB22</f>
        <v>A</v>
      </c>
      <c r="L14" s="126" t="str">
        <f>[1]PERS!Z22</f>
        <v>A</v>
      </c>
      <c r="M14" s="126" t="str">
        <f>[1]PERS!AT22</f>
        <v>A</v>
      </c>
      <c r="N14" s="126" t="str">
        <f>[1]PERS!BC22</f>
        <v>A</v>
      </c>
      <c r="O14" s="126" t="str">
        <f>[1]PERS!AD22</f>
        <v>A</v>
      </c>
      <c r="P14" s="126" t="str">
        <f>[1]PERS!AX22</f>
        <v>B</v>
      </c>
      <c r="Q14" s="126" t="str">
        <f>[1]PERS!BD22</f>
        <v>A</v>
      </c>
      <c r="R14" s="126" t="str">
        <f>[1]EFIS!N22</f>
        <v>A</v>
      </c>
      <c r="S14" s="126" t="str">
        <f>[1]EFIS!AH22</f>
        <v>A</v>
      </c>
      <c r="T14" s="126" t="str">
        <f>[1]EFIS!AZ22</f>
        <v>A</v>
      </c>
      <c r="U14" s="126" t="str">
        <f>[1]EFIS!R22</f>
        <v>A</v>
      </c>
      <c r="V14" s="126" t="str">
        <f>[1]EFIS!AL22</f>
        <v>A</v>
      </c>
      <c r="W14" s="126" t="str">
        <f>[1]EFIS!BA22</f>
        <v>A</v>
      </c>
      <c r="X14" s="126" t="str">
        <f>[1]EFIS!V22</f>
        <v>A</v>
      </c>
      <c r="Y14" s="126" t="str">
        <f>[1]EFIS!AP22</f>
        <v>A</v>
      </c>
      <c r="Z14" s="126" t="str">
        <f>[1]EFIS!BB22</f>
        <v>A</v>
      </c>
      <c r="AA14" s="126" t="str">
        <f>[1]COMU!N22</f>
        <v>A</v>
      </c>
      <c r="AB14" s="126" t="str">
        <f>[1]COMU!AH22</f>
        <v>A</v>
      </c>
      <c r="AC14" s="126" t="str">
        <f>[1]COMU!AZ22</f>
        <v>A</v>
      </c>
      <c r="AD14" s="126" t="str">
        <f>[1]COMU!R22</f>
        <v>B</v>
      </c>
      <c r="AE14" s="126" t="str">
        <f>[1]COMU!AH22</f>
        <v>A</v>
      </c>
      <c r="AF14" s="126" t="str">
        <f>[1]COMU!BA22</f>
        <v>B</v>
      </c>
      <c r="AG14" s="126" t="str">
        <f>[1]COMU!V22</f>
        <v>B</v>
      </c>
      <c r="AH14" s="126" t="str">
        <f>[1]COMU!AP22</f>
        <v>A</v>
      </c>
      <c r="AI14" s="126" t="str">
        <f>[1]COMU!BB22</f>
        <v>A</v>
      </c>
      <c r="AJ14" s="126" t="str">
        <f>[1]ARTE!N22</f>
        <v>A</v>
      </c>
      <c r="AK14" s="126" t="str">
        <f>[1]ARTE!AH22</f>
        <v>A</v>
      </c>
      <c r="AL14" s="126" t="str">
        <f>[1]ARTE!AZ22</f>
        <v>A</v>
      </c>
      <c r="AM14" s="126" t="str">
        <f>[1]ARTE!R22</f>
        <v>A</v>
      </c>
      <c r="AN14" s="126" t="str">
        <f>[1]ARTE!AL22</f>
        <v>A</v>
      </c>
      <c r="AO14" s="126" t="str">
        <f>[1]ARTE!BA22</f>
        <v>A</v>
      </c>
      <c r="AP14" s="126" t="str">
        <f>[1]ING!N22</f>
        <v>A</v>
      </c>
      <c r="AQ14" s="126" t="str">
        <f>[1]ING!AH22</f>
        <v>A</v>
      </c>
      <c r="AR14" s="126" t="str">
        <f>[1]ING!AZ22</f>
        <v>A</v>
      </c>
      <c r="AS14" s="126" t="str">
        <f>[1]ING!R22</f>
        <v>B</v>
      </c>
      <c r="AT14" s="126" t="str">
        <f>[1]ING!AL22</f>
        <v>B</v>
      </c>
      <c r="AU14" s="126" t="str">
        <f>[1]ING!BA22</f>
        <v>B</v>
      </c>
      <c r="AV14" s="126" t="str">
        <f>[1]ING!V22</f>
        <v>A</v>
      </c>
      <c r="AW14" s="126" t="str">
        <f>[1]ING!AP22</f>
        <v>B</v>
      </c>
      <c r="AX14" s="126" t="str">
        <f>[1]ING!BB22</f>
        <v>A</v>
      </c>
      <c r="AY14" s="126" t="str">
        <f>[1]MATE!N22</f>
        <v>B</v>
      </c>
      <c r="AZ14" s="126" t="str">
        <f>[1]MATE!AH22</f>
        <v>C</v>
      </c>
      <c r="BA14" s="126" t="str">
        <f>[1]MATE!AZ22</f>
        <v>B</v>
      </c>
      <c r="BB14" s="126" t="str">
        <f>[1]MATE!R22</f>
        <v>B</v>
      </c>
      <c r="BC14" s="126" t="str">
        <f>[1]MATE!AL22</f>
        <v>B</v>
      </c>
      <c r="BD14" s="126" t="str">
        <f>[1]MATE!BA22</f>
        <v>B</v>
      </c>
      <c r="BE14" s="126" t="str">
        <f>[1]MATE!V22</f>
        <v>B</v>
      </c>
      <c r="BF14" s="126" t="str">
        <f>[1]MATE!AP22</f>
        <v>C</v>
      </c>
      <c r="BG14" s="126" t="str">
        <f>[1]MATE!BB22</f>
        <v>B</v>
      </c>
      <c r="BH14" s="126" t="str">
        <f>[1]MATE!Z22</f>
        <v>A</v>
      </c>
      <c r="BI14" s="126" t="str">
        <f>[1]MATE!AT22</f>
        <v>A</v>
      </c>
      <c r="BJ14" s="126" t="str">
        <f>[1]MATE!BC22</f>
        <v>A</v>
      </c>
      <c r="BK14" s="126" t="str">
        <f>[1]CTEC!N22</f>
        <v>B</v>
      </c>
      <c r="BL14" s="126" t="str">
        <f>[1]CTEC!AH22</f>
        <v>B</v>
      </c>
      <c r="BM14" s="126" t="str">
        <f>[1]CTEC!AZ22</f>
        <v>B</v>
      </c>
      <c r="BN14" s="126" t="str">
        <f>[1]CTEC!R22</f>
        <v>A</v>
      </c>
      <c r="BO14" s="126" t="str">
        <f>[1]CTEC!AL22</f>
        <v>A</v>
      </c>
      <c r="BP14" s="126" t="str">
        <f>[1]CTEC!BA22</f>
        <v>A</v>
      </c>
      <c r="BQ14" s="126" t="str">
        <f>[1]CTEC!V22</f>
        <v>A</v>
      </c>
      <c r="BR14" s="126" t="str">
        <f>[1]CTEC!AP22</f>
        <v>B</v>
      </c>
      <c r="BS14" s="126" t="str">
        <f>[1]CTEC!BB22</f>
        <v>A</v>
      </c>
      <c r="BT14" s="126" t="str">
        <f>[1]REL!N22</f>
        <v>A</v>
      </c>
      <c r="BU14" s="126" t="str">
        <f>[1]REL!AH22</f>
        <v>A</v>
      </c>
      <c r="BV14" s="126" t="str">
        <f>[1]REL!AZ22</f>
        <v>A</v>
      </c>
      <c r="BW14" s="126" t="str">
        <f>[1]REL!R22</f>
        <v>A</v>
      </c>
      <c r="BX14" s="126" t="str">
        <f>[1]REL!AL22</f>
        <v>A</v>
      </c>
      <c r="BY14" s="126" t="str">
        <f>[1]REL!BA22</f>
        <v>A</v>
      </c>
      <c r="BZ14" s="126" t="str">
        <f>[1]EMPR!N22</f>
        <v>A</v>
      </c>
      <c r="CA14" s="126" t="str">
        <f>[1]EMPR!AH22</f>
        <v>A</v>
      </c>
      <c r="CB14" s="126" t="str">
        <f>[1]EMPR!AZ22</f>
        <v>A</v>
      </c>
      <c r="CC14" s="126" t="str">
        <f>[1]COMPU!N22</f>
        <v>A</v>
      </c>
      <c r="CD14" s="126" t="str">
        <f>[1]COMPU!AH22</f>
        <v>A</v>
      </c>
      <c r="CE14" s="126" t="str">
        <f>[1]COMPU!AZ22</f>
        <v>A</v>
      </c>
      <c r="CF14" s="126" t="str">
        <f>[1]ROBOTI!N22</f>
        <v>A</v>
      </c>
      <c r="CG14" s="126" t="str">
        <f>[1]ROBOTI!AH22</f>
        <v>A</v>
      </c>
      <c r="CH14" s="126" t="str">
        <f>[1]ROBOTI!AZ22</f>
        <v>A</v>
      </c>
      <c r="CI14" s="126" t="str">
        <f>[1]APREPER!AL21</f>
        <v>A</v>
      </c>
      <c r="CJ14" s="127" t="str">
        <f>[1]APREPER!AM21</f>
        <v>A</v>
      </c>
      <c r="CK14" s="128">
        <f>[1]APREPER!I21</f>
        <v>0</v>
      </c>
      <c r="CL14" s="128" t="str">
        <f>[1]APREPER!J21</f>
        <v>X</v>
      </c>
      <c r="CM14" s="128">
        <f>[1]APREPER!K21</f>
        <v>0</v>
      </c>
      <c r="CN14" s="128">
        <f>[1]APREPER!L21</f>
        <v>0</v>
      </c>
      <c r="CO14" s="128" t="str">
        <f>[1]APREPER!M21</f>
        <v>X</v>
      </c>
      <c r="CP14" s="128">
        <f>[1]APREPER!N21</f>
        <v>0</v>
      </c>
      <c r="CQ14" s="128">
        <f>[1]APREPER!O21</f>
        <v>0</v>
      </c>
      <c r="CR14" s="128" t="str">
        <f>[1]APREPER!P21</f>
        <v>X</v>
      </c>
      <c r="CS14" s="128">
        <f>[1]APREPER!Q21</f>
        <v>0</v>
      </c>
      <c r="CT14" s="128">
        <f>[1]APREPER!R21</f>
        <v>0</v>
      </c>
      <c r="CU14" s="128" t="str">
        <f>[1]APREPER!S21</f>
        <v>X</v>
      </c>
      <c r="CV14" s="128">
        <f>[1]APREPER!T21</f>
        <v>0</v>
      </c>
      <c r="CW14" s="128" t="str">
        <f>[1]APREPER!U21</f>
        <v>X</v>
      </c>
      <c r="CX14" s="128">
        <f>[1]APREPER!V21</f>
        <v>0</v>
      </c>
      <c r="CY14" s="128">
        <f>[1]APREPER!W21</f>
        <v>0</v>
      </c>
      <c r="CZ14" s="128" t="str">
        <f>[1]APREPER!X21</f>
        <v>X</v>
      </c>
      <c r="DA14" s="128">
        <f>[1]APREPER!Y21</f>
        <v>0</v>
      </c>
      <c r="DB14" s="128">
        <f>[1]APREPER!Z21</f>
        <v>0</v>
      </c>
      <c r="DC14" s="128" t="str">
        <f>[1]APREPER!AA21</f>
        <v>X</v>
      </c>
      <c r="DD14" s="128">
        <f>[1]APREPER!AB21</f>
        <v>0</v>
      </c>
      <c r="DE14" s="128">
        <f>[1]APREPER!AC21</f>
        <v>0</v>
      </c>
      <c r="DF14" s="128" t="str">
        <f>[1]APREPER!AD21</f>
        <v>X</v>
      </c>
      <c r="DG14" s="128">
        <f>[1]APREPER!AE21</f>
        <v>0</v>
      </c>
      <c r="DH14" s="128">
        <f>[1]APREPER!AF21</f>
        <v>0</v>
      </c>
      <c r="DI14" s="128" t="str">
        <f>[1]APREPER!AG21</f>
        <v>X</v>
      </c>
      <c r="DJ14" s="128">
        <f>[1]APREPER!AH21</f>
        <v>0</v>
      </c>
      <c r="DK14" s="128">
        <f>[1]APREPER!AI21</f>
        <v>0</v>
      </c>
      <c r="DL14" s="128" t="str">
        <f>[1]APREPER!AJ21</f>
        <v>A</v>
      </c>
      <c r="DM14" s="128">
        <f>[1]APREPPFF!I21</f>
        <v>0</v>
      </c>
      <c r="DN14" s="128" t="str">
        <f>[1]APREPPFF!J21</f>
        <v>X</v>
      </c>
      <c r="DO14" s="128">
        <f>[1]APREPPFF!K21</f>
        <v>0</v>
      </c>
      <c r="DP14" s="128">
        <f>[1]APREPPFF!L21</f>
        <v>0</v>
      </c>
      <c r="DQ14" s="128" t="str">
        <f>[1]APREPPFF!M21</f>
        <v>X</v>
      </c>
      <c r="DR14" s="128">
        <f>[1]APREPPFF!N21</f>
        <v>0</v>
      </c>
      <c r="DS14" s="128">
        <f>[1]APREPPFF!O21</f>
        <v>0</v>
      </c>
      <c r="DT14" s="128" t="str">
        <f>[1]APREPPFF!P21</f>
        <v>X</v>
      </c>
      <c r="DU14" s="128">
        <f>[1]APREPPFF!Q21</f>
        <v>0</v>
      </c>
      <c r="DV14" s="128">
        <f>[1]APREPPFF!R21</f>
        <v>0</v>
      </c>
      <c r="DW14" s="128" t="str">
        <f>[1]APREPPFF!S21</f>
        <v>X</v>
      </c>
      <c r="DX14" s="128">
        <f>[1]APREPPFF!T21</f>
        <v>0</v>
      </c>
      <c r="DY14" s="128" t="str">
        <f>[1]APREPPFF!U21</f>
        <v>B</v>
      </c>
      <c r="DZ14" s="128">
        <f>[1]ASISTEN!$BS$4</f>
        <v>47</v>
      </c>
      <c r="EA14" s="129">
        <f>[1]ASISTEN!BT22</f>
        <v>1</v>
      </c>
      <c r="EB14" s="128">
        <f>[1]ASISTEN!BP22</f>
        <v>28</v>
      </c>
      <c r="EC14" s="128">
        <f>[1]ASISTEN!BQ22</f>
        <v>17</v>
      </c>
      <c r="ED14" s="128">
        <f>[1]ASISTEN!BR22</f>
        <v>2</v>
      </c>
      <c r="EE14" s="128">
        <f>[1]ASISTEN!BS22</f>
        <v>0</v>
      </c>
      <c r="EF14" s="130" t="str">
        <f>[1]APREPER!AN21</f>
        <v>Requiere mayor esfuerzo y compromiso en sus actividades escolares, ya que la mayoría de competencias aún se encuentran en proceso y demandan atención continua.</v>
      </c>
      <c r="EG14" s="128">
        <f t="shared" si="0"/>
        <v>149</v>
      </c>
      <c r="EH14" s="128">
        <f t="shared" si="1"/>
        <v>20</v>
      </c>
      <c r="EI14" s="128"/>
      <c r="EJ14" s="104">
        <f t="shared" si="2"/>
        <v>0</v>
      </c>
      <c r="EK14" s="104">
        <f t="shared" si="3"/>
        <v>65</v>
      </c>
      <c r="EL14" s="104">
        <f t="shared" si="4"/>
        <v>19</v>
      </c>
    </row>
    <row r="15" spans="1:142" ht="30" x14ac:dyDescent="0.25">
      <c r="A15" s="125">
        <v>11</v>
      </c>
      <c r="B15" s="102" t="s">
        <v>126</v>
      </c>
      <c r="C15" s="126" t="str">
        <f>[1]PERS!N23</f>
        <v>A</v>
      </c>
      <c r="D15" s="126" t="str">
        <f>[1]PERS!AH23</f>
        <v>A</v>
      </c>
      <c r="E15" s="126" t="str">
        <f>[1]PERS!AZ23</f>
        <v>A</v>
      </c>
      <c r="F15" s="126" t="str">
        <f>[1]PERS!R23</f>
        <v>A</v>
      </c>
      <c r="G15" s="126" t="str">
        <f>[1]PERS!AL23</f>
        <v>A</v>
      </c>
      <c r="H15" s="126" t="str">
        <f>[1]PERS!BA23</f>
        <v>A</v>
      </c>
      <c r="I15" s="126" t="str">
        <f>[1]PERS!V23</f>
        <v>B</v>
      </c>
      <c r="J15" s="126" t="str">
        <f>[1]PERS!AP23</f>
        <v>A</v>
      </c>
      <c r="K15" s="126" t="str">
        <f>[1]PERS!BB23</f>
        <v>A</v>
      </c>
      <c r="L15" s="126" t="str">
        <f>[1]PERS!Z23</f>
        <v>A</v>
      </c>
      <c r="M15" s="126" t="str">
        <f>[1]PERS!AT23</f>
        <v>A</v>
      </c>
      <c r="N15" s="126" t="str">
        <f>[1]PERS!BC23</f>
        <v>A</v>
      </c>
      <c r="O15" s="126" t="str">
        <f>[1]PERS!AD23</f>
        <v>A</v>
      </c>
      <c r="P15" s="126" t="str">
        <f>[1]PERS!AX23</f>
        <v>A</v>
      </c>
      <c r="Q15" s="126" t="str">
        <f>[1]PERS!BD23</f>
        <v>A</v>
      </c>
      <c r="R15" s="126" t="str">
        <f>[1]EFIS!N23</f>
        <v>A</v>
      </c>
      <c r="S15" s="126" t="str">
        <f>[1]EFIS!AH23</f>
        <v>A</v>
      </c>
      <c r="T15" s="126" t="str">
        <f>[1]EFIS!AZ23</f>
        <v>A</v>
      </c>
      <c r="U15" s="126" t="str">
        <f>[1]EFIS!R23</f>
        <v>A</v>
      </c>
      <c r="V15" s="126" t="str">
        <f>[1]EFIS!AL23</f>
        <v>A</v>
      </c>
      <c r="W15" s="126" t="str">
        <f>[1]EFIS!BA23</f>
        <v>A</v>
      </c>
      <c r="X15" s="126" t="str">
        <f>[1]EFIS!V23</f>
        <v>A</v>
      </c>
      <c r="Y15" s="126" t="str">
        <f>[1]EFIS!AP23</f>
        <v>A</v>
      </c>
      <c r="Z15" s="126" t="str">
        <f>[1]EFIS!BB23</f>
        <v>A</v>
      </c>
      <c r="AA15" s="126" t="str">
        <f>[1]COMU!N23</f>
        <v>A</v>
      </c>
      <c r="AB15" s="126" t="str">
        <f>[1]COMU!AH23</f>
        <v>A</v>
      </c>
      <c r="AC15" s="126" t="str">
        <f>[1]COMU!AZ23</f>
        <v>A</v>
      </c>
      <c r="AD15" s="126" t="str">
        <f>[1]COMU!R23</f>
        <v>A</v>
      </c>
      <c r="AE15" s="126" t="str">
        <f>[1]COMU!AH23</f>
        <v>A</v>
      </c>
      <c r="AF15" s="126" t="str">
        <f>[1]COMU!BA23</f>
        <v>A</v>
      </c>
      <c r="AG15" s="126" t="str">
        <f>[1]COMU!V23</f>
        <v>A</v>
      </c>
      <c r="AH15" s="126" t="str">
        <f>[1]COMU!AP23</f>
        <v>A</v>
      </c>
      <c r="AI15" s="126" t="str">
        <f>[1]COMU!BB23</f>
        <v>A</v>
      </c>
      <c r="AJ15" s="126" t="str">
        <f>[1]ARTE!N23</f>
        <v>A</v>
      </c>
      <c r="AK15" s="126" t="str">
        <f>[1]ARTE!AH23</f>
        <v>A</v>
      </c>
      <c r="AL15" s="126" t="str">
        <f>[1]ARTE!AZ23</f>
        <v>A</v>
      </c>
      <c r="AM15" s="126" t="str">
        <f>[1]ARTE!R23</f>
        <v>A</v>
      </c>
      <c r="AN15" s="126" t="str">
        <f>[1]ARTE!AL23</f>
        <v>A</v>
      </c>
      <c r="AO15" s="126" t="str">
        <f>[1]ARTE!BA23</f>
        <v>A</v>
      </c>
      <c r="AP15" s="126" t="str">
        <f>[1]ING!N23</f>
        <v>A</v>
      </c>
      <c r="AQ15" s="126" t="str">
        <f>[1]ING!AH23</f>
        <v>A</v>
      </c>
      <c r="AR15" s="126" t="str">
        <f>[1]ING!AZ23</f>
        <v>A</v>
      </c>
      <c r="AS15" s="126" t="str">
        <f>[1]ING!R23</f>
        <v>A</v>
      </c>
      <c r="AT15" s="126" t="str">
        <f>[1]ING!AL23</f>
        <v>A</v>
      </c>
      <c r="AU15" s="126" t="str">
        <f>[1]ING!BA23</f>
        <v>A</v>
      </c>
      <c r="AV15" s="126" t="str">
        <f>[1]ING!V23</f>
        <v>A</v>
      </c>
      <c r="AW15" s="126" t="str">
        <f>[1]ING!AP23</f>
        <v>A</v>
      </c>
      <c r="AX15" s="126" t="str">
        <f>[1]ING!BB23</f>
        <v>A</v>
      </c>
      <c r="AY15" s="126" t="str">
        <f>[1]MATE!N23</f>
        <v>A</v>
      </c>
      <c r="AZ15" s="126" t="str">
        <f>[1]MATE!AH23</f>
        <v>B</v>
      </c>
      <c r="BA15" s="126" t="str">
        <f>[1]MATE!AZ23</f>
        <v>A</v>
      </c>
      <c r="BB15" s="126" t="str">
        <f>[1]MATE!R23</f>
        <v>AD</v>
      </c>
      <c r="BC15" s="126" t="str">
        <f>[1]MATE!AL23</f>
        <v>A</v>
      </c>
      <c r="BD15" s="126" t="str">
        <f>[1]MATE!BA23</f>
        <v>AD</v>
      </c>
      <c r="BE15" s="126" t="str">
        <f>[1]MATE!V23</f>
        <v>A</v>
      </c>
      <c r="BF15" s="126" t="str">
        <f>[1]MATE!AP23</f>
        <v>A</v>
      </c>
      <c r="BG15" s="126" t="str">
        <f>[1]MATE!BB23</f>
        <v>A</v>
      </c>
      <c r="BH15" s="126" t="str">
        <f>[1]MATE!Z23</f>
        <v>A</v>
      </c>
      <c r="BI15" s="126" t="str">
        <f>[1]MATE!AT23</f>
        <v>A</v>
      </c>
      <c r="BJ15" s="126" t="str">
        <f>[1]MATE!BC23</f>
        <v>A</v>
      </c>
      <c r="BK15" s="126" t="str">
        <f>[1]CTEC!N23</f>
        <v>A</v>
      </c>
      <c r="BL15" s="126" t="str">
        <f>[1]CTEC!AH23</f>
        <v>B</v>
      </c>
      <c r="BM15" s="126" t="str">
        <f>[1]CTEC!AZ23</f>
        <v>A</v>
      </c>
      <c r="BN15" s="126" t="str">
        <f>[1]CTEC!R23</f>
        <v>A</v>
      </c>
      <c r="BO15" s="126" t="str">
        <f>[1]CTEC!AL23</f>
        <v>A</v>
      </c>
      <c r="BP15" s="126" t="str">
        <f>[1]CTEC!BA23</f>
        <v>A</v>
      </c>
      <c r="BQ15" s="126" t="str">
        <f>[1]CTEC!V23</f>
        <v>A</v>
      </c>
      <c r="BR15" s="126" t="str">
        <f>[1]CTEC!AP23</f>
        <v>B</v>
      </c>
      <c r="BS15" s="126" t="str">
        <f>[1]CTEC!BB23</f>
        <v>A</v>
      </c>
      <c r="BT15" s="126" t="str">
        <f>[1]REL!N23</f>
        <v>A</v>
      </c>
      <c r="BU15" s="126" t="str">
        <f>[1]REL!AH23</f>
        <v>A</v>
      </c>
      <c r="BV15" s="126" t="str">
        <f>[1]REL!AZ23</f>
        <v>A</v>
      </c>
      <c r="BW15" s="126" t="str">
        <f>[1]REL!R23</f>
        <v>A</v>
      </c>
      <c r="BX15" s="126" t="str">
        <f>[1]REL!AL23</f>
        <v>A</v>
      </c>
      <c r="BY15" s="126" t="str">
        <f>[1]REL!BA23</f>
        <v>A</v>
      </c>
      <c r="BZ15" s="126" t="str">
        <f>[1]EMPR!N23</f>
        <v>A</v>
      </c>
      <c r="CA15" s="126" t="str">
        <f>[1]EMPR!AH23</f>
        <v>A</v>
      </c>
      <c r="CB15" s="126" t="str">
        <f>[1]EMPR!AZ23</f>
        <v>A</v>
      </c>
      <c r="CC15" s="126" t="str">
        <f>[1]COMPU!N23</f>
        <v>A</v>
      </c>
      <c r="CD15" s="126" t="str">
        <f>[1]COMPU!AH23</f>
        <v>A</v>
      </c>
      <c r="CE15" s="126" t="str">
        <f>[1]COMPU!AZ23</f>
        <v>A</v>
      </c>
      <c r="CF15" s="126" t="str">
        <f>[1]ROBOTI!N23</f>
        <v>A</v>
      </c>
      <c r="CG15" s="126" t="str">
        <f>[1]ROBOTI!AH23</f>
        <v>A</v>
      </c>
      <c r="CH15" s="126" t="str">
        <f>[1]ROBOTI!AZ23</f>
        <v>A</v>
      </c>
      <c r="CI15" s="126" t="str">
        <f>[1]APREPER!AL22</f>
        <v>A</v>
      </c>
      <c r="CJ15" s="127" t="str">
        <f>[1]APREPER!AM22</f>
        <v>A</v>
      </c>
      <c r="CK15" s="128" t="str">
        <f>[1]APREPER!I22</f>
        <v>X</v>
      </c>
      <c r="CL15" s="128">
        <f>[1]APREPER!J22</f>
        <v>0</v>
      </c>
      <c r="CM15" s="128">
        <f>[1]APREPER!K22</f>
        <v>0</v>
      </c>
      <c r="CN15" s="128" t="str">
        <f>[1]APREPER!L22</f>
        <v>X</v>
      </c>
      <c r="CO15" s="128">
        <f>[1]APREPER!M22</f>
        <v>0</v>
      </c>
      <c r="CP15" s="128">
        <f>[1]APREPER!N22</f>
        <v>0</v>
      </c>
      <c r="CQ15" s="128" t="str">
        <f>[1]APREPER!O22</f>
        <v>X</v>
      </c>
      <c r="CR15" s="128">
        <f>[1]APREPER!P22</f>
        <v>0</v>
      </c>
      <c r="CS15" s="128">
        <f>[1]APREPER!Q22</f>
        <v>0</v>
      </c>
      <c r="CT15" s="128" t="str">
        <f>[1]APREPER!R22</f>
        <v>X</v>
      </c>
      <c r="CU15" s="128">
        <f>[1]APREPER!S22</f>
        <v>0</v>
      </c>
      <c r="CV15" s="128">
        <f>[1]APREPER!T22</f>
        <v>0</v>
      </c>
      <c r="CW15" s="128" t="str">
        <f>[1]APREPER!U22</f>
        <v>X</v>
      </c>
      <c r="CX15" s="128">
        <f>[1]APREPER!V22</f>
        <v>0</v>
      </c>
      <c r="CY15" s="128">
        <f>[1]APREPER!W22</f>
        <v>0</v>
      </c>
      <c r="CZ15" s="128" t="str">
        <f>[1]APREPER!X22</f>
        <v>X</v>
      </c>
      <c r="DA15" s="128">
        <f>[1]APREPER!Y22</f>
        <v>0</v>
      </c>
      <c r="DB15" s="128">
        <f>[1]APREPER!Z22</f>
        <v>0</v>
      </c>
      <c r="DC15" s="128" t="str">
        <f>[1]APREPER!AA22</f>
        <v>X</v>
      </c>
      <c r="DD15" s="128">
        <f>[1]APREPER!AB22</f>
        <v>0</v>
      </c>
      <c r="DE15" s="128">
        <f>[1]APREPER!AC22</f>
        <v>0</v>
      </c>
      <c r="DF15" s="128" t="str">
        <f>[1]APREPER!AD22</f>
        <v>X</v>
      </c>
      <c r="DG15" s="128">
        <f>[1]APREPER!AE22</f>
        <v>0</v>
      </c>
      <c r="DH15" s="128">
        <f>[1]APREPER!AF22</f>
        <v>0</v>
      </c>
      <c r="DI15" s="128" t="str">
        <f>[1]APREPER!AG22</f>
        <v>X</v>
      </c>
      <c r="DJ15" s="128">
        <f>[1]APREPER!AH22</f>
        <v>0</v>
      </c>
      <c r="DK15" s="128">
        <f>[1]APREPER!AI22</f>
        <v>0</v>
      </c>
      <c r="DL15" s="128" t="str">
        <f>[1]APREPER!AJ22</f>
        <v>A</v>
      </c>
      <c r="DM15" s="128" t="str">
        <f>[1]APREPPFF!I22</f>
        <v>X</v>
      </c>
      <c r="DN15" s="128">
        <f>[1]APREPPFF!J22</f>
        <v>0</v>
      </c>
      <c r="DO15" s="128">
        <f>[1]APREPPFF!K22</f>
        <v>0</v>
      </c>
      <c r="DP15" s="128" t="str">
        <f>[1]APREPPFF!L22</f>
        <v>X</v>
      </c>
      <c r="DQ15" s="128">
        <f>[1]APREPPFF!M22</f>
        <v>0</v>
      </c>
      <c r="DR15" s="128">
        <f>[1]APREPPFF!N22</f>
        <v>0</v>
      </c>
      <c r="DS15" s="128" t="str">
        <f>[1]APREPPFF!O22</f>
        <v>X</v>
      </c>
      <c r="DT15" s="128">
        <f>[1]APREPPFF!P22</f>
        <v>0</v>
      </c>
      <c r="DU15" s="128">
        <f>[1]APREPPFF!Q22</f>
        <v>0</v>
      </c>
      <c r="DV15" s="128" t="str">
        <f>[1]APREPPFF!R22</f>
        <v>X</v>
      </c>
      <c r="DW15" s="128">
        <f>[1]APREPPFF!S22</f>
        <v>0</v>
      </c>
      <c r="DX15" s="128">
        <f>[1]APREPPFF!T22</f>
        <v>0</v>
      </c>
      <c r="DY15" s="128" t="str">
        <f>[1]APREPPFF!U22</f>
        <v>A</v>
      </c>
      <c r="DZ15" s="128">
        <f>[1]ASISTEN!$BS$4</f>
        <v>47</v>
      </c>
      <c r="EA15" s="129">
        <f>[1]ASISTEN!BT23</f>
        <v>1</v>
      </c>
      <c r="EB15" s="128">
        <f>[1]ASISTEN!BP23</f>
        <v>46</v>
      </c>
      <c r="EC15" s="128">
        <f>[1]ASISTEN!BQ23</f>
        <v>1</v>
      </c>
      <c r="ED15" s="128">
        <f>[1]ASISTEN!BR23</f>
        <v>0</v>
      </c>
      <c r="EE15" s="128">
        <f>[1]ASISTEN!BS23</f>
        <v>0</v>
      </c>
      <c r="EF15" s="130" t="str">
        <f>[1]APREPER!AN22</f>
        <v>Mantiene un rendimiento satisfactorio en todas las competencias evaluadas, demostrando responsabilidad, compromiso y un adecuado desarrollo de sus aprendizajes.</v>
      </c>
      <c r="EG15" s="128">
        <f t="shared" si="0"/>
        <v>170</v>
      </c>
      <c r="EH15" s="128">
        <f t="shared" si="1"/>
        <v>6</v>
      </c>
      <c r="EI15" s="128"/>
      <c r="EJ15" s="104">
        <f t="shared" si="2"/>
        <v>2</v>
      </c>
      <c r="EK15" s="104">
        <f t="shared" si="3"/>
        <v>80</v>
      </c>
      <c r="EL15" s="104">
        <f t="shared" si="4"/>
        <v>4</v>
      </c>
    </row>
    <row r="16" spans="1:142" ht="30" x14ac:dyDescent="0.25">
      <c r="A16" s="125">
        <v>12</v>
      </c>
      <c r="B16" s="102" t="s">
        <v>127</v>
      </c>
      <c r="C16" s="126" t="str">
        <f>[1]PERS!N24</f>
        <v>A</v>
      </c>
      <c r="D16" s="126" t="str">
        <f>[1]PERS!AH24</f>
        <v>A</v>
      </c>
      <c r="E16" s="126" t="str">
        <f>[1]PERS!AZ24</f>
        <v>A</v>
      </c>
      <c r="F16" s="126" t="str">
        <f>[1]PERS!R24</f>
        <v>A</v>
      </c>
      <c r="G16" s="126" t="str">
        <f>[1]PERS!AL24</f>
        <v>A</v>
      </c>
      <c r="H16" s="126" t="str">
        <f>[1]PERS!BA24</f>
        <v>A</v>
      </c>
      <c r="I16" s="126" t="str">
        <f>[1]PERS!V24</f>
        <v>A</v>
      </c>
      <c r="J16" s="126" t="str">
        <f>[1]PERS!AP24</f>
        <v>A</v>
      </c>
      <c r="K16" s="126" t="str">
        <f>[1]PERS!BB24</f>
        <v>A</v>
      </c>
      <c r="L16" s="126" t="str">
        <f>[1]PERS!Z24</f>
        <v>A</v>
      </c>
      <c r="M16" s="126" t="str">
        <f>[1]PERS!AT24</f>
        <v>A</v>
      </c>
      <c r="N16" s="126" t="str">
        <f>[1]PERS!BC24</f>
        <v>A</v>
      </c>
      <c r="O16" s="126" t="str">
        <f>[1]PERS!AD24</f>
        <v>A</v>
      </c>
      <c r="P16" s="126" t="str">
        <f>[1]PERS!AX24</f>
        <v>A</v>
      </c>
      <c r="Q16" s="126" t="str">
        <f>[1]PERS!BD24</f>
        <v>A</v>
      </c>
      <c r="R16" s="126" t="str">
        <f>[1]EFIS!N24</f>
        <v>A</v>
      </c>
      <c r="S16" s="126" t="str">
        <f>[1]EFIS!AH24</f>
        <v>A</v>
      </c>
      <c r="T16" s="126" t="str">
        <f>[1]EFIS!AZ24</f>
        <v>A</v>
      </c>
      <c r="U16" s="126" t="str">
        <f>[1]EFIS!R24</f>
        <v>A</v>
      </c>
      <c r="V16" s="126" t="str">
        <f>[1]EFIS!AL24</f>
        <v>A</v>
      </c>
      <c r="W16" s="126" t="str">
        <f>[1]EFIS!BA24</f>
        <v>A</v>
      </c>
      <c r="X16" s="126" t="str">
        <f>[1]EFIS!V24</f>
        <v>A</v>
      </c>
      <c r="Y16" s="126" t="str">
        <f>[1]EFIS!AP24</f>
        <v>A</v>
      </c>
      <c r="Z16" s="126" t="str">
        <f>[1]EFIS!BB24</f>
        <v>A</v>
      </c>
      <c r="AA16" s="126" t="str">
        <f>[1]COMU!N24</f>
        <v>A</v>
      </c>
      <c r="AB16" s="126" t="str">
        <f>[1]COMU!AH24</f>
        <v>A</v>
      </c>
      <c r="AC16" s="126" t="str">
        <f>[1]COMU!AZ24</f>
        <v>A</v>
      </c>
      <c r="AD16" s="126" t="str">
        <f>[1]COMU!R24</f>
        <v>A</v>
      </c>
      <c r="AE16" s="126" t="str">
        <f>[1]COMU!AH24</f>
        <v>A</v>
      </c>
      <c r="AF16" s="126" t="str">
        <f>[1]COMU!BA24</f>
        <v>A</v>
      </c>
      <c r="AG16" s="126" t="str">
        <f>[1]COMU!V24</f>
        <v>A</v>
      </c>
      <c r="AH16" s="126" t="str">
        <f>[1]COMU!AP24</f>
        <v>A</v>
      </c>
      <c r="AI16" s="126" t="str">
        <f>[1]COMU!BB24</f>
        <v>A</v>
      </c>
      <c r="AJ16" s="126" t="str">
        <f>[1]ARTE!N24</f>
        <v>A</v>
      </c>
      <c r="AK16" s="126" t="str">
        <f>[1]ARTE!AH24</f>
        <v>A</v>
      </c>
      <c r="AL16" s="126" t="str">
        <f>[1]ARTE!AZ24</f>
        <v>A</v>
      </c>
      <c r="AM16" s="126" t="str">
        <f>[1]ARTE!R24</f>
        <v>A</v>
      </c>
      <c r="AN16" s="126" t="str">
        <f>[1]ARTE!AL24</f>
        <v>A</v>
      </c>
      <c r="AO16" s="126" t="str">
        <f>[1]ARTE!BA24</f>
        <v>A</v>
      </c>
      <c r="AP16" s="126" t="str">
        <f>[1]ING!N24</f>
        <v>A</v>
      </c>
      <c r="AQ16" s="126" t="str">
        <f>[1]ING!AH24</f>
        <v>A</v>
      </c>
      <c r="AR16" s="126" t="str">
        <f>[1]ING!AZ24</f>
        <v>A</v>
      </c>
      <c r="AS16" s="126" t="str">
        <f>[1]ING!R24</f>
        <v>A</v>
      </c>
      <c r="AT16" s="126" t="str">
        <f>[1]ING!AL24</f>
        <v>B</v>
      </c>
      <c r="AU16" s="126" t="str">
        <f>[1]ING!BA24</f>
        <v>A</v>
      </c>
      <c r="AV16" s="126" t="str">
        <f>[1]ING!V24</f>
        <v>A</v>
      </c>
      <c r="AW16" s="126" t="str">
        <f>[1]ING!AP24</f>
        <v>B</v>
      </c>
      <c r="AX16" s="126" t="str">
        <f>[1]ING!BB24</f>
        <v>A</v>
      </c>
      <c r="AY16" s="126" t="str">
        <f>[1]MATE!N24</f>
        <v>A</v>
      </c>
      <c r="AZ16" s="126" t="str">
        <f>[1]MATE!AH24</f>
        <v>A</v>
      </c>
      <c r="BA16" s="126" t="str">
        <f>[1]MATE!AZ24</f>
        <v>A</v>
      </c>
      <c r="BB16" s="126" t="str">
        <f>[1]MATE!R24</f>
        <v>A</v>
      </c>
      <c r="BC16" s="126" t="str">
        <f>[1]MATE!AL24</f>
        <v>A</v>
      </c>
      <c r="BD16" s="126" t="str">
        <f>[1]MATE!BA24</f>
        <v>A</v>
      </c>
      <c r="BE16" s="126" t="str">
        <f>[1]MATE!V24</f>
        <v>A</v>
      </c>
      <c r="BF16" s="126" t="str">
        <f>[1]MATE!AP24</f>
        <v>C</v>
      </c>
      <c r="BG16" s="126" t="str">
        <f>[1]MATE!BB24</f>
        <v>B</v>
      </c>
      <c r="BH16" s="126" t="str">
        <f>[1]MATE!Z24</f>
        <v>A</v>
      </c>
      <c r="BI16" s="126" t="str">
        <f>[1]MATE!AT24</f>
        <v>A</v>
      </c>
      <c r="BJ16" s="126" t="str">
        <f>[1]MATE!BC24</f>
        <v>A</v>
      </c>
      <c r="BK16" s="126" t="str">
        <f>[1]CTEC!N24</f>
        <v>A</v>
      </c>
      <c r="BL16" s="126" t="str">
        <f>[1]CTEC!AH24</f>
        <v>A</v>
      </c>
      <c r="BM16" s="126" t="str">
        <f>[1]CTEC!AZ24</f>
        <v>A</v>
      </c>
      <c r="BN16" s="126" t="str">
        <f>[1]CTEC!R24</f>
        <v>A</v>
      </c>
      <c r="BO16" s="126" t="str">
        <f>[1]CTEC!AL24</f>
        <v>A</v>
      </c>
      <c r="BP16" s="126" t="str">
        <f>[1]CTEC!BA24</f>
        <v>A</v>
      </c>
      <c r="BQ16" s="126" t="str">
        <f>[1]CTEC!V24</f>
        <v>A</v>
      </c>
      <c r="BR16" s="126" t="str">
        <f>[1]CTEC!AP24</f>
        <v>A</v>
      </c>
      <c r="BS16" s="126" t="str">
        <f>[1]CTEC!BB24</f>
        <v>A</v>
      </c>
      <c r="BT16" s="126" t="str">
        <f>[1]REL!N24</f>
        <v>A</v>
      </c>
      <c r="BU16" s="126" t="str">
        <f>[1]REL!AH24</f>
        <v>A</v>
      </c>
      <c r="BV16" s="126" t="str">
        <f>[1]REL!AZ24</f>
        <v>A</v>
      </c>
      <c r="BW16" s="126" t="str">
        <f>[1]REL!R24</f>
        <v>A</v>
      </c>
      <c r="BX16" s="126" t="str">
        <f>[1]REL!AL24</f>
        <v>A</v>
      </c>
      <c r="BY16" s="126" t="str">
        <f>[1]REL!BA24</f>
        <v>A</v>
      </c>
      <c r="BZ16" s="126" t="str">
        <f>[1]EMPR!N24</f>
        <v>A</v>
      </c>
      <c r="CA16" s="126" t="str">
        <f>[1]EMPR!AH24</f>
        <v>A</v>
      </c>
      <c r="CB16" s="126" t="str">
        <f>[1]EMPR!AZ24</f>
        <v>A</v>
      </c>
      <c r="CC16" s="126" t="str">
        <f>[1]COMPU!N24</f>
        <v>A</v>
      </c>
      <c r="CD16" s="126" t="str">
        <f>[1]COMPU!AH24</f>
        <v>A</v>
      </c>
      <c r="CE16" s="126" t="str">
        <f>[1]COMPU!AZ24</f>
        <v>A</v>
      </c>
      <c r="CF16" s="126" t="str">
        <f>[1]ROBOTI!N24</f>
        <v>A</v>
      </c>
      <c r="CG16" s="126" t="str">
        <f>[1]ROBOTI!AH24</f>
        <v>A</v>
      </c>
      <c r="CH16" s="126" t="str">
        <f>[1]ROBOTI!AZ24</f>
        <v>A</v>
      </c>
      <c r="CI16" s="126" t="str">
        <f>[1]APREPER!AL23</f>
        <v>A</v>
      </c>
      <c r="CJ16" s="127" t="str">
        <f>[1]APREPER!AM23</f>
        <v>A</v>
      </c>
      <c r="CK16" s="128" t="str">
        <f>[1]APREPER!I23</f>
        <v>X</v>
      </c>
      <c r="CL16" s="128">
        <f>[1]APREPER!J23</f>
        <v>0</v>
      </c>
      <c r="CM16" s="128">
        <f>[1]APREPER!K23</f>
        <v>0</v>
      </c>
      <c r="CN16" s="128" t="str">
        <f>[1]APREPER!L23</f>
        <v>X</v>
      </c>
      <c r="CO16" s="128">
        <f>[1]APREPER!M23</f>
        <v>0</v>
      </c>
      <c r="CP16" s="128">
        <f>[1]APREPER!N23</f>
        <v>0</v>
      </c>
      <c r="CQ16" s="128" t="str">
        <f>[1]APREPER!O23</f>
        <v>X</v>
      </c>
      <c r="CR16" s="128">
        <f>[1]APREPER!P23</f>
        <v>0</v>
      </c>
      <c r="CS16" s="128">
        <f>[1]APREPER!Q23</f>
        <v>0</v>
      </c>
      <c r="CT16" s="128" t="str">
        <f>[1]APREPER!R23</f>
        <v>X</v>
      </c>
      <c r="CU16" s="128">
        <f>[1]APREPER!S23</f>
        <v>0</v>
      </c>
      <c r="CV16" s="128">
        <f>[1]APREPER!T23</f>
        <v>0</v>
      </c>
      <c r="CW16" s="128" t="str">
        <f>[1]APREPER!U23</f>
        <v>X</v>
      </c>
      <c r="CX16" s="128">
        <f>[1]APREPER!V23</f>
        <v>0</v>
      </c>
      <c r="CY16" s="128">
        <f>[1]APREPER!W23</f>
        <v>0</v>
      </c>
      <c r="CZ16" s="128" t="str">
        <f>[1]APREPER!X23</f>
        <v>X</v>
      </c>
      <c r="DA16" s="128">
        <f>[1]APREPER!Y23</f>
        <v>0</v>
      </c>
      <c r="DB16" s="128">
        <f>[1]APREPER!Z23</f>
        <v>0</v>
      </c>
      <c r="DC16" s="128" t="str">
        <f>[1]APREPER!AA23</f>
        <v>X</v>
      </c>
      <c r="DD16" s="128">
        <f>[1]APREPER!AB23</f>
        <v>0</v>
      </c>
      <c r="DE16" s="128">
        <f>[1]APREPER!AC23</f>
        <v>0</v>
      </c>
      <c r="DF16" s="128" t="str">
        <f>[1]APREPER!AD23</f>
        <v>X</v>
      </c>
      <c r="DG16" s="128">
        <f>[1]APREPER!AE23</f>
        <v>0</v>
      </c>
      <c r="DH16" s="128">
        <f>[1]APREPER!AF23</f>
        <v>0</v>
      </c>
      <c r="DI16" s="128" t="str">
        <f>[1]APREPER!AG23</f>
        <v>X</v>
      </c>
      <c r="DJ16" s="128">
        <f>[1]APREPER!AH23</f>
        <v>0</v>
      </c>
      <c r="DK16" s="128">
        <f>[1]APREPER!AI23</f>
        <v>0</v>
      </c>
      <c r="DL16" s="128" t="str">
        <f>[1]APREPER!AJ23</f>
        <v>A</v>
      </c>
      <c r="DM16" s="128" t="str">
        <f>[1]APREPPFF!I23</f>
        <v>X</v>
      </c>
      <c r="DN16" s="128">
        <f>[1]APREPPFF!J23</f>
        <v>0</v>
      </c>
      <c r="DO16" s="128">
        <f>[1]APREPPFF!K23</f>
        <v>0</v>
      </c>
      <c r="DP16" s="128" t="str">
        <f>[1]APREPPFF!L23</f>
        <v>X</v>
      </c>
      <c r="DQ16" s="128">
        <f>[1]APREPPFF!M23</f>
        <v>0</v>
      </c>
      <c r="DR16" s="128">
        <f>[1]APREPPFF!N23</f>
        <v>0</v>
      </c>
      <c r="DS16" s="128" t="str">
        <f>[1]APREPPFF!O23</f>
        <v>X</v>
      </c>
      <c r="DT16" s="128">
        <f>[1]APREPPFF!P23</f>
        <v>0</v>
      </c>
      <c r="DU16" s="128">
        <f>[1]APREPPFF!Q23</f>
        <v>0</v>
      </c>
      <c r="DV16" s="128" t="str">
        <f>[1]APREPPFF!R23</f>
        <v>X</v>
      </c>
      <c r="DW16" s="128">
        <f>[1]APREPPFF!S23</f>
        <v>0</v>
      </c>
      <c r="DX16" s="128">
        <f>[1]APREPPFF!T23</f>
        <v>0</v>
      </c>
      <c r="DY16" s="128" t="str">
        <f>[1]APREPPFF!U23</f>
        <v>A</v>
      </c>
      <c r="DZ16" s="128">
        <f>[1]ASISTEN!$BS$4</f>
        <v>47</v>
      </c>
      <c r="EA16" s="129">
        <f>[1]ASISTEN!BT24</f>
        <v>1</v>
      </c>
      <c r="EB16" s="128">
        <f>[1]ASISTEN!BP24</f>
        <v>46</v>
      </c>
      <c r="EC16" s="128">
        <f>[1]ASISTEN!BQ24</f>
        <v>1</v>
      </c>
      <c r="ED16" s="128">
        <f>[1]ASISTEN!BR24</f>
        <v>0</v>
      </c>
      <c r="EE16" s="128">
        <f>[1]ASISTEN!BS24</f>
        <v>0</v>
      </c>
      <c r="EF16" s="130" t="str">
        <f>[1]APREPER!AN23</f>
        <v>Mantiene un rendimiento satisfactorio en todas las competencias evaluadas, demostrando responsabilidad, compromiso y un adecuado desarrollo de sus aprendizajes.</v>
      </c>
      <c r="EG16" s="128">
        <f t="shared" si="0"/>
        <v>167</v>
      </c>
      <c r="EH16" s="128">
        <f t="shared" si="1"/>
        <v>9</v>
      </c>
      <c r="EI16" s="128"/>
      <c r="EJ16" s="104">
        <f t="shared" si="2"/>
        <v>0</v>
      </c>
      <c r="EK16" s="104">
        <f t="shared" si="3"/>
        <v>82</v>
      </c>
      <c r="EL16" s="104">
        <f t="shared" si="4"/>
        <v>3</v>
      </c>
    </row>
    <row r="17" spans="1:142" ht="30" x14ac:dyDescent="0.25">
      <c r="A17" s="125">
        <v>13</v>
      </c>
      <c r="B17" s="102" t="s">
        <v>128</v>
      </c>
      <c r="C17" s="126" t="str">
        <f>[1]PERS!N25</f>
        <v>A</v>
      </c>
      <c r="D17" s="126" t="str">
        <f>[1]PERS!AH25</f>
        <v>A</v>
      </c>
      <c r="E17" s="126" t="str">
        <f>[1]PERS!AZ25</f>
        <v>A</v>
      </c>
      <c r="F17" s="126" t="str">
        <f>[1]PERS!R25</f>
        <v>A</v>
      </c>
      <c r="G17" s="126" t="str">
        <f>[1]PERS!AL25</f>
        <v>A</v>
      </c>
      <c r="H17" s="126" t="str">
        <f>[1]PERS!BA25</f>
        <v>A</v>
      </c>
      <c r="I17" s="126" t="str">
        <f>[1]PERS!V25</f>
        <v>A</v>
      </c>
      <c r="J17" s="126" t="str">
        <f>[1]PERS!AP25</f>
        <v>B</v>
      </c>
      <c r="K17" s="126" t="str">
        <f>[1]PERS!BB25</f>
        <v>A</v>
      </c>
      <c r="L17" s="126" t="str">
        <f>[1]PERS!Z25</f>
        <v>A</v>
      </c>
      <c r="M17" s="126" t="str">
        <f>[1]PERS!AT25</f>
        <v>A</v>
      </c>
      <c r="N17" s="126" t="str">
        <f>[1]PERS!BC25</f>
        <v>A</v>
      </c>
      <c r="O17" s="126" t="str">
        <f>[1]PERS!AD25</f>
        <v>A</v>
      </c>
      <c r="P17" s="126" t="str">
        <f>[1]PERS!AX25</f>
        <v>A</v>
      </c>
      <c r="Q17" s="126" t="str">
        <f>[1]PERS!BD25</f>
        <v>A</v>
      </c>
      <c r="R17" s="126" t="str">
        <f>[1]EFIS!N25</f>
        <v>A</v>
      </c>
      <c r="S17" s="126" t="str">
        <f>[1]EFIS!AH25</f>
        <v>A</v>
      </c>
      <c r="T17" s="126" t="str">
        <f>[1]EFIS!AZ25</f>
        <v>A</v>
      </c>
      <c r="U17" s="126" t="str">
        <f>[1]EFIS!R25</f>
        <v>A</v>
      </c>
      <c r="V17" s="126" t="str">
        <f>[1]EFIS!AL25</f>
        <v>A</v>
      </c>
      <c r="W17" s="126" t="str">
        <f>[1]EFIS!BA25</f>
        <v>A</v>
      </c>
      <c r="X17" s="126" t="str">
        <f>[1]EFIS!V25</f>
        <v>A</v>
      </c>
      <c r="Y17" s="126" t="str">
        <f>[1]EFIS!AP25</f>
        <v>A</v>
      </c>
      <c r="Z17" s="126" t="str">
        <f>[1]EFIS!BB25</f>
        <v>A</v>
      </c>
      <c r="AA17" s="126" t="str">
        <f>[1]COMU!N25</f>
        <v>A</v>
      </c>
      <c r="AB17" s="126" t="str">
        <f>[1]COMU!AH25</f>
        <v>A</v>
      </c>
      <c r="AC17" s="126" t="str">
        <f>[1]COMU!AZ25</f>
        <v>A</v>
      </c>
      <c r="AD17" s="126" t="str">
        <f>[1]COMU!R25</f>
        <v>A</v>
      </c>
      <c r="AE17" s="126" t="str">
        <f>[1]COMU!AH25</f>
        <v>A</v>
      </c>
      <c r="AF17" s="126" t="str">
        <f>[1]COMU!BA25</f>
        <v>A</v>
      </c>
      <c r="AG17" s="126" t="str">
        <f>[1]COMU!V25</f>
        <v>B</v>
      </c>
      <c r="AH17" s="126" t="str">
        <f>[1]COMU!AP25</f>
        <v>A</v>
      </c>
      <c r="AI17" s="126" t="str">
        <f>[1]COMU!BB25</f>
        <v>A</v>
      </c>
      <c r="AJ17" s="126" t="str">
        <f>[1]ARTE!N25</f>
        <v>A</v>
      </c>
      <c r="AK17" s="126" t="str">
        <f>[1]ARTE!AH25</f>
        <v>A</v>
      </c>
      <c r="AL17" s="126" t="str">
        <f>[1]ARTE!AZ25</f>
        <v>A</v>
      </c>
      <c r="AM17" s="126" t="str">
        <f>[1]ARTE!R25</f>
        <v>A</v>
      </c>
      <c r="AN17" s="126" t="str">
        <f>[1]ARTE!AL25</f>
        <v>A</v>
      </c>
      <c r="AO17" s="126" t="str">
        <f>[1]ARTE!BA25</f>
        <v>A</v>
      </c>
      <c r="AP17" s="126" t="str">
        <f>[1]ING!N25</f>
        <v>B</v>
      </c>
      <c r="AQ17" s="126" t="str">
        <f>[1]ING!AH25</f>
        <v>A</v>
      </c>
      <c r="AR17" s="126" t="str">
        <f>[1]ING!AZ25</f>
        <v>A</v>
      </c>
      <c r="AS17" s="126" t="str">
        <f>[1]ING!R25</f>
        <v>B</v>
      </c>
      <c r="AT17" s="126" t="str">
        <f>[1]ING!AL25</f>
        <v>B</v>
      </c>
      <c r="AU17" s="126" t="str">
        <f>[1]ING!BA25</f>
        <v>B</v>
      </c>
      <c r="AV17" s="126" t="str">
        <f>[1]ING!V25</f>
        <v>A</v>
      </c>
      <c r="AW17" s="126" t="str">
        <f>[1]ING!AP25</f>
        <v>B</v>
      </c>
      <c r="AX17" s="126" t="str">
        <f>[1]ING!BB25</f>
        <v>A</v>
      </c>
      <c r="AY17" s="126" t="str">
        <f>[1]MATE!N25</f>
        <v>A</v>
      </c>
      <c r="AZ17" s="126" t="str">
        <f>[1]MATE!AH25</f>
        <v>B</v>
      </c>
      <c r="BA17" s="126" t="str">
        <f>[1]MATE!AZ25</f>
        <v>A</v>
      </c>
      <c r="BB17" s="126" t="str">
        <f>[1]MATE!R25</f>
        <v>A</v>
      </c>
      <c r="BC17" s="126" t="str">
        <f>[1]MATE!AL25</f>
        <v>A</v>
      </c>
      <c r="BD17" s="126" t="str">
        <f>[1]MATE!BA25</f>
        <v>A</v>
      </c>
      <c r="BE17" s="126" t="str">
        <f>[1]MATE!V25</f>
        <v>A</v>
      </c>
      <c r="BF17" s="126" t="str">
        <f>[1]MATE!AP25</f>
        <v>A</v>
      </c>
      <c r="BG17" s="126" t="str">
        <f>[1]MATE!BB25</f>
        <v>A</v>
      </c>
      <c r="BH17" s="126" t="str">
        <f>[1]MATE!Z25</f>
        <v>A</v>
      </c>
      <c r="BI17" s="126" t="str">
        <f>[1]MATE!AT25</f>
        <v>A</v>
      </c>
      <c r="BJ17" s="126" t="str">
        <f>[1]MATE!BC25</f>
        <v>A</v>
      </c>
      <c r="BK17" s="126" t="str">
        <f>[1]CTEC!N25</f>
        <v>A</v>
      </c>
      <c r="BL17" s="126" t="str">
        <f>[1]CTEC!AH25</f>
        <v>A</v>
      </c>
      <c r="BM17" s="126" t="str">
        <f>[1]CTEC!AZ25</f>
        <v>A</v>
      </c>
      <c r="BN17" s="126" t="str">
        <f>[1]CTEC!R25</f>
        <v>A</v>
      </c>
      <c r="BO17" s="126" t="str">
        <f>[1]CTEC!AL25</f>
        <v>A</v>
      </c>
      <c r="BP17" s="126" t="str">
        <f>[1]CTEC!BA25</f>
        <v>A</v>
      </c>
      <c r="BQ17" s="126" t="str">
        <f>[1]CTEC!V25</f>
        <v>A</v>
      </c>
      <c r="BR17" s="126" t="str">
        <f>[1]CTEC!AP25</f>
        <v>B</v>
      </c>
      <c r="BS17" s="126" t="str">
        <f>[1]CTEC!BB25</f>
        <v>A</v>
      </c>
      <c r="BT17" s="126" t="str">
        <f>[1]REL!N25</f>
        <v>A</v>
      </c>
      <c r="BU17" s="126" t="str">
        <f>[1]REL!AH25</f>
        <v>A</v>
      </c>
      <c r="BV17" s="126" t="str">
        <f>[1]REL!AZ25</f>
        <v>A</v>
      </c>
      <c r="BW17" s="126" t="str">
        <f>[1]REL!R25</f>
        <v>A</v>
      </c>
      <c r="BX17" s="126" t="str">
        <f>[1]REL!AL25</f>
        <v>A</v>
      </c>
      <c r="BY17" s="126" t="str">
        <f>[1]REL!BA25</f>
        <v>A</v>
      </c>
      <c r="BZ17" s="126" t="str">
        <f>[1]EMPR!N25</f>
        <v>A</v>
      </c>
      <c r="CA17" s="126" t="str">
        <f>[1]EMPR!AH25</f>
        <v>A</v>
      </c>
      <c r="CB17" s="126" t="str">
        <f>[1]EMPR!AZ25</f>
        <v>A</v>
      </c>
      <c r="CC17" s="126" t="str">
        <f>[1]COMPU!N25</f>
        <v>A</v>
      </c>
      <c r="CD17" s="126" t="str">
        <f>[1]COMPU!AH25</f>
        <v>A</v>
      </c>
      <c r="CE17" s="126" t="str">
        <f>[1]COMPU!AZ25</f>
        <v>A</v>
      </c>
      <c r="CF17" s="126" t="str">
        <f>[1]ROBOTI!N25</f>
        <v>A</v>
      </c>
      <c r="CG17" s="126" t="str">
        <f>[1]ROBOTI!AH25</f>
        <v>A</v>
      </c>
      <c r="CH17" s="126" t="str">
        <f>[1]ROBOTI!AZ25</f>
        <v>A</v>
      </c>
      <c r="CI17" s="126" t="str">
        <f>[1]APREPER!AL24</f>
        <v>A</v>
      </c>
      <c r="CJ17" s="127" t="str">
        <f>[1]APREPER!AM24</f>
        <v>A</v>
      </c>
      <c r="CK17" s="128">
        <f>[1]APREPER!I24</f>
        <v>0</v>
      </c>
      <c r="CL17" s="128" t="str">
        <f>[1]APREPER!J24</f>
        <v>X</v>
      </c>
      <c r="CM17" s="128">
        <f>[1]APREPER!K24</f>
        <v>0</v>
      </c>
      <c r="CN17" s="128">
        <f>[1]APREPER!L24</f>
        <v>0</v>
      </c>
      <c r="CO17" s="128" t="str">
        <f>[1]APREPER!M24</f>
        <v>X</v>
      </c>
      <c r="CP17" s="128">
        <f>[1]APREPER!N24</f>
        <v>0</v>
      </c>
      <c r="CQ17" s="128">
        <f>[1]APREPER!O24</f>
        <v>0</v>
      </c>
      <c r="CR17" s="128" t="str">
        <f>[1]APREPER!P24</f>
        <v>X</v>
      </c>
      <c r="CS17" s="128">
        <f>[1]APREPER!Q24</f>
        <v>0</v>
      </c>
      <c r="CT17" s="128">
        <f>[1]APREPER!R24</f>
        <v>0</v>
      </c>
      <c r="CU17" s="128" t="str">
        <f>[1]APREPER!S24</f>
        <v>X</v>
      </c>
      <c r="CV17" s="128">
        <f>[1]APREPER!T24</f>
        <v>0</v>
      </c>
      <c r="CW17" s="128">
        <f>[1]APREPER!U24</f>
        <v>0</v>
      </c>
      <c r="CX17" s="128" t="str">
        <f>[1]APREPER!V24</f>
        <v>X</v>
      </c>
      <c r="CY17" s="128">
        <f>[1]APREPER!W24</f>
        <v>0</v>
      </c>
      <c r="CZ17" s="128">
        <f>[1]APREPER!X24</f>
        <v>0</v>
      </c>
      <c r="DA17" s="128" t="str">
        <f>[1]APREPER!Y24</f>
        <v>X</v>
      </c>
      <c r="DB17" s="128">
        <f>[1]APREPER!Z24</f>
        <v>0</v>
      </c>
      <c r="DC17" s="128">
        <f>[1]APREPER!AA24</f>
        <v>0</v>
      </c>
      <c r="DD17" s="128" t="str">
        <f>[1]APREPER!AB24</f>
        <v>X</v>
      </c>
      <c r="DE17" s="128">
        <f>[1]APREPER!AC24</f>
        <v>0</v>
      </c>
      <c r="DF17" s="128">
        <f>[1]APREPER!AD24</f>
        <v>0</v>
      </c>
      <c r="DG17" s="128" t="str">
        <f>[1]APREPER!AE24</f>
        <v>X</v>
      </c>
      <c r="DH17" s="128">
        <f>[1]APREPER!AF24</f>
        <v>0</v>
      </c>
      <c r="DI17" s="128">
        <f>[1]APREPER!AG24</f>
        <v>0</v>
      </c>
      <c r="DJ17" s="128" t="str">
        <f>[1]APREPER!AH24</f>
        <v>X</v>
      </c>
      <c r="DK17" s="128">
        <f>[1]APREPER!AI24</f>
        <v>0</v>
      </c>
      <c r="DL17" s="128" t="str">
        <f>[1]APREPER!AJ24</f>
        <v>B</v>
      </c>
      <c r="DM17" s="128">
        <f>[1]APREPPFF!I24</f>
        <v>0</v>
      </c>
      <c r="DN17" s="128" t="str">
        <f>[1]APREPPFF!J24</f>
        <v>X</v>
      </c>
      <c r="DO17" s="128">
        <f>[1]APREPPFF!K24</f>
        <v>0</v>
      </c>
      <c r="DP17" s="128" t="str">
        <f>[1]APREPPFF!L24</f>
        <v>X</v>
      </c>
      <c r="DQ17" s="128">
        <f>[1]APREPPFF!M24</f>
        <v>0</v>
      </c>
      <c r="DR17" s="128">
        <f>[1]APREPPFF!N24</f>
        <v>0</v>
      </c>
      <c r="DS17" s="128">
        <f>[1]APREPPFF!O24</f>
        <v>0</v>
      </c>
      <c r="DT17" s="128" t="str">
        <f>[1]APREPPFF!P24</f>
        <v>X</v>
      </c>
      <c r="DU17" s="128">
        <f>[1]APREPPFF!Q24</f>
        <v>0</v>
      </c>
      <c r="DV17" s="128" t="str">
        <f>[1]APREPPFF!R24</f>
        <v>X</v>
      </c>
      <c r="DW17" s="128">
        <f>[1]APREPPFF!S24</f>
        <v>0</v>
      </c>
      <c r="DX17" s="128">
        <f>[1]APREPPFF!T24</f>
        <v>0</v>
      </c>
      <c r="DY17" s="128" t="str">
        <f>[1]APREPPFF!U24</f>
        <v>A</v>
      </c>
      <c r="DZ17" s="128">
        <f>[1]ASISTEN!$BS$4</f>
        <v>47</v>
      </c>
      <c r="EA17" s="129">
        <f>[1]ASISTEN!BT25</f>
        <v>1</v>
      </c>
      <c r="EB17" s="128">
        <f>[1]ASISTEN!BP25</f>
        <v>40</v>
      </c>
      <c r="EC17" s="128">
        <f>[1]ASISTEN!BQ25</f>
        <v>6</v>
      </c>
      <c r="ED17" s="128">
        <f>[1]ASISTEN!BR25</f>
        <v>1</v>
      </c>
      <c r="EE17" s="128">
        <f>[1]ASISTEN!BS25</f>
        <v>0</v>
      </c>
      <c r="EF17" s="130" t="str">
        <f>[1]APREPER!AN24</f>
        <v>Ha logrado avances importantes en varias competencias; sin embargo, aún requiere fortalecer algunos aprendizajes para alcanzar un desempeño más uniforme y seguro.</v>
      </c>
      <c r="EG17" s="128">
        <f t="shared" si="0"/>
        <v>163</v>
      </c>
      <c r="EH17" s="128">
        <f t="shared" si="1"/>
        <v>16</v>
      </c>
      <c r="EI17" s="128"/>
      <c r="EJ17" s="104">
        <f t="shared" si="2"/>
        <v>0</v>
      </c>
      <c r="EK17" s="104">
        <f t="shared" si="3"/>
        <v>77</v>
      </c>
      <c r="EL17" s="104">
        <f t="shared" si="4"/>
        <v>9</v>
      </c>
    </row>
    <row r="18" spans="1:142" ht="30" x14ac:dyDescent="0.25">
      <c r="A18" s="125">
        <v>14</v>
      </c>
      <c r="B18" s="102" t="s">
        <v>129</v>
      </c>
      <c r="C18" s="126" t="str">
        <f>[1]PERS!N26</f>
        <v>A</v>
      </c>
      <c r="D18" s="126" t="str">
        <f>[1]PERS!AH26</f>
        <v>B</v>
      </c>
      <c r="E18" s="126" t="str">
        <f>[1]PERS!AZ26</f>
        <v>A</v>
      </c>
      <c r="F18" s="126" t="str">
        <f>[1]PERS!R26</f>
        <v>A</v>
      </c>
      <c r="G18" s="126" t="str">
        <f>[1]PERS!AL26</f>
        <v>A</v>
      </c>
      <c r="H18" s="126" t="str">
        <f>[1]PERS!BA26</f>
        <v>A</v>
      </c>
      <c r="I18" s="126" t="str">
        <f>[1]PERS!V26</f>
        <v>A</v>
      </c>
      <c r="J18" s="126" t="str">
        <f>[1]PERS!AP26</f>
        <v>B</v>
      </c>
      <c r="K18" s="126" t="str">
        <f>[1]PERS!BB26</f>
        <v>A</v>
      </c>
      <c r="L18" s="126" t="str">
        <f>[1]PERS!Z26</f>
        <v>A</v>
      </c>
      <c r="M18" s="126" t="str">
        <f>[1]PERS!AT26</f>
        <v>A</v>
      </c>
      <c r="N18" s="126" t="str">
        <f>[1]PERS!BC26</f>
        <v>A</v>
      </c>
      <c r="O18" s="126" t="str">
        <f>[1]PERS!AD26</f>
        <v>A</v>
      </c>
      <c r="P18" s="126" t="str">
        <f>[1]PERS!AX26</f>
        <v>A</v>
      </c>
      <c r="Q18" s="126" t="str">
        <f>[1]PERS!BD26</f>
        <v>A</v>
      </c>
      <c r="R18" s="126" t="str">
        <f>[1]EFIS!N26</f>
        <v>A</v>
      </c>
      <c r="S18" s="126" t="str">
        <f>[1]EFIS!AH26</f>
        <v>A</v>
      </c>
      <c r="T18" s="126" t="str">
        <f>[1]EFIS!AZ26</f>
        <v>A</v>
      </c>
      <c r="U18" s="126" t="str">
        <f>[1]EFIS!R26</f>
        <v>A</v>
      </c>
      <c r="V18" s="126" t="str">
        <f>[1]EFIS!AL26</f>
        <v>A</v>
      </c>
      <c r="W18" s="126" t="str">
        <f>[1]EFIS!BA26</f>
        <v>A</v>
      </c>
      <c r="X18" s="126" t="str">
        <f>[1]EFIS!V26</f>
        <v>A</v>
      </c>
      <c r="Y18" s="126" t="str">
        <f>[1]EFIS!AP26</f>
        <v>A</v>
      </c>
      <c r="Z18" s="126" t="str">
        <f>[1]EFIS!BB26</f>
        <v>A</v>
      </c>
      <c r="AA18" s="126" t="str">
        <f>[1]COMU!N26</f>
        <v>A</v>
      </c>
      <c r="AB18" s="126" t="str">
        <f>[1]COMU!AH26</f>
        <v>A</v>
      </c>
      <c r="AC18" s="126" t="str">
        <f>[1]COMU!AZ26</f>
        <v>A</v>
      </c>
      <c r="AD18" s="126" t="str">
        <f>[1]COMU!R26</f>
        <v>B</v>
      </c>
      <c r="AE18" s="126" t="str">
        <f>[1]COMU!AH26</f>
        <v>A</v>
      </c>
      <c r="AF18" s="126" t="str">
        <f>[1]COMU!BA26</f>
        <v>A</v>
      </c>
      <c r="AG18" s="126" t="str">
        <f>[1]COMU!V26</f>
        <v>B</v>
      </c>
      <c r="AH18" s="126" t="str">
        <f>[1]COMU!AP26</f>
        <v>A</v>
      </c>
      <c r="AI18" s="126" t="str">
        <f>[1]COMU!BB26</f>
        <v>A</v>
      </c>
      <c r="AJ18" s="126" t="str">
        <f>[1]ARTE!N26</f>
        <v>A</v>
      </c>
      <c r="AK18" s="126" t="str">
        <f>[1]ARTE!AH26</f>
        <v>A</v>
      </c>
      <c r="AL18" s="126" t="str">
        <f>[1]ARTE!AZ26</f>
        <v>A</v>
      </c>
      <c r="AM18" s="126" t="str">
        <f>[1]ARTE!R26</f>
        <v>A</v>
      </c>
      <c r="AN18" s="126" t="str">
        <f>[1]ARTE!AL26</f>
        <v>A</v>
      </c>
      <c r="AO18" s="126" t="str">
        <f>[1]ARTE!BA26</f>
        <v>A</v>
      </c>
      <c r="AP18" s="126" t="str">
        <f>[1]ING!N26</f>
        <v>A</v>
      </c>
      <c r="AQ18" s="126" t="str">
        <f>[1]ING!AH26</f>
        <v>A</v>
      </c>
      <c r="AR18" s="126" t="str">
        <f>[1]ING!AZ26</f>
        <v>A</v>
      </c>
      <c r="AS18" s="126" t="str">
        <f>[1]ING!R26</f>
        <v>A</v>
      </c>
      <c r="AT18" s="126" t="str">
        <f>[1]ING!AL26</f>
        <v>A</v>
      </c>
      <c r="AU18" s="126" t="str">
        <f>[1]ING!BA26</f>
        <v>A</v>
      </c>
      <c r="AV18" s="126" t="str">
        <f>[1]ING!V26</f>
        <v>A</v>
      </c>
      <c r="AW18" s="126" t="str">
        <f>[1]ING!AP26</f>
        <v>A</v>
      </c>
      <c r="AX18" s="126" t="str">
        <f>[1]ING!BB26</f>
        <v>A</v>
      </c>
      <c r="AY18" s="126" t="str">
        <f>[1]MATE!N26</f>
        <v>B</v>
      </c>
      <c r="AZ18" s="126" t="str">
        <f>[1]MATE!AH26</f>
        <v>C</v>
      </c>
      <c r="BA18" s="126" t="str">
        <f>[1]MATE!AZ26</f>
        <v>B</v>
      </c>
      <c r="BB18" s="126" t="str">
        <f>[1]MATE!R26</f>
        <v>B</v>
      </c>
      <c r="BC18" s="126" t="str">
        <f>[1]MATE!AL26</f>
        <v>A</v>
      </c>
      <c r="BD18" s="126" t="str">
        <f>[1]MATE!BA26</f>
        <v>A</v>
      </c>
      <c r="BE18" s="126" t="str">
        <f>[1]MATE!V26</f>
        <v>A</v>
      </c>
      <c r="BF18" s="126" t="str">
        <f>[1]MATE!AP26</f>
        <v>C</v>
      </c>
      <c r="BG18" s="126" t="str">
        <f>[1]MATE!BB26</f>
        <v>B</v>
      </c>
      <c r="BH18" s="126" t="str">
        <f>[1]MATE!Z26</f>
        <v>A</v>
      </c>
      <c r="BI18" s="126" t="str">
        <f>[1]MATE!AT26</f>
        <v>A</v>
      </c>
      <c r="BJ18" s="126" t="str">
        <f>[1]MATE!BC26</f>
        <v>A</v>
      </c>
      <c r="BK18" s="126" t="str">
        <f>[1]CTEC!N26</f>
        <v>B</v>
      </c>
      <c r="BL18" s="126" t="str">
        <f>[1]CTEC!AH26</f>
        <v>A</v>
      </c>
      <c r="BM18" s="126" t="str">
        <f>[1]CTEC!AZ26</f>
        <v>A</v>
      </c>
      <c r="BN18" s="126" t="str">
        <f>[1]CTEC!R26</f>
        <v>A</v>
      </c>
      <c r="BO18" s="126" t="str">
        <f>[1]CTEC!AL26</f>
        <v>A</v>
      </c>
      <c r="BP18" s="126" t="str">
        <f>[1]CTEC!BA26</f>
        <v>A</v>
      </c>
      <c r="BQ18" s="126" t="str">
        <f>[1]CTEC!V26</f>
        <v>B</v>
      </c>
      <c r="BR18" s="126" t="str">
        <f>[1]CTEC!AP26</f>
        <v>C</v>
      </c>
      <c r="BS18" s="126" t="str">
        <f>[1]CTEC!BB26</f>
        <v>B</v>
      </c>
      <c r="BT18" s="126" t="str">
        <f>[1]REL!N26</f>
        <v>A</v>
      </c>
      <c r="BU18" s="126" t="str">
        <f>[1]REL!AH26</f>
        <v>A</v>
      </c>
      <c r="BV18" s="126" t="str">
        <f>[1]REL!AZ26</f>
        <v>A</v>
      </c>
      <c r="BW18" s="126" t="str">
        <f>[1]REL!R26</f>
        <v>A</v>
      </c>
      <c r="BX18" s="126" t="str">
        <f>[1]REL!AL26</f>
        <v>A</v>
      </c>
      <c r="BY18" s="126" t="str">
        <f>[1]REL!BA26</f>
        <v>A</v>
      </c>
      <c r="BZ18" s="126" t="str">
        <f>[1]EMPR!N26</f>
        <v>A</v>
      </c>
      <c r="CA18" s="126" t="str">
        <f>[1]EMPR!AH26</f>
        <v>A</v>
      </c>
      <c r="CB18" s="126" t="str">
        <f>[1]EMPR!AZ26</f>
        <v>A</v>
      </c>
      <c r="CC18" s="126" t="str">
        <f>[1]COMPU!N26</f>
        <v>A</v>
      </c>
      <c r="CD18" s="126" t="str">
        <f>[1]COMPU!AH26</f>
        <v>A</v>
      </c>
      <c r="CE18" s="126" t="str">
        <f>[1]COMPU!AZ26</f>
        <v>A</v>
      </c>
      <c r="CF18" s="126" t="str">
        <f>[1]ROBOTI!N26</f>
        <v>A</v>
      </c>
      <c r="CG18" s="126" t="str">
        <f>[1]ROBOTI!AH26</f>
        <v>A</v>
      </c>
      <c r="CH18" s="126" t="str">
        <f>[1]ROBOTI!AZ26</f>
        <v>A</v>
      </c>
      <c r="CI18" s="126" t="str">
        <f>[1]APREPER!AL25</f>
        <v>A</v>
      </c>
      <c r="CJ18" s="127" t="str">
        <f>[1]APREPER!AM25</f>
        <v>A</v>
      </c>
      <c r="CK18" s="128" t="str">
        <f>[1]APREPER!I25</f>
        <v>X</v>
      </c>
      <c r="CL18" s="128">
        <f>[1]APREPER!J25</f>
        <v>0</v>
      </c>
      <c r="CM18" s="128">
        <f>[1]APREPER!K25</f>
        <v>0</v>
      </c>
      <c r="CN18" s="128">
        <f>[1]APREPER!L25</f>
        <v>0</v>
      </c>
      <c r="CO18" s="128" t="str">
        <f>[1]APREPER!M25</f>
        <v>X</v>
      </c>
      <c r="CP18" s="128">
        <f>[1]APREPER!N25</f>
        <v>0</v>
      </c>
      <c r="CQ18" s="128">
        <f>[1]APREPER!O25</f>
        <v>0</v>
      </c>
      <c r="CR18" s="128" t="str">
        <f>[1]APREPER!P25</f>
        <v>X</v>
      </c>
      <c r="CS18" s="128">
        <f>[1]APREPER!Q25</f>
        <v>0</v>
      </c>
      <c r="CT18" s="128" t="str">
        <f>[1]APREPER!R25</f>
        <v>X</v>
      </c>
      <c r="CU18" s="128">
        <f>[1]APREPER!S25</f>
        <v>0</v>
      </c>
      <c r="CV18" s="128">
        <f>[1]APREPER!T25</f>
        <v>0</v>
      </c>
      <c r="CW18" s="128" t="str">
        <f>[1]APREPER!U25</f>
        <v>X</v>
      </c>
      <c r="CX18" s="128">
        <f>[1]APREPER!V25</f>
        <v>0</v>
      </c>
      <c r="CY18" s="128">
        <f>[1]APREPER!W25</f>
        <v>0</v>
      </c>
      <c r="CZ18" s="128" t="str">
        <f>[1]APREPER!X25</f>
        <v>X</v>
      </c>
      <c r="DA18" s="128">
        <f>[1]APREPER!Y25</f>
        <v>0</v>
      </c>
      <c r="DB18" s="128">
        <f>[1]APREPER!Z25</f>
        <v>0</v>
      </c>
      <c r="DC18" s="128" t="str">
        <f>[1]APREPER!AA25</f>
        <v>X</v>
      </c>
      <c r="DD18" s="128">
        <f>[1]APREPER!AB25</f>
        <v>0</v>
      </c>
      <c r="DE18" s="128">
        <f>[1]APREPER!AC25</f>
        <v>0</v>
      </c>
      <c r="DF18" s="128" t="str">
        <f>[1]APREPER!AD25</f>
        <v>X</v>
      </c>
      <c r="DG18" s="128">
        <f>[1]APREPER!AE25</f>
        <v>0</v>
      </c>
      <c r="DH18" s="128">
        <f>[1]APREPER!AF25</f>
        <v>0</v>
      </c>
      <c r="DI18" s="128">
        <f>[1]APREPER!AG25</f>
        <v>0</v>
      </c>
      <c r="DJ18" s="128" t="str">
        <f>[1]APREPER!AH25</f>
        <v>X</v>
      </c>
      <c r="DK18" s="128">
        <f>[1]APREPER!AI25</f>
        <v>0</v>
      </c>
      <c r="DL18" s="128" t="str">
        <f>[1]APREPER!AJ25</f>
        <v>A</v>
      </c>
      <c r="DM18" s="128" t="str">
        <f>[1]APREPPFF!I25</f>
        <v>X</v>
      </c>
      <c r="DN18" s="128">
        <f>[1]APREPPFF!J25</f>
        <v>0</v>
      </c>
      <c r="DO18" s="128">
        <f>[1]APREPPFF!K25</f>
        <v>0</v>
      </c>
      <c r="DP18" s="128" t="str">
        <f>[1]APREPPFF!L25</f>
        <v>X</v>
      </c>
      <c r="DQ18" s="128">
        <f>[1]APREPPFF!M25</f>
        <v>0</v>
      </c>
      <c r="DR18" s="128">
        <f>[1]APREPPFF!N25</f>
        <v>0</v>
      </c>
      <c r="DS18" s="128" t="str">
        <f>[1]APREPPFF!O25</f>
        <v>X</v>
      </c>
      <c r="DT18" s="128">
        <f>[1]APREPPFF!P25</f>
        <v>0</v>
      </c>
      <c r="DU18" s="128">
        <f>[1]APREPPFF!Q25</f>
        <v>0</v>
      </c>
      <c r="DV18" s="128" t="str">
        <f>[1]APREPPFF!R25</f>
        <v>X</v>
      </c>
      <c r="DW18" s="128">
        <f>[1]APREPPFF!S25</f>
        <v>0</v>
      </c>
      <c r="DX18" s="128">
        <f>[1]APREPPFF!T25</f>
        <v>0</v>
      </c>
      <c r="DY18" s="128" t="str">
        <f>[1]APREPPFF!U25</f>
        <v>A</v>
      </c>
      <c r="DZ18" s="128">
        <f>[1]ASISTEN!$BS$4</f>
        <v>47</v>
      </c>
      <c r="EA18" s="129">
        <f>[1]ASISTEN!BT26</f>
        <v>1</v>
      </c>
      <c r="EB18" s="128">
        <f>[1]ASISTEN!BP26</f>
        <v>47</v>
      </c>
      <c r="EC18" s="128">
        <f>[1]ASISTEN!BQ26</f>
        <v>0</v>
      </c>
      <c r="ED18" s="128">
        <f>[1]ASISTEN!BR26</f>
        <v>0</v>
      </c>
      <c r="EE18" s="128">
        <f>[1]ASISTEN!BS26</f>
        <v>0</v>
      </c>
      <c r="EF18" s="130" t="str">
        <f>[1]APREPER!AN25</f>
        <v>Ha logrado avances importantes en varias competencias; sin embargo, aún requiere fortalecer algunos aprendizajes para alcanzar un desempeño más uniforme y seguro.</v>
      </c>
      <c r="EG18" s="128">
        <f t="shared" si="0"/>
        <v>155</v>
      </c>
      <c r="EH18" s="128">
        <f t="shared" si="1"/>
        <v>18</v>
      </c>
      <c r="EI18" s="128"/>
      <c r="EJ18" s="104">
        <f t="shared" si="2"/>
        <v>0</v>
      </c>
      <c r="EK18" s="104">
        <f t="shared" si="3"/>
        <v>72</v>
      </c>
      <c r="EL18" s="104">
        <f t="shared" si="4"/>
        <v>11</v>
      </c>
    </row>
    <row r="19" spans="1:142" ht="30" x14ac:dyDescent="0.25">
      <c r="A19" s="125">
        <v>15</v>
      </c>
      <c r="B19" s="102" t="s">
        <v>130</v>
      </c>
      <c r="C19" s="126" t="str">
        <f>[1]PERS!N27</f>
        <v>A</v>
      </c>
      <c r="D19" s="126" t="str">
        <f>[1]PERS!AH27</f>
        <v>A</v>
      </c>
      <c r="E19" s="126" t="str">
        <f>[1]PERS!AZ27</f>
        <v>A</v>
      </c>
      <c r="F19" s="126" t="str">
        <f>[1]PERS!R27</f>
        <v>A</v>
      </c>
      <c r="G19" s="126" t="str">
        <f>[1]PERS!AL27</f>
        <v>A</v>
      </c>
      <c r="H19" s="126" t="str">
        <f>[1]PERS!BA27</f>
        <v>A</v>
      </c>
      <c r="I19" s="126" t="str">
        <f>[1]PERS!V27</f>
        <v>A</v>
      </c>
      <c r="J19" s="126" t="str">
        <f>[1]PERS!AP27</f>
        <v>A</v>
      </c>
      <c r="K19" s="126" t="str">
        <f>[1]PERS!BB27</f>
        <v>A</v>
      </c>
      <c r="L19" s="126" t="str">
        <f>[1]PERS!Z27</f>
        <v>A</v>
      </c>
      <c r="M19" s="126" t="str">
        <f>[1]PERS!AT27</f>
        <v>A</v>
      </c>
      <c r="N19" s="126" t="str">
        <f>[1]PERS!BC27</f>
        <v>A</v>
      </c>
      <c r="O19" s="126" t="str">
        <f>[1]PERS!AD27</f>
        <v>A</v>
      </c>
      <c r="P19" s="126" t="str">
        <f>[1]PERS!AX27</f>
        <v>A</v>
      </c>
      <c r="Q19" s="126" t="str">
        <f>[1]PERS!BD27</f>
        <v>A</v>
      </c>
      <c r="R19" s="126" t="str">
        <f>[1]EFIS!N27</f>
        <v>A</v>
      </c>
      <c r="S19" s="126" t="str">
        <f>[1]EFIS!AH27</f>
        <v>A</v>
      </c>
      <c r="T19" s="126" t="str">
        <f>[1]EFIS!AZ27</f>
        <v>A</v>
      </c>
      <c r="U19" s="126" t="str">
        <f>[1]EFIS!R27</f>
        <v>A</v>
      </c>
      <c r="V19" s="126" t="str">
        <f>[1]EFIS!AL27</f>
        <v>A</v>
      </c>
      <c r="W19" s="126" t="str">
        <f>[1]EFIS!BA27</f>
        <v>A</v>
      </c>
      <c r="X19" s="126" t="str">
        <f>[1]EFIS!V27</f>
        <v>A</v>
      </c>
      <c r="Y19" s="126" t="str">
        <f>[1]EFIS!AP27</f>
        <v>A</v>
      </c>
      <c r="Z19" s="126" t="str">
        <f>[1]EFIS!BB27</f>
        <v>A</v>
      </c>
      <c r="AA19" s="126" t="str">
        <f>[1]COMU!N27</f>
        <v>A</v>
      </c>
      <c r="AB19" s="126" t="str">
        <f>[1]COMU!AH27</f>
        <v>A</v>
      </c>
      <c r="AC19" s="126" t="str">
        <f>[1]COMU!AZ27</f>
        <v>A</v>
      </c>
      <c r="AD19" s="126" t="str">
        <f>[1]COMU!R27</f>
        <v>A</v>
      </c>
      <c r="AE19" s="126" t="str">
        <f>[1]COMU!AH27</f>
        <v>A</v>
      </c>
      <c r="AF19" s="126" t="str">
        <f>[1]COMU!BA27</f>
        <v>A</v>
      </c>
      <c r="AG19" s="126" t="str">
        <f>[1]COMU!V27</f>
        <v>B</v>
      </c>
      <c r="AH19" s="126" t="str">
        <f>[1]COMU!AP27</f>
        <v>A</v>
      </c>
      <c r="AI19" s="126" t="str">
        <f>[1]COMU!BB27</f>
        <v>A</v>
      </c>
      <c r="AJ19" s="126" t="str">
        <f>[1]ARTE!N27</f>
        <v>A</v>
      </c>
      <c r="AK19" s="126" t="str">
        <f>[1]ARTE!AH27</f>
        <v>A</v>
      </c>
      <c r="AL19" s="126" t="str">
        <f>[1]ARTE!AZ27</f>
        <v>A</v>
      </c>
      <c r="AM19" s="126" t="str">
        <f>[1]ARTE!R27</f>
        <v>A</v>
      </c>
      <c r="AN19" s="126" t="str">
        <f>[1]ARTE!AL27</f>
        <v>A</v>
      </c>
      <c r="AO19" s="126" t="str">
        <f>[1]ARTE!BA27</f>
        <v>A</v>
      </c>
      <c r="AP19" s="126" t="str">
        <f>[1]ING!N27</f>
        <v>A</v>
      </c>
      <c r="AQ19" s="126" t="str">
        <f>[1]ING!AH27</f>
        <v>A</v>
      </c>
      <c r="AR19" s="126" t="str">
        <f>[1]ING!AZ27</f>
        <v>A</v>
      </c>
      <c r="AS19" s="126" t="str">
        <f>[1]ING!R27</f>
        <v>A</v>
      </c>
      <c r="AT19" s="126" t="str">
        <f>[1]ING!AL27</f>
        <v>A</v>
      </c>
      <c r="AU19" s="126" t="str">
        <f>[1]ING!BA27</f>
        <v>A</v>
      </c>
      <c r="AV19" s="126" t="str">
        <f>[1]ING!V27</f>
        <v>A</v>
      </c>
      <c r="AW19" s="126" t="str">
        <f>[1]ING!AP27</f>
        <v>A</v>
      </c>
      <c r="AX19" s="126" t="str">
        <f>[1]ING!BB27</f>
        <v>A</v>
      </c>
      <c r="AY19" s="126" t="str">
        <f>[1]MATE!N27</f>
        <v>B</v>
      </c>
      <c r="AZ19" s="126" t="str">
        <f>[1]MATE!AH27</f>
        <v>B</v>
      </c>
      <c r="BA19" s="126" t="str">
        <f>[1]MATE!AZ27</f>
        <v>B</v>
      </c>
      <c r="BB19" s="126" t="str">
        <f>[1]MATE!R27</f>
        <v>B</v>
      </c>
      <c r="BC19" s="126" t="str">
        <f>[1]MATE!AL27</f>
        <v>A</v>
      </c>
      <c r="BD19" s="126" t="str">
        <f>[1]MATE!BA27</f>
        <v>A</v>
      </c>
      <c r="BE19" s="126" t="str">
        <f>[1]MATE!V27</f>
        <v>A</v>
      </c>
      <c r="BF19" s="126" t="str">
        <f>[1]MATE!AP27</f>
        <v>B</v>
      </c>
      <c r="BG19" s="126" t="str">
        <f>[1]MATE!BB27</f>
        <v>A</v>
      </c>
      <c r="BH19" s="126" t="str">
        <f>[1]MATE!Z27</f>
        <v>A</v>
      </c>
      <c r="BI19" s="126" t="str">
        <f>[1]MATE!AT27</f>
        <v>A</v>
      </c>
      <c r="BJ19" s="126" t="str">
        <f>[1]MATE!BC27</f>
        <v>A</v>
      </c>
      <c r="BK19" s="126" t="str">
        <f>[1]CTEC!N27</f>
        <v>B</v>
      </c>
      <c r="BL19" s="126" t="str">
        <f>[1]CTEC!AH27</f>
        <v>A</v>
      </c>
      <c r="BM19" s="126" t="str">
        <f>[1]CTEC!AZ27</f>
        <v>A</v>
      </c>
      <c r="BN19" s="126" t="str">
        <f>[1]CTEC!R27</f>
        <v>A</v>
      </c>
      <c r="BO19" s="126" t="str">
        <f>[1]CTEC!AL27</f>
        <v>A</v>
      </c>
      <c r="BP19" s="126" t="str">
        <f>[1]CTEC!BA27</f>
        <v>A</v>
      </c>
      <c r="BQ19" s="126" t="str">
        <f>[1]CTEC!V27</f>
        <v>A</v>
      </c>
      <c r="BR19" s="126" t="str">
        <f>[1]CTEC!AP27</f>
        <v>A</v>
      </c>
      <c r="BS19" s="126" t="str">
        <f>[1]CTEC!BB27</f>
        <v>A</v>
      </c>
      <c r="BT19" s="126" t="str">
        <f>[1]REL!N27</f>
        <v>A</v>
      </c>
      <c r="BU19" s="126" t="str">
        <f>[1]REL!AH27</f>
        <v>A</v>
      </c>
      <c r="BV19" s="126" t="str">
        <f>[1]REL!AZ27</f>
        <v>A</v>
      </c>
      <c r="BW19" s="126" t="str">
        <f>[1]REL!R27</f>
        <v>A</v>
      </c>
      <c r="BX19" s="126" t="str">
        <f>[1]REL!AL27</f>
        <v>A</v>
      </c>
      <c r="BY19" s="126" t="str">
        <f>[1]REL!BA27</f>
        <v>A</v>
      </c>
      <c r="BZ19" s="126" t="str">
        <f>[1]EMPR!N27</f>
        <v>A</v>
      </c>
      <c r="CA19" s="126" t="str">
        <f>[1]EMPR!AH27</f>
        <v>A</v>
      </c>
      <c r="CB19" s="126" t="str">
        <f>[1]EMPR!AZ27</f>
        <v>A</v>
      </c>
      <c r="CC19" s="126" t="str">
        <f>[1]COMPU!N27</f>
        <v>A</v>
      </c>
      <c r="CD19" s="126" t="str">
        <f>[1]COMPU!AH27</f>
        <v>A</v>
      </c>
      <c r="CE19" s="126" t="str">
        <f>[1]COMPU!AZ27</f>
        <v>A</v>
      </c>
      <c r="CF19" s="126" t="str">
        <f>[1]ROBOTI!N27</f>
        <v>A</v>
      </c>
      <c r="CG19" s="126" t="str">
        <f>[1]ROBOTI!AH27</f>
        <v>A</v>
      </c>
      <c r="CH19" s="126" t="str">
        <f>[1]ROBOTI!AZ27</f>
        <v>A</v>
      </c>
      <c r="CI19" s="126" t="str">
        <f>[1]APREPER!AL26</f>
        <v>A</v>
      </c>
      <c r="CJ19" s="127" t="str">
        <f>[1]APREPER!AM26</f>
        <v>A</v>
      </c>
      <c r="CK19" s="128" t="str">
        <f>[1]APREPER!I26</f>
        <v>X</v>
      </c>
      <c r="CL19" s="128">
        <f>[1]APREPER!J26</f>
        <v>0</v>
      </c>
      <c r="CM19" s="128">
        <f>[1]APREPER!K26</f>
        <v>0</v>
      </c>
      <c r="CN19" s="128">
        <f>[1]APREPER!L26</f>
        <v>0</v>
      </c>
      <c r="CO19" s="128" t="str">
        <f>[1]APREPER!M26</f>
        <v>X</v>
      </c>
      <c r="CP19" s="128">
        <f>[1]APREPER!N26</f>
        <v>0</v>
      </c>
      <c r="CQ19" s="128" t="str">
        <f>[1]APREPER!O26</f>
        <v>X</v>
      </c>
      <c r="CR19" s="128">
        <f>[1]APREPER!P26</f>
        <v>0</v>
      </c>
      <c r="CS19" s="128">
        <f>[1]APREPER!Q26</f>
        <v>0</v>
      </c>
      <c r="CT19" s="128" t="str">
        <f>[1]APREPER!R26</f>
        <v>X</v>
      </c>
      <c r="CU19" s="128">
        <f>[1]APREPER!S26</f>
        <v>0</v>
      </c>
      <c r="CV19" s="128">
        <f>[1]APREPER!T26</f>
        <v>0</v>
      </c>
      <c r="CW19" s="128" t="str">
        <f>[1]APREPER!U26</f>
        <v>X</v>
      </c>
      <c r="CX19" s="128">
        <f>[1]APREPER!V26</f>
        <v>0</v>
      </c>
      <c r="CY19" s="128">
        <f>[1]APREPER!W26</f>
        <v>0</v>
      </c>
      <c r="CZ19" s="128" t="str">
        <f>[1]APREPER!X26</f>
        <v>X</v>
      </c>
      <c r="DA19" s="128">
        <f>[1]APREPER!Y26</f>
        <v>0</v>
      </c>
      <c r="DB19" s="128">
        <f>[1]APREPER!Z26</f>
        <v>0</v>
      </c>
      <c r="DC19" s="128" t="str">
        <f>[1]APREPER!AA26</f>
        <v>X</v>
      </c>
      <c r="DD19" s="128">
        <f>[1]APREPER!AB26</f>
        <v>0</v>
      </c>
      <c r="DE19" s="128">
        <f>[1]APREPER!AC26</f>
        <v>0</v>
      </c>
      <c r="DF19" s="128" t="str">
        <f>[1]APREPER!AD26</f>
        <v>X</v>
      </c>
      <c r="DG19" s="128">
        <f>[1]APREPER!AE26</f>
        <v>0</v>
      </c>
      <c r="DH19" s="128">
        <f>[1]APREPER!AF26</f>
        <v>0</v>
      </c>
      <c r="DI19" s="128" t="str">
        <f>[1]APREPER!AG26</f>
        <v>X</v>
      </c>
      <c r="DJ19" s="128">
        <f>[1]APREPER!AH26</f>
        <v>0</v>
      </c>
      <c r="DK19" s="128">
        <f>[1]APREPER!AI26</f>
        <v>0</v>
      </c>
      <c r="DL19" s="128" t="str">
        <f>[1]APREPER!AJ26</f>
        <v>A</v>
      </c>
      <c r="DM19" s="128" t="str">
        <f>[1]APREPPFF!I26</f>
        <v>X</v>
      </c>
      <c r="DN19" s="128">
        <f>[1]APREPPFF!J26</f>
        <v>0</v>
      </c>
      <c r="DO19" s="128">
        <f>[1]APREPPFF!K26</f>
        <v>0</v>
      </c>
      <c r="DP19" s="128">
        <f>[1]APREPPFF!L26</f>
        <v>0</v>
      </c>
      <c r="DQ19" s="128" t="str">
        <f>[1]APREPPFF!M26</f>
        <v>X</v>
      </c>
      <c r="DR19" s="128">
        <f>[1]APREPPFF!N26</f>
        <v>0</v>
      </c>
      <c r="DS19" s="128" t="str">
        <f>[1]APREPPFF!O26</f>
        <v>X</v>
      </c>
      <c r="DT19" s="128">
        <f>[1]APREPPFF!P26</f>
        <v>0</v>
      </c>
      <c r="DU19" s="128">
        <f>[1]APREPPFF!Q26</f>
        <v>0</v>
      </c>
      <c r="DV19" s="128" t="str">
        <f>[1]APREPPFF!R26</f>
        <v>X</v>
      </c>
      <c r="DW19" s="128">
        <f>[1]APREPPFF!S26</f>
        <v>0</v>
      </c>
      <c r="DX19" s="128">
        <f>[1]APREPPFF!T26</f>
        <v>0</v>
      </c>
      <c r="DY19" s="128" t="str">
        <f>[1]APREPPFF!U26</f>
        <v>A</v>
      </c>
      <c r="DZ19" s="128">
        <f>[1]ASISTEN!$BS$4</f>
        <v>47</v>
      </c>
      <c r="EA19" s="129">
        <f>[1]ASISTEN!BT27</f>
        <v>1</v>
      </c>
      <c r="EB19" s="128">
        <f>[1]ASISTEN!BP27</f>
        <v>39</v>
      </c>
      <c r="EC19" s="128">
        <f>[1]ASISTEN!BQ27</f>
        <v>7</v>
      </c>
      <c r="ED19" s="128">
        <f>[1]ASISTEN!BR27</f>
        <v>1</v>
      </c>
      <c r="EE19" s="128">
        <f>[1]ASISTEN!BS27</f>
        <v>0</v>
      </c>
      <c r="EF19" s="130" t="str">
        <f>[1]APREPER!AN26</f>
        <v>Mantiene un rendimiento satisfactorio en todas las competencias evaluadas, demostrando responsabilidad, compromiso y un adecuado desarrollo de sus aprendizajes.</v>
      </c>
      <c r="EG19" s="128">
        <f t="shared" si="0"/>
        <v>165</v>
      </c>
      <c r="EH19" s="128">
        <f t="shared" si="1"/>
        <v>14</v>
      </c>
      <c r="EI19" s="128"/>
      <c r="EJ19" s="104">
        <f t="shared" si="2"/>
        <v>0</v>
      </c>
      <c r="EK19" s="104">
        <f t="shared" si="3"/>
        <v>79</v>
      </c>
      <c r="EL19" s="104">
        <f t="shared" si="4"/>
        <v>7</v>
      </c>
    </row>
    <row r="20" spans="1:142" ht="30" x14ac:dyDescent="0.25">
      <c r="A20" s="125">
        <v>16</v>
      </c>
      <c r="B20" s="102" t="s">
        <v>131</v>
      </c>
      <c r="C20" s="126" t="str">
        <f>[1]PERS!N28</f>
        <v>C</v>
      </c>
      <c r="D20" s="126" t="str">
        <f>[1]PERS!AH28</f>
        <v>B</v>
      </c>
      <c r="E20" s="126" t="str">
        <f>[1]PERS!AZ28</f>
        <v>B</v>
      </c>
      <c r="F20" s="126" t="str">
        <f>[1]PERS!R28</f>
        <v>B</v>
      </c>
      <c r="G20" s="126" t="str">
        <f>[1]PERS!AL28</f>
        <v>B</v>
      </c>
      <c r="H20" s="126" t="str">
        <f>[1]PERS!BA28</f>
        <v>B</v>
      </c>
      <c r="I20" s="126" t="str">
        <f>[1]PERS!V28</f>
        <v>C</v>
      </c>
      <c r="J20" s="126" t="str">
        <f>[1]PERS!AP28</f>
        <v>B</v>
      </c>
      <c r="K20" s="126" t="str">
        <f>[1]PERS!BB28</f>
        <v>B</v>
      </c>
      <c r="L20" s="126" t="str">
        <f>[1]PERS!Z28</f>
        <v>B</v>
      </c>
      <c r="M20" s="126" t="str">
        <f>[1]PERS!AT28</f>
        <v>A</v>
      </c>
      <c r="N20" s="126" t="str">
        <f>[1]PERS!BC28</f>
        <v>A</v>
      </c>
      <c r="O20" s="126" t="str">
        <f>[1]PERS!AD28</f>
        <v>B</v>
      </c>
      <c r="P20" s="126" t="str">
        <f>[1]PERS!AX28</f>
        <v>B</v>
      </c>
      <c r="Q20" s="126" t="str">
        <f>[1]PERS!BD28</f>
        <v>B</v>
      </c>
      <c r="R20" s="126" t="str">
        <f>[1]EFIS!N28</f>
        <v>A</v>
      </c>
      <c r="S20" s="126" t="str">
        <f>[1]EFIS!AH28</f>
        <v>A</v>
      </c>
      <c r="T20" s="126" t="str">
        <f>[1]EFIS!AZ28</f>
        <v>A</v>
      </c>
      <c r="U20" s="126" t="str">
        <f>[1]EFIS!R28</f>
        <v>A</v>
      </c>
      <c r="V20" s="126" t="str">
        <f>[1]EFIS!AL28</f>
        <v>A</v>
      </c>
      <c r="W20" s="126" t="str">
        <f>[1]EFIS!BA28</f>
        <v>A</v>
      </c>
      <c r="X20" s="126" t="str">
        <f>[1]EFIS!V28</f>
        <v>A</v>
      </c>
      <c r="Y20" s="126" t="str">
        <f>[1]EFIS!AP28</f>
        <v>A</v>
      </c>
      <c r="Z20" s="126" t="str">
        <f>[1]EFIS!BB28</f>
        <v>A</v>
      </c>
      <c r="AA20" s="126" t="str">
        <f>[1]COMU!N28</f>
        <v>B</v>
      </c>
      <c r="AB20" s="126" t="str">
        <f>[1]COMU!AH28</f>
        <v>C</v>
      </c>
      <c r="AC20" s="126" t="str">
        <f>[1]COMU!AZ28</f>
        <v>B</v>
      </c>
      <c r="AD20" s="126" t="str">
        <f>[1]COMU!R28</f>
        <v>C</v>
      </c>
      <c r="AE20" s="126" t="str">
        <f>[1]COMU!AH28</f>
        <v>C</v>
      </c>
      <c r="AF20" s="126" t="str">
        <f>[1]COMU!BA28</f>
        <v>C</v>
      </c>
      <c r="AG20" s="126" t="str">
        <f>[1]COMU!V28</f>
        <v>B</v>
      </c>
      <c r="AH20" s="126" t="str">
        <f>[1]COMU!AP28</f>
        <v>B</v>
      </c>
      <c r="AI20" s="126" t="str">
        <f>[1]COMU!BB28</f>
        <v>B</v>
      </c>
      <c r="AJ20" s="126" t="str">
        <f>[1]ARTE!N28</f>
        <v>B</v>
      </c>
      <c r="AK20" s="126" t="str">
        <f>[1]ARTE!AH28</f>
        <v>A</v>
      </c>
      <c r="AL20" s="126" t="str">
        <f>[1]ARTE!AZ28</f>
        <v>A</v>
      </c>
      <c r="AM20" s="126" t="str">
        <f>[1]ARTE!R28</f>
        <v>A</v>
      </c>
      <c r="AN20" s="126" t="str">
        <f>[1]ARTE!AL28</f>
        <v>A</v>
      </c>
      <c r="AO20" s="126" t="str">
        <f>[1]ARTE!BA28</f>
        <v>A</v>
      </c>
      <c r="AP20" s="126" t="str">
        <f>[1]ING!N28</f>
        <v>B</v>
      </c>
      <c r="AQ20" s="126" t="str">
        <f>[1]ING!AH28</f>
        <v>A</v>
      </c>
      <c r="AR20" s="126" t="str">
        <f>[1]ING!AZ28</f>
        <v>A</v>
      </c>
      <c r="AS20" s="126" t="str">
        <f>[1]ING!R28</f>
        <v>B</v>
      </c>
      <c r="AT20" s="126" t="str">
        <f>[1]ING!AL28</f>
        <v>B</v>
      </c>
      <c r="AU20" s="126" t="str">
        <f>[1]ING!BA28</f>
        <v>B</v>
      </c>
      <c r="AV20" s="126" t="str">
        <f>[1]ING!V28</f>
        <v>B</v>
      </c>
      <c r="AW20" s="126" t="str">
        <f>[1]ING!AP28</f>
        <v>B</v>
      </c>
      <c r="AX20" s="126" t="str">
        <f>[1]ING!BB28</f>
        <v>B</v>
      </c>
      <c r="AY20" s="126" t="str">
        <f>[1]MATE!N28</f>
        <v>B</v>
      </c>
      <c r="AZ20" s="126" t="str">
        <f>[1]MATE!AH28</f>
        <v>C</v>
      </c>
      <c r="BA20" s="126" t="str">
        <f>[1]MATE!AZ28</f>
        <v>B</v>
      </c>
      <c r="BB20" s="126" t="str">
        <f>[1]MATE!R28</f>
        <v>C</v>
      </c>
      <c r="BC20" s="126" t="str">
        <f>[1]MATE!AL28</f>
        <v>C</v>
      </c>
      <c r="BD20" s="126" t="str">
        <f>[1]MATE!BA28</f>
        <v>C</v>
      </c>
      <c r="BE20" s="126" t="str">
        <f>[1]MATE!V28</f>
        <v>C</v>
      </c>
      <c r="BF20" s="126" t="str">
        <f>[1]MATE!AP28</f>
        <v>C</v>
      </c>
      <c r="BG20" s="126" t="str">
        <f>[1]MATE!BB28</f>
        <v>C</v>
      </c>
      <c r="BH20" s="126" t="str">
        <f>[1]MATE!Z28</f>
        <v>A</v>
      </c>
      <c r="BI20" s="126" t="str">
        <f>[1]MATE!AT28</f>
        <v>A</v>
      </c>
      <c r="BJ20" s="126" t="str">
        <f>[1]MATE!BC28</f>
        <v>A</v>
      </c>
      <c r="BK20" s="126" t="str">
        <f>[1]CTEC!N28</f>
        <v>C</v>
      </c>
      <c r="BL20" s="126" t="str">
        <f>[1]CTEC!AH28</f>
        <v>C</v>
      </c>
      <c r="BM20" s="126" t="str">
        <f>[1]CTEC!AZ28</f>
        <v>C</v>
      </c>
      <c r="BN20" s="126" t="str">
        <f>[1]CTEC!R28</f>
        <v>B</v>
      </c>
      <c r="BO20" s="126" t="str">
        <f>[1]CTEC!AL28</f>
        <v>B</v>
      </c>
      <c r="BP20" s="126" t="str">
        <f>[1]CTEC!BA28</f>
        <v>B</v>
      </c>
      <c r="BQ20" s="126" t="str">
        <f>[1]CTEC!V28</f>
        <v>C</v>
      </c>
      <c r="BR20" s="126" t="str">
        <f>[1]CTEC!AP28</f>
        <v>C</v>
      </c>
      <c r="BS20" s="126" t="str">
        <f>[1]CTEC!BB28</f>
        <v>C</v>
      </c>
      <c r="BT20" s="126" t="str">
        <f>[1]REL!N28</f>
        <v>A</v>
      </c>
      <c r="BU20" s="126" t="str">
        <f>[1]REL!AH28</f>
        <v>A</v>
      </c>
      <c r="BV20" s="126" t="str">
        <f>[1]REL!AZ28</f>
        <v>A</v>
      </c>
      <c r="BW20" s="126" t="str">
        <f>[1]REL!R28</f>
        <v>B</v>
      </c>
      <c r="BX20" s="126" t="str">
        <f>[1]REL!AL28</f>
        <v>B</v>
      </c>
      <c r="BY20" s="126" t="str">
        <f>[1]REL!BA28</f>
        <v>B</v>
      </c>
      <c r="BZ20" s="126" t="str">
        <f>[1]EMPR!N28</f>
        <v>A</v>
      </c>
      <c r="CA20" s="126" t="str">
        <f>[1]EMPR!AH28</f>
        <v>B</v>
      </c>
      <c r="CB20" s="126" t="str">
        <f>[1]EMPR!AZ28</f>
        <v>A</v>
      </c>
      <c r="CC20" s="126" t="str">
        <f>[1]COMPU!N28</f>
        <v>A</v>
      </c>
      <c r="CD20" s="126" t="str">
        <f>[1]COMPU!AH28</f>
        <v>A</v>
      </c>
      <c r="CE20" s="126" t="str">
        <f>[1]COMPU!AZ28</f>
        <v>A</v>
      </c>
      <c r="CF20" s="126" t="str">
        <f>[1]ROBOTI!N28</f>
        <v>A</v>
      </c>
      <c r="CG20" s="126" t="str">
        <f>[1]ROBOTI!AH28</f>
        <v>A</v>
      </c>
      <c r="CH20" s="126" t="str">
        <f>[1]ROBOTI!AZ28</f>
        <v>A</v>
      </c>
      <c r="CI20" s="126" t="str">
        <f>[1]APREPER!AL27</f>
        <v>A</v>
      </c>
      <c r="CJ20" s="127" t="str">
        <f>[1]APREPER!AM27</f>
        <v>A</v>
      </c>
      <c r="CK20" s="128">
        <f>[1]APREPER!I27</f>
        <v>0</v>
      </c>
      <c r="CL20" s="128" t="str">
        <f>[1]APREPER!J27</f>
        <v>X</v>
      </c>
      <c r="CM20" s="128">
        <f>[1]APREPER!K27</f>
        <v>0</v>
      </c>
      <c r="CN20" s="128" t="str">
        <f>[1]APREPER!L27</f>
        <v>X</v>
      </c>
      <c r="CO20" s="128">
        <f>[1]APREPER!M27</f>
        <v>0</v>
      </c>
      <c r="CP20" s="128">
        <f>[1]APREPER!N27</f>
        <v>0</v>
      </c>
      <c r="CQ20" s="128">
        <f>[1]APREPER!O27</f>
        <v>0</v>
      </c>
      <c r="CR20" s="128" t="str">
        <f>[1]APREPER!P27</f>
        <v>X</v>
      </c>
      <c r="CS20" s="128">
        <f>[1]APREPER!Q27</f>
        <v>0</v>
      </c>
      <c r="CT20" s="128" t="str">
        <f>[1]APREPER!R27</f>
        <v>X</v>
      </c>
      <c r="CU20" s="128">
        <f>[1]APREPER!S27</f>
        <v>0</v>
      </c>
      <c r="CV20" s="128">
        <f>[1]APREPER!T27</f>
        <v>0</v>
      </c>
      <c r="CW20" s="128" t="str">
        <f>[1]APREPER!U27</f>
        <v>X</v>
      </c>
      <c r="CX20" s="128">
        <f>[1]APREPER!V27</f>
        <v>0</v>
      </c>
      <c r="CY20" s="128">
        <f>[1]APREPER!W27</f>
        <v>0</v>
      </c>
      <c r="CZ20" s="128" t="str">
        <f>[1]APREPER!X27</f>
        <v>X</v>
      </c>
      <c r="DA20" s="128">
        <f>[1]APREPER!Y27</f>
        <v>0</v>
      </c>
      <c r="DB20" s="128">
        <f>[1]APREPER!Z27</f>
        <v>0</v>
      </c>
      <c r="DC20" s="128" t="str">
        <f>[1]APREPER!AA27</f>
        <v>X</v>
      </c>
      <c r="DD20" s="128">
        <f>[1]APREPER!AB27</f>
        <v>0</v>
      </c>
      <c r="DE20" s="128">
        <f>[1]APREPER!AC27</f>
        <v>0</v>
      </c>
      <c r="DF20" s="128" t="str">
        <f>[1]APREPER!AD27</f>
        <v>X</v>
      </c>
      <c r="DG20" s="128">
        <f>[1]APREPER!AE27</f>
        <v>0</v>
      </c>
      <c r="DH20" s="128">
        <f>[1]APREPER!AF27</f>
        <v>0</v>
      </c>
      <c r="DI20" s="128">
        <f>[1]APREPER!AG27</f>
        <v>0</v>
      </c>
      <c r="DJ20" s="128" t="str">
        <f>[1]APREPER!AH27</f>
        <v>X</v>
      </c>
      <c r="DK20" s="128">
        <f>[1]APREPER!AI27</f>
        <v>0</v>
      </c>
      <c r="DL20" s="128" t="str">
        <f>[1]APREPER!AJ27</f>
        <v>A</v>
      </c>
      <c r="DM20" s="128">
        <f>[1]APREPPFF!I27</f>
        <v>0</v>
      </c>
      <c r="DN20" s="128">
        <f>[1]APREPPFF!J27</f>
        <v>0</v>
      </c>
      <c r="DO20" s="128" t="str">
        <f>[1]APREPPFF!K27</f>
        <v>X</v>
      </c>
      <c r="DP20" s="128">
        <f>[1]APREPPFF!L27</f>
        <v>0</v>
      </c>
      <c r="DQ20" s="128">
        <f>[1]APREPPFF!M27</f>
        <v>0</v>
      </c>
      <c r="DR20" s="128" t="str">
        <f>[1]APREPPFF!N27</f>
        <v>X</v>
      </c>
      <c r="DS20" s="128">
        <f>[1]APREPPFF!O27</f>
        <v>0</v>
      </c>
      <c r="DT20" s="128" t="str">
        <f>[1]APREPPFF!P27</f>
        <v>X</v>
      </c>
      <c r="DU20" s="128">
        <f>[1]APREPPFF!Q27</f>
        <v>0</v>
      </c>
      <c r="DV20" s="128">
        <f>[1]APREPPFF!R27</f>
        <v>0</v>
      </c>
      <c r="DW20" s="128">
        <f>[1]APREPPFF!S27</f>
        <v>0</v>
      </c>
      <c r="DX20" s="128" t="str">
        <f>[1]APREPPFF!T27</f>
        <v>X</v>
      </c>
      <c r="DY20" s="128" t="str">
        <f>[1]APREPPFF!U27</f>
        <v>B</v>
      </c>
      <c r="DZ20" s="128">
        <f>[1]ASISTEN!$BS$4</f>
        <v>47</v>
      </c>
      <c r="EA20" s="129">
        <f>[1]ASISTEN!BT28</f>
        <v>1</v>
      </c>
      <c r="EB20" s="128">
        <f>[1]ASISTEN!BP28</f>
        <v>45</v>
      </c>
      <c r="EC20" s="128">
        <f>[1]ASISTEN!BQ28</f>
        <v>0</v>
      </c>
      <c r="ED20" s="128">
        <f>[1]ASISTEN!BR28</f>
        <v>2</v>
      </c>
      <c r="EE20" s="128">
        <f>[1]ASISTEN!BS28</f>
        <v>0</v>
      </c>
      <c r="EF20" s="130" t="str">
        <f>[1]APREPER!AN27</f>
        <v>Requiere mayor esfuerzo y compromiso en sus actividades escolares, ya que la mayoría de competencias aún se encuentran en proceso y demandan atención continua.</v>
      </c>
      <c r="EG20" s="128">
        <f t="shared" si="0"/>
        <v>101</v>
      </c>
      <c r="EH20" s="128">
        <f t="shared" si="1"/>
        <v>25</v>
      </c>
      <c r="EI20" s="128"/>
      <c r="EJ20" s="104">
        <f t="shared" si="2"/>
        <v>0</v>
      </c>
      <c r="EK20" s="104">
        <f t="shared" si="3"/>
        <v>34</v>
      </c>
      <c r="EL20" s="104">
        <f t="shared" si="4"/>
        <v>33</v>
      </c>
    </row>
    <row r="21" spans="1:142" ht="30" x14ac:dyDescent="0.25">
      <c r="A21" s="125">
        <v>17</v>
      </c>
      <c r="B21" s="102" t="s">
        <v>132</v>
      </c>
      <c r="C21" s="126" t="str">
        <f>[1]PERS!N29</f>
        <v>A</v>
      </c>
      <c r="D21" s="126" t="str">
        <f>[1]PERS!AH29</f>
        <v>A</v>
      </c>
      <c r="E21" s="126" t="str">
        <f>[1]PERS!AZ29</f>
        <v>A</v>
      </c>
      <c r="F21" s="126" t="str">
        <f>[1]PERS!R29</f>
        <v>A</v>
      </c>
      <c r="G21" s="126" t="str">
        <f>[1]PERS!AL29</f>
        <v>A</v>
      </c>
      <c r="H21" s="126" t="str">
        <f>[1]PERS!BA29</f>
        <v>A</v>
      </c>
      <c r="I21" s="126" t="str">
        <f>[1]PERS!V29</f>
        <v>A</v>
      </c>
      <c r="J21" s="126" t="str">
        <f>[1]PERS!AP29</f>
        <v>A</v>
      </c>
      <c r="K21" s="126" t="str">
        <f>[1]PERS!BB29</f>
        <v>A</v>
      </c>
      <c r="L21" s="126" t="str">
        <f>[1]PERS!Z29</f>
        <v>A</v>
      </c>
      <c r="M21" s="126" t="str">
        <f>[1]PERS!AT29</f>
        <v>A</v>
      </c>
      <c r="N21" s="126" t="str">
        <f>[1]PERS!BC29</f>
        <v>A</v>
      </c>
      <c r="O21" s="126" t="str">
        <f>[1]PERS!AD29</f>
        <v>A</v>
      </c>
      <c r="P21" s="126" t="str">
        <f>[1]PERS!AX29</f>
        <v>A</v>
      </c>
      <c r="Q21" s="126" t="str">
        <f>[1]PERS!BD29</f>
        <v>A</v>
      </c>
      <c r="R21" s="126" t="str">
        <f>[1]EFIS!N29</f>
        <v>A</v>
      </c>
      <c r="S21" s="126" t="str">
        <f>[1]EFIS!AH29</f>
        <v>A</v>
      </c>
      <c r="T21" s="126" t="str">
        <f>[1]EFIS!AZ29</f>
        <v>A</v>
      </c>
      <c r="U21" s="126" t="str">
        <f>[1]EFIS!R29</f>
        <v>A</v>
      </c>
      <c r="V21" s="126" t="str">
        <f>[1]EFIS!AL29</f>
        <v>A</v>
      </c>
      <c r="W21" s="126" t="str">
        <f>[1]EFIS!BA29</f>
        <v>A</v>
      </c>
      <c r="X21" s="126" t="str">
        <f>[1]EFIS!V29</f>
        <v>A</v>
      </c>
      <c r="Y21" s="126" t="str">
        <f>[1]EFIS!AP29</f>
        <v>A</v>
      </c>
      <c r="Z21" s="126" t="str">
        <f>[1]EFIS!BB29</f>
        <v>A</v>
      </c>
      <c r="AA21" s="126" t="str">
        <f>[1]COMU!N29</f>
        <v>A</v>
      </c>
      <c r="AB21" s="126" t="str">
        <f>[1]COMU!AH29</f>
        <v>A</v>
      </c>
      <c r="AC21" s="126" t="str">
        <f>[1]COMU!AZ29</f>
        <v>A</v>
      </c>
      <c r="AD21" s="126" t="str">
        <f>[1]COMU!R29</f>
        <v>A</v>
      </c>
      <c r="AE21" s="126" t="str">
        <f>[1]COMU!AH29</f>
        <v>A</v>
      </c>
      <c r="AF21" s="126" t="str">
        <f>[1]COMU!BA29</f>
        <v>A</v>
      </c>
      <c r="AG21" s="126" t="str">
        <f>[1]COMU!V29</f>
        <v>A</v>
      </c>
      <c r="AH21" s="126" t="str">
        <f>[1]COMU!AP29</f>
        <v>A</v>
      </c>
      <c r="AI21" s="126" t="str">
        <f>[1]COMU!BB29</f>
        <v>A</v>
      </c>
      <c r="AJ21" s="126" t="str">
        <f>[1]ARTE!N29</f>
        <v>A</v>
      </c>
      <c r="AK21" s="126" t="str">
        <f>[1]ARTE!AH29</f>
        <v>A</v>
      </c>
      <c r="AL21" s="126" t="str">
        <f>[1]ARTE!AZ29</f>
        <v>A</v>
      </c>
      <c r="AM21" s="126" t="str">
        <f>[1]ARTE!R29</f>
        <v>A</v>
      </c>
      <c r="AN21" s="126" t="str">
        <f>[1]ARTE!AL29</f>
        <v>A</v>
      </c>
      <c r="AO21" s="126" t="str">
        <f>[1]ARTE!BA29</f>
        <v>A</v>
      </c>
      <c r="AP21" s="126" t="str">
        <f>[1]ING!N29</f>
        <v>A</v>
      </c>
      <c r="AQ21" s="126" t="str">
        <f>[1]ING!AH29</f>
        <v>A</v>
      </c>
      <c r="AR21" s="126" t="str">
        <f>[1]ING!AZ29</f>
        <v>A</v>
      </c>
      <c r="AS21" s="126" t="str">
        <f>[1]ING!R29</f>
        <v>A</v>
      </c>
      <c r="AT21" s="126" t="str">
        <f>[1]ING!AL29</f>
        <v>A</v>
      </c>
      <c r="AU21" s="126" t="str">
        <f>[1]ING!BA29</f>
        <v>A</v>
      </c>
      <c r="AV21" s="126" t="str">
        <f>[1]ING!V29</f>
        <v>A</v>
      </c>
      <c r="AW21" s="126" t="str">
        <f>[1]ING!AP29</f>
        <v>A</v>
      </c>
      <c r="AX21" s="126" t="str">
        <f>[1]ING!BB29</f>
        <v>A</v>
      </c>
      <c r="AY21" s="126" t="str">
        <f>[1]MATE!N29</f>
        <v>A</v>
      </c>
      <c r="AZ21" s="126" t="str">
        <f>[1]MATE!AH29</f>
        <v>A</v>
      </c>
      <c r="BA21" s="126" t="str">
        <f>[1]MATE!AZ29</f>
        <v>A</v>
      </c>
      <c r="BB21" s="126" t="str">
        <f>[1]MATE!R29</f>
        <v>A</v>
      </c>
      <c r="BC21" s="126" t="str">
        <f>[1]MATE!AL29</f>
        <v>A</v>
      </c>
      <c r="BD21" s="126" t="str">
        <f>[1]MATE!BA29</f>
        <v>A</v>
      </c>
      <c r="BE21" s="126" t="str">
        <f>[1]MATE!V29</f>
        <v>A</v>
      </c>
      <c r="BF21" s="126" t="str">
        <f>[1]MATE!AP29</f>
        <v>B</v>
      </c>
      <c r="BG21" s="126" t="str">
        <f>[1]MATE!BB29</f>
        <v>A</v>
      </c>
      <c r="BH21" s="126" t="str">
        <f>[1]MATE!Z29</f>
        <v>A</v>
      </c>
      <c r="BI21" s="126" t="str">
        <f>[1]MATE!AT29</f>
        <v>A</v>
      </c>
      <c r="BJ21" s="126" t="str">
        <f>[1]MATE!BC29</f>
        <v>A</v>
      </c>
      <c r="BK21" s="126" t="str">
        <f>[1]CTEC!N29</f>
        <v>A</v>
      </c>
      <c r="BL21" s="126" t="str">
        <f>[1]CTEC!AH29</f>
        <v>A</v>
      </c>
      <c r="BM21" s="126" t="str">
        <f>[1]CTEC!AZ29</f>
        <v>A</v>
      </c>
      <c r="BN21" s="126" t="str">
        <f>[1]CTEC!R29</f>
        <v>A</v>
      </c>
      <c r="BO21" s="126" t="str">
        <f>[1]CTEC!AL29</f>
        <v>A</v>
      </c>
      <c r="BP21" s="126" t="str">
        <f>[1]CTEC!BA29</f>
        <v>A</v>
      </c>
      <c r="BQ21" s="126" t="str">
        <f>[1]CTEC!V29</f>
        <v>A</v>
      </c>
      <c r="BR21" s="126" t="str">
        <f>[1]CTEC!AP29</f>
        <v>A</v>
      </c>
      <c r="BS21" s="126" t="str">
        <f>[1]CTEC!BB29</f>
        <v>A</v>
      </c>
      <c r="BT21" s="126" t="str">
        <f>[1]REL!N29</f>
        <v>A</v>
      </c>
      <c r="BU21" s="126" t="str">
        <f>[1]REL!AH29</f>
        <v>A</v>
      </c>
      <c r="BV21" s="126" t="str">
        <f>[1]REL!AZ29</f>
        <v>A</v>
      </c>
      <c r="BW21" s="126" t="str">
        <f>[1]REL!R29</f>
        <v>A</v>
      </c>
      <c r="BX21" s="126" t="str">
        <f>[1]REL!AL29</f>
        <v>A</v>
      </c>
      <c r="BY21" s="126" t="str">
        <f>[1]REL!BA29</f>
        <v>A</v>
      </c>
      <c r="BZ21" s="126" t="str">
        <f>[1]EMPR!N29</f>
        <v>A</v>
      </c>
      <c r="CA21" s="126" t="str">
        <f>[1]EMPR!AH29</f>
        <v>A</v>
      </c>
      <c r="CB21" s="126" t="str">
        <f>[1]EMPR!AZ29</f>
        <v>A</v>
      </c>
      <c r="CC21" s="126" t="str">
        <f>[1]COMPU!N29</f>
        <v>A</v>
      </c>
      <c r="CD21" s="126" t="str">
        <f>[1]COMPU!AH29</f>
        <v>A</v>
      </c>
      <c r="CE21" s="126" t="str">
        <f>[1]COMPU!AZ29</f>
        <v>A</v>
      </c>
      <c r="CF21" s="126" t="str">
        <f>[1]ROBOTI!N29</f>
        <v>A</v>
      </c>
      <c r="CG21" s="126" t="str">
        <f>[1]ROBOTI!AH29</f>
        <v>A</v>
      </c>
      <c r="CH21" s="126" t="str">
        <f>[1]ROBOTI!AZ29</f>
        <v>A</v>
      </c>
      <c r="CI21" s="126" t="str">
        <f>[1]APREPER!AL28</f>
        <v>A</v>
      </c>
      <c r="CJ21" s="127" t="str">
        <f>[1]APREPER!AM28</f>
        <v>A</v>
      </c>
      <c r="CK21" s="128" t="str">
        <f>[1]APREPER!I28</f>
        <v>X</v>
      </c>
      <c r="CL21" s="128">
        <f>[1]APREPER!J28</f>
        <v>0</v>
      </c>
      <c r="CM21" s="128">
        <f>[1]APREPER!K28</f>
        <v>0</v>
      </c>
      <c r="CN21" s="128" t="str">
        <f>[1]APREPER!L28</f>
        <v>X</v>
      </c>
      <c r="CO21" s="128">
        <f>[1]APREPER!M28</f>
        <v>0</v>
      </c>
      <c r="CP21" s="128">
        <f>[1]APREPER!N28</f>
        <v>0</v>
      </c>
      <c r="CQ21" s="128" t="str">
        <f>[1]APREPER!O28</f>
        <v>X</v>
      </c>
      <c r="CR21" s="128">
        <f>[1]APREPER!P28</f>
        <v>0</v>
      </c>
      <c r="CS21" s="128">
        <f>[1]APREPER!Q28</f>
        <v>0</v>
      </c>
      <c r="CT21" s="128" t="str">
        <f>[1]APREPER!R28</f>
        <v>X</v>
      </c>
      <c r="CU21" s="128">
        <f>[1]APREPER!S28</f>
        <v>0</v>
      </c>
      <c r="CV21" s="128">
        <f>[1]APREPER!T28</f>
        <v>0</v>
      </c>
      <c r="CW21" s="128" t="str">
        <f>[1]APREPER!U28</f>
        <v>X</v>
      </c>
      <c r="CX21" s="128">
        <f>[1]APREPER!V28</f>
        <v>0</v>
      </c>
      <c r="CY21" s="128">
        <f>[1]APREPER!W28</f>
        <v>0</v>
      </c>
      <c r="CZ21" s="128" t="str">
        <f>[1]APREPER!X28</f>
        <v>X</v>
      </c>
      <c r="DA21" s="128">
        <f>[1]APREPER!Y28</f>
        <v>0</v>
      </c>
      <c r="DB21" s="128">
        <f>[1]APREPER!Z28</f>
        <v>0</v>
      </c>
      <c r="DC21" s="128" t="str">
        <f>[1]APREPER!AA28</f>
        <v>X</v>
      </c>
      <c r="DD21" s="128">
        <f>[1]APREPER!AB28</f>
        <v>0</v>
      </c>
      <c r="DE21" s="128">
        <f>[1]APREPER!AC28</f>
        <v>0</v>
      </c>
      <c r="DF21" s="128" t="str">
        <f>[1]APREPER!AD28</f>
        <v>X</v>
      </c>
      <c r="DG21" s="128">
        <f>[1]APREPER!AE28</f>
        <v>0</v>
      </c>
      <c r="DH21" s="128">
        <f>[1]APREPER!AF28</f>
        <v>0</v>
      </c>
      <c r="DI21" s="128" t="str">
        <f>[1]APREPER!AG28</f>
        <v>X</v>
      </c>
      <c r="DJ21" s="128">
        <f>[1]APREPER!AH28</f>
        <v>0</v>
      </c>
      <c r="DK21" s="128">
        <f>[1]APREPER!AI28</f>
        <v>0</v>
      </c>
      <c r="DL21" s="128" t="str">
        <f>[1]APREPER!AJ28</f>
        <v>A</v>
      </c>
      <c r="DM21" s="128" t="str">
        <f>[1]APREPPFF!I28</f>
        <v>X</v>
      </c>
      <c r="DN21" s="128">
        <f>[1]APREPPFF!J28</f>
        <v>0</v>
      </c>
      <c r="DO21" s="128">
        <f>[1]APREPPFF!K28</f>
        <v>0</v>
      </c>
      <c r="DP21" s="128" t="str">
        <f>[1]APREPPFF!L28</f>
        <v>X</v>
      </c>
      <c r="DQ21" s="128">
        <f>[1]APREPPFF!M28</f>
        <v>0</v>
      </c>
      <c r="DR21" s="128">
        <f>[1]APREPPFF!N28</f>
        <v>0</v>
      </c>
      <c r="DS21" s="128" t="str">
        <f>[1]APREPPFF!O28</f>
        <v>X</v>
      </c>
      <c r="DT21" s="128">
        <f>[1]APREPPFF!P28</f>
        <v>0</v>
      </c>
      <c r="DU21" s="128">
        <f>[1]APREPPFF!Q28</f>
        <v>0</v>
      </c>
      <c r="DV21" s="128" t="str">
        <f>[1]APREPPFF!R28</f>
        <v>X</v>
      </c>
      <c r="DW21" s="128">
        <f>[1]APREPPFF!S28</f>
        <v>0</v>
      </c>
      <c r="DX21" s="128">
        <f>[1]APREPPFF!T28</f>
        <v>0</v>
      </c>
      <c r="DY21" s="128" t="str">
        <f>[1]APREPPFF!U28</f>
        <v>A</v>
      </c>
      <c r="DZ21" s="128">
        <f>[1]ASISTEN!$BS$4</f>
        <v>47</v>
      </c>
      <c r="EA21" s="129">
        <f>[1]ASISTEN!BT29</f>
        <v>1</v>
      </c>
      <c r="EB21" s="128">
        <f>[1]ASISTEN!BP29</f>
        <v>47</v>
      </c>
      <c r="EC21" s="128">
        <f>[1]ASISTEN!BQ29</f>
        <v>0</v>
      </c>
      <c r="ED21" s="128">
        <f>[1]ASISTEN!BR29</f>
        <v>0</v>
      </c>
      <c r="EE21" s="128">
        <f>[1]ASISTEN!BS29</f>
        <v>0</v>
      </c>
      <c r="EF21" s="131" t="str">
        <f>[1]APREPER!AN28</f>
        <v>Evidencia un desempeño destacado en diversas competencias, alcanzando con solvencia los logros esperados y sobresaliendo por su participación y dedicación constante.</v>
      </c>
      <c r="EG21" s="128">
        <f t="shared" si="0"/>
        <v>171</v>
      </c>
      <c r="EH21" s="128">
        <f t="shared" si="1"/>
        <v>5</v>
      </c>
      <c r="EI21" s="128"/>
      <c r="EJ21" s="104">
        <f t="shared" si="2"/>
        <v>0</v>
      </c>
      <c r="EK21" s="104">
        <f t="shared" si="3"/>
        <v>85</v>
      </c>
      <c r="EL21" s="104">
        <f t="shared" si="4"/>
        <v>1</v>
      </c>
    </row>
    <row r="22" spans="1:142" ht="30" x14ac:dyDescent="0.25">
      <c r="A22" s="125">
        <v>18</v>
      </c>
      <c r="B22" s="102" t="s">
        <v>133</v>
      </c>
      <c r="C22" s="126" t="str">
        <f>[1]PERS!N30</f>
        <v>A</v>
      </c>
      <c r="D22" s="126" t="str">
        <f>[1]PERS!AH30</f>
        <v>A</v>
      </c>
      <c r="E22" s="126" t="str">
        <f>[1]PERS!AZ30</f>
        <v>A</v>
      </c>
      <c r="F22" s="126" t="str">
        <f>[1]PERS!R30</f>
        <v>A</v>
      </c>
      <c r="G22" s="126" t="str">
        <f>[1]PERS!AL30</f>
        <v>A</v>
      </c>
      <c r="H22" s="126" t="str">
        <f>[1]PERS!BA30</f>
        <v>A</v>
      </c>
      <c r="I22" s="126" t="str">
        <f>[1]PERS!V30</f>
        <v>B</v>
      </c>
      <c r="J22" s="126" t="str">
        <f>[1]PERS!AP30</f>
        <v>B</v>
      </c>
      <c r="K22" s="126" t="str">
        <f>[1]PERS!BB30</f>
        <v>B</v>
      </c>
      <c r="L22" s="126" t="str">
        <f>[1]PERS!Z30</f>
        <v>A</v>
      </c>
      <c r="M22" s="126" t="str">
        <f>[1]PERS!AT30</f>
        <v>A</v>
      </c>
      <c r="N22" s="126" t="str">
        <f>[1]PERS!BC30</f>
        <v>A</v>
      </c>
      <c r="O22" s="126" t="str">
        <f>[1]PERS!AD30</f>
        <v>A</v>
      </c>
      <c r="P22" s="126" t="str">
        <f>[1]PERS!AX30</f>
        <v>A</v>
      </c>
      <c r="Q22" s="126" t="str">
        <f>[1]PERS!BD30</f>
        <v>A</v>
      </c>
      <c r="R22" s="126" t="str">
        <f>[1]EFIS!N30</f>
        <v>A</v>
      </c>
      <c r="S22" s="126" t="str">
        <f>[1]EFIS!AH30</f>
        <v>A</v>
      </c>
      <c r="T22" s="126" t="str">
        <f>[1]EFIS!AZ30</f>
        <v>A</v>
      </c>
      <c r="U22" s="126" t="str">
        <f>[1]EFIS!R30</f>
        <v>A</v>
      </c>
      <c r="V22" s="126" t="str">
        <f>[1]EFIS!AL30</f>
        <v>A</v>
      </c>
      <c r="W22" s="126" t="str">
        <f>[1]EFIS!BA30</f>
        <v>A</v>
      </c>
      <c r="X22" s="126" t="str">
        <f>[1]EFIS!V30</f>
        <v>A</v>
      </c>
      <c r="Y22" s="126" t="str">
        <f>[1]EFIS!AP30</f>
        <v>A</v>
      </c>
      <c r="Z22" s="126" t="str">
        <f>[1]EFIS!BB30</f>
        <v>A</v>
      </c>
      <c r="AA22" s="126" t="str">
        <f>[1]COMU!N30</f>
        <v>A</v>
      </c>
      <c r="AB22" s="126" t="str">
        <f>[1]COMU!AH30</f>
        <v>A</v>
      </c>
      <c r="AC22" s="126" t="str">
        <f>[1]COMU!AZ30</f>
        <v>A</v>
      </c>
      <c r="AD22" s="126" t="str">
        <f>[1]COMU!R30</f>
        <v>A</v>
      </c>
      <c r="AE22" s="126" t="str">
        <f>[1]COMU!AH30</f>
        <v>A</v>
      </c>
      <c r="AF22" s="126" t="str">
        <f>[1]COMU!BA30</f>
        <v>A</v>
      </c>
      <c r="AG22" s="126" t="str">
        <f>[1]COMU!V30</f>
        <v>B</v>
      </c>
      <c r="AH22" s="126" t="str">
        <f>[1]COMU!AP30</f>
        <v>A</v>
      </c>
      <c r="AI22" s="126" t="str">
        <f>[1]COMU!BB30</f>
        <v>A</v>
      </c>
      <c r="AJ22" s="126" t="str">
        <f>[1]ARTE!N30</f>
        <v>A</v>
      </c>
      <c r="AK22" s="126" t="str">
        <f>[1]ARTE!AH30</f>
        <v>A</v>
      </c>
      <c r="AL22" s="126" t="str">
        <f>[1]ARTE!AZ30</f>
        <v>A</v>
      </c>
      <c r="AM22" s="126" t="str">
        <f>[1]ARTE!R30</f>
        <v>A</v>
      </c>
      <c r="AN22" s="126" t="str">
        <f>[1]ARTE!AL30</f>
        <v>A</v>
      </c>
      <c r="AO22" s="126" t="str">
        <f>[1]ARTE!BA30</f>
        <v>A</v>
      </c>
      <c r="AP22" s="126" t="str">
        <f>[1]ING!N30</f>
        <v>A</v>
      </c>
      <c r="AQ22" s="126" t="str">
        <f>[1]ING!AH30</f>
        <v>A</v>
      </c>
      <c r="AR22" s="126" t="str">
        <f>[1]ING!AZ30</f>
        <v>A</v>
      </c>
      <c r="AS22" s="126" t="str">
        <f>[1]ING!R30</f>
        <v>B</v>
      </c>
      <c r="AT22" s="126" t="str">
        <f>[1]ING!AL30</f>
        <v>B</v>
      </c>
      <c r="AU22" s="126" t="str">
        <f>[1]ING!BA30</f>
        <v>B</v>
      </c>
      <c r="AV22" s="126" t="str">
        <f>[1]ING!V30</f>
        <v>A</v>
      </c>
      <c r="AW22" s="126" t="str">
        <f>[1]ING!AP30</f>
        <v>B</v>
      </c>
      <c r="AX22" s="126" t="str">
        <f>[1]ING!BB30</f>
        <v>A</v>
      </c>
      <c r="AY22" s="126" t="str">
        <f>[1]MATE!N30</f>
        <v>B</v>
      </c>
      <c r="AZ22" s="126" t="str">
        <f>[1]MATE!AH30</f>
        <v>C</v>
      </c>
      <c r="BA22" s="126" t="str">
        <f>[1]MATE!AZ30</f>
        <v>B</v>
      </c>
      <c r="BB22" s="126" t="str">
        <f>[1]MATE!R30</f>
        <v>B</v>
      </c>
      <c r="BC22" s="126" t="str">
        <f>[1]MATE!AL30</f>
        <v>A</v>
      </c>
      <c r="BD22" s="126" t="str">
        <f>[1]MATE!BA30</f>
        <v>A</v>
      </c>
      <c r="BE22" s="126" t="str">
        <f>[1]MATE!V30</f>
        <v>A</v>
      </c>
      <c r="BF22" s="126" t="str">
        <f>[1]MATE!AP30</f>
        <v>C</v>
      </c>
      <c r="BG22" s="126" t="str">
        <f>[1]MATE!BB30</f>
        <v>B</v>
      </c>
      <c r="BH22" s="126" t="str">
        <f>[1]MATE!Z30</f>
        <v>A</v>
      </c>
      <c r="BI22" s="126" t="str">
        <f>[1]MATE!AT30</f>
        <v>A</v>
      </c>
      <c r="BJ22" s="126" t="str">
        <f>[1]MATE!BC30</f>
        <v>A</v>
      </c>
      <c r="BK22" s="126" t="str">
        <f>[1]CTEC!N30</f>
        <v>B</v>
      </c>
      <c r="BL22" s="126" t="str">
        <f>[1]CTEC!AH30</f>
        <v>B</v>
      </c>
      <c r="BM22" s="126" t="str">
        <f>[1]CTEC!AZ30</f>
        <v>B</v>
      </c>
      <c r="BN22" s="126" t="str">
        <f>[1]CTEC!R30</f>
        <v>B</v>
      </c>
      <c r="BO22" s="126" t="str">
        <f>[1]CTEC!AL30</f>
        <v>A</v>
      </c>
      <c r="BP22" s="126" t="str">
        <f>[1]CTEC!BA30</f>
        <v>A</v>
      </c>
      <c r="BQ22" s="126" t="str">
        <f>[1]CTEC!V30</f>
        <v>B</v>
      </c>
      <c r="BR22" s="126" t="str">
        <f>[1]CTEC!AP30</f>
        <v>B</v>
      </c>
      <c r="BS22" s="126" t="str">
        <f>[1]CTEC!BB30</f>
        <v>B</v>
      </c>
      <c r="BT22" s="126" t="str">
        <f>[1]REL!N30</f>
        <v>A</v>
      </c>
      <c r="BU22" s="126" t="str">
        <f>[1]REL!AH30</f>
        <v>A</v>
      </c>
      <c r="BV22" s="126" t="str">
        <f>[1]REL!AZ30</f>
        <v>A</v>
      </c>
      <c r="BW22" s="126" t="str">
        <f>[1]REL!R30</f>
        <v>A</v>
      </c>
      <c r="BX22" s="126" t="str">
        <f>[1]REL!AL30</f>
        <v>A</v>
      </c>
      <c r="BY22" s="126" t="str">
        <f>[1]REL!BA30</f>
        <v>A</v>
      </c>
      <c r="BZ22" s="126" t="str">
        <f>[1]EMPR!N30</f>
        <v>A</v>
      </c>
      <c r="CA22" s="126" t="str">
        <f>[1]EMPR!AH30</f>
        <v>A</v>
      </c>
      <c r="CB22" s="126" t="str">
        <f>[1]EMPR!AZ30</f>
        <v>A</v>
      </c>
      <c r="CC22" s="126" t="str">
        <f>[1]COMPU!N30</f>
        <v>A</v>
      </c>
      <c r="CD22" s="126" t="str">
        <f>[1]COMPU!AH30</f>
        <v>A</v>
      </c>
      <c r="CE22" s="126" t="str">
        <f>[1]COMPU!AZ30</f>
        <v>A</v>
      </c>
      <c r="CF22" s="126" t="str">
        <f>[1]ROBOTI!N30</f>
        <v>A</v>
      </c>
      <c r="CG22" s="126" t="str">
        <f>[1]ROBOTI!AH30</f>
        <v>A</v>
      </c>
      <c r="CH22" s="126" t="str">
        <f>[1]ROBOTI!AZ30</f>
        <v>A</v>
      </c>
      <c r="CI22" s="126" t="str">
        <f>[1]APREPER!AL29</f>
        <v>A</v>
      </c>
      <c r="CJ22" s="127" t="str">
        <f>[1]APREPER!AM29</f>
        <v>A</v>
      </c>
      <c r="CK22" s="128" t="str">
        <f>[1]APREPER!I29</f>
        <v>X</v>
      </c>
      <c r="CL22" s="128">
        <f>[1]APREPER!J29</f>
        <v>0</v>
      </c>
      <c r="CM22" s="128">
        <f>[1]APREPER!K29</f>
        <v>0</v>
      </c>
      <c r="CN22" s="128">
        <f>[1]APREPER!L29</f>
        <v>0</v>
      </c>
      <c r="CO22" s="128" t="str">
        <f>[1]APREPER!M29</f>
        <v>X</v>
      </c>
      <c r="CP22" s="128">
        <f>[1]APREPER!N29</f>
        <v>0</v>
      </c>
      <c r="CQ22" s="128">
        <f>[1]APREPER!O29</f>
        <v>0</v>
      </c>
      <c r="CR22" s="128" t="str">
        <f>[1]APREPER!P29</f>
        <v>X</v>
      </c>
      <c r="CS22" s="128">
        <f>[1]APREPER!Q29</f>
        <v>0</v>
      </c>
      <c r="CT22" s="128" t="str">
        <f>[1]APREPER!R29</f>
        <v>X</v>
      </c>
      <c r="CU22" s="128">
        <f>[1]APREPER!S29</f>
        <v>0</v>
      </c>
      <c r="CV22" s="128">
        <f>[1]APREPER!T29</f>
        <v>0</v>
      </c>
      <c r="CW22" s="128" t="str">
        <f>[1]APREPER!U29</f>
        <v>X</v>
      </c>
      <c r="CX22" s="128">
        <f>[1]APREPER!V29</f>
        <v>0</v>
      </c>
      <c r="CY22" s="128">
        <f>[1]APREPER!W29</f>
        <v>0</v>
      </c>
      <c r="CZ22" s="128" t="str">
        <f>[1]APREPER!X29</f>
        <v>X</v>
      </c>
      <c r="DA22" s="128">
        <f>[1]APREPER!Y29</f>
        <v>0</v>
      </c>
      <c r="DB22" s="128">
        <f>[1]APREPER!Z29</f>
        <v>0</v>
      </c>
      <c r="DC22" s="128" t="str">
        <f>[1]APREPER!AA29</f>
        <v>X</v>
      </c>
      <c r="DD22" s="128">
        <f>[1]APREPER!AB29</f>
        <v>0</v>
      </c>
      <c r="DE22" s="128">
        <f>[1]APREPER!AC29</f>
        <v>0</v>
      </c>
      <c r="DF22" s="128" t="str">
        <f>[1]APREPER!AD29</f>
        <v>X</v>
      </c>
      <c r="DG22" s="128">
        <f>[1]APREPER!AE29</f>
        <v>0</v>
      </c>
      <c r="DH22" s="128">
        <f>[1]APREPER!AF29</f>
        <v>0</v>
      </c>
      <c r="DI22" s="128">
        <f>[1]APREPER!AG29</f>
        <v>0</v>
      </c>
      <c r="DJ22" s="128" t="str">
        <f>[1]APREPER!AH29</f>
        <v>X</v>
      </c>
      <c r="DK22" s="128">
        <f>[1]APREPER!AI29</f>
        <v>0</v>
      </c>
      <c r="DL22" s="128" t="str">
        <f>[1]APREPER!AJ29</f>
        <v>A</v>
      </c>
      <c r="DM22" s="128" t="str">
        <f>[1]APREPPFF!I29</f>
        <v>X</v>
      </c>
      <c r="DN22" s="128">
        <f>[1]APREPPFF!J29</f>
        <v>0</v>
      </c>
      <c r="DO22" s="128">
        <f>[1]APREPPFF!K29</f>
        <v>0</v>
      </c>
      <c r="DP22" s="128" t="str">
        <f>[1]APREPPFF!L29</f>
        <v>X</v>
      </c>
      <c r="DQ22" s="128">
        <f>[1]APREPPFF!M29</f>
        <v>0</v>
      </c>
      <c r="DR22" s="128">
        <f>[1]APREPPFF!N29</f>
        <v>0</v>
      </c>
      <c r="DS22" s="128" t="str">
        <f>[1]APREPPFF!O29</f>
        <v>X</v>
      </c>
      <c r="DT22" s="128">
        <f>[1]APREPPFF!P29</f>
        <v>0</v>
      </c>
      <c r="DU22" s="128">
        <f>[1]APREPPFF!Q29</f>
        <v>0</v>
      </c>
      <c r="DV22" s="128" t="str">
        <f>[1]APREPPFF!R29</f>
        <v>X</v>
      </c>
      <c r="DW22" s="128">
        <f>[1]APREPPFF!S29</f>
        <v>0</v>
      </c>
      <c r="DX22" s="128">
        <f>[1]APREPPFF!T29</f>
        <v>0</v>
      </c>
      <c r="DY22" s="128" t="str">
        <f>[1]APREPPFF!U29</f>
        <v>A</v>
      </c>
      <c r="DZ22" s="128">
        <f>[1]ASISTEN!$BS$4</f>
        <v>47</v>
      </c>
      <c r="EA22" s="129">
        <f>[1]ASISTEN!BT30</f>
        <v>1</v>
      </c>
      <c r="EB22" s="128">
        <f>[1]ASISTEN!BP30</f>
        <v>37</v>
      </c>
      <c r="EC22" s="128">
        <f>[1]ASISTEN!BQ30</f>
        <v>8</v>
      </c>
      <c r="ED22" s="128">
        <f>[1]ASISTEN!BR30</f>
        <v>2</v>
      </c>
      <c r="EE22" s="128">
        <f>[1]ASISTEN!BS30</f>
        <v>0</v>
      </c>
      <c r="EF22" s="130" t="str">
        <f>[1]APREPER!AN29</f>
        <v>Ha logrado avances importantes en varias competencias; sin embargo, aún requiere fortalecer algunos aprendizajes para alcanzar un desempeño más uniforme y seguro.</v>
      </c>
      <c r="EG22" s="128">
        <f t="shared" si="0"/>
        <v>149</v>
      </c>
      <c r="EH22" s="128">
        <f t="shared" si="1"/>
        <v>20</v>
      </c>
      <c r="EI22" s="128"/>
      <c r="EJ22" s="104">
        <f t="shared" si="2"/>
        <v>0</v>
      </c>
      <c r="EK22" s="104">
        <f t="shared" si="3"/>
        <v>65</v>
      </c>
      <c r="EL22" s="104">
        <f t="shared" si="4"/>
        <v>19</v>
      </c>
    </row>
    <row r="23" spans="1:142" ht="30" x14ac:dyDescent="0.25">
      <c r="A23" s="125">
        <v>19</v>
      </c>
      <c r="B23" s="102" t="s">
        <v>134</v>
      </c>
      <c r="C23" s="126" t="str">
        <f>[1]PERS!N31</f>
        <v>A</v>
      </c>
      <c r="D23" s="126" t="str">
        <f>[1]PERS!AH31</f>
        <v>A</v>
      </c>
      <c r="E23" s="126" t="str">
        <f>[1]PERS!AZ31</f>
        <v>A</v>
      </c>
      <c r="F23" s="126" t="str">
        <f>[1]PERS!R31</f>
        <v>A</v>
      </c>
      <c r="G23" s="126" t="str">
        <f>[1]PERS!AL31</f>
        <v>A</v>
      </c>
      <c r="H23" s="126" t="str">
        <f>[1]PERS!BA31</f>
        <v>A</v>
      </c>
      <c r="I23" s="126" t="str">
        <f>[1]PERS!V31</f>
        <v>A</v>
      </c>
      <c r="J23" s="126" t="str">
        <f>[1]PERS!AP31</f>
        <v>A</v>
      </c>
      <c r="K23" s="126" t="str">
        <f>[1]PERS!BB31</f>
        <v>A</v>
      </c>
      <c r="L23" s="126" t="str">
        <f>[1]PERS!Z31</f>
        <v>A</v>
      </c>
      <c r="M23" s="126" t="str">
        <f>[1]PERS!AT31</f>
        <v>A</v>
      </c>
      <c r="N23" s="126" t="str">
        <f>[1]PERS!BC31</f>
        <v>A</v>
      </c>
      <c r="O23" s="126" t="str">
        <f>[1]PERS!AD31</f>
        <v>A</v>
      </c>
      <c r="P23" s="126" t="str">
        <f>[1]PERS!AX31</f>
        <v>A</v>
      </c>
      <c r="Q23" s="126" t="str">
        <f>[1]PERS!BD31</f>
        <v>A</v>
      </c>
      <c r="R23" s="126" t="str">
        <f>[1]EFIS!N31</f>
        <v>A</v>
      </c>
      <c r="S23" s="126" t="str">
        <f>[1]EFIS!AH31</f>
        <v>A</v>
      </c>
      <c r="T23" s="126" t="str">
        <f>[1]EFIS!AZ31</f>
        <v>A</v>
      </c>
      <c r="U23" s="126" t="str">
        <f>[1]EFIS!R31</f>
        <v>A</v>
      </c>
      <c r="V23" s="126" t="str">
        <f>[1]EFIS!AL31</f>
        <v>A</v>
      </c>
      <c r="W23" s="126" t="str">
        <f>[1]EFIS!BA31</f>
        <v>A</v>
      </c>
      <c r="X23" s="126" t="str">
        <f>[1]EFIS!V31</f>
        <v>A</v>
      </c>
      <c r="Y23" s="126" t="str">
        <f>[1]EFIS!AP31</f>
        <v>A</v>
      </c>
      <c r="Z23" s="126" t="str">
        <f>[1]EFIS!BB31</f>
        <v>A</v>
      </c>
      <c r="AA23" s="126" t="str">
        <f>[1]COMU!N31</f>
        <v>A</v>
      </c>
      <c r="AB23" s="126" t="str">
        <f>[1]COMU!AH31</f>
        <v>A</v>
      </c>
      <c r="AC23" s="126" t="str">
        <f>[1]COMU!AZ31</f>
        <v>A</v>
      </c>
      <c r="AD23" s="126" t="str">
        <f>[1]COMU!R31</f>
        <v>A</v>
      </c>
      <c r="AE23" s="126" t="str">
        <f>[1]COMU!AH31</f>
        <v>A</v>
      </c>
      <c r="AF23" s="126" t="str">
        <f>[1]COMU!BA31</f>
        <v>A</v>
      </c>
      <c r="AG23" s="126" t="str">
        <f>[1]COMU!V31</f>
        <v>A</v>
      </c>
      <c r="AH23" s="126" t="str">
        <f>[1]COMU!AP31</f>
        <v>A</v>
      </c>
      <c r="AI23" s="126" t="str">
        <f>[1]COMU!BB31</f>
        <v>A</v>
      </c>
      <c r="AJ23" s="126" t="str">
        <f>[1]ARTE!N31</f>
        <v>A</v>
      </c>
      <c r="AK23" s="126" t="str">
        <f>[1]ARTE!AH31</f>
        <v>A</v>
      </c>
      <c r="AL23" s="126" t="str">
        <f>[1]ARTE!AZ31</f>
        <v>A</v>
      </c>
      <c r="AM23" s="126" t="str">
        <f>[1]ARTE!R31</f>
        <v>A</v>
      </c>
      <c r="AN23" s="126" t="str">
        <f>[1]ARTE!AL31</f>
        <v>A</v>
      </c>
      <c r="AO23" s="126" t="str">
        <f>[1]ARTE!BA31</f>
        <v>A</v>
      </c>
      <c r="AP23" s="126" t="str">
        <f>[1]ING!N31</f>
        <v>A</v>
      </c>
      <c r="AQ23" s="126" t="str">
        <f>[1]ING!AH31</f>
        <v>A</v>
      </c>
      <c r="AR23" s="126" t="str">
        <f>[1]ING!AZ31</f>
        <v>A</v>
      </c>
      <c r="AS23" s="126" t="str">
        <f>[1]ING!R31</f>
        <v>B</v>
      </c>
      <c r="AT23" s="126" t="str">
        <f>[1]ING!AL31</f>
        <v>A</v>
      </c>
      <c r="AU23" s="126" t="str">
        <f>[1]ING!BA31</f>
        <v>A</v>
      </c>
      <c r="AV23" s="126" t="str">
        <f>[1]ING!V31</f>
        <v>A</v>
      </c>
      <c r="AW23" s="126" t="str">
        <f>[1]ING!AP31</f>
        <v>A</v>
      </c>
      <c r="AX23" s="126" t="str">
        <f>[1]ING!BB31</f>
        <v>A</v>
      </c>
      <c r="AY23" s="126" t="str">
        <f>[1]MATE!N31</f>
        <v>A</v>
      </c>
      <c r="AZ23" s="126" t="str">
        <f>[1]MATE!AH31</f>
        <v>C</v>
      </c>
      <c r="BA23" s="126" t="str">
        <f>[1]MATE!AZ31</f>
        <v>B</v>
      </c>
      <c r="BB23" s="126" t="str">
        <f>[1]MATE!R31</f>
        <v>A</v>
      </c>
      <c r="BC23" s="126" t="str">
        <f>[1]MATE!AL31</f>
        <v>A</v>
      </c>
      <c r="BD23" s="126" t="str">
        <f>[1]MATE!BA31</f>
        <v>A</v>
      </c>
      <c r="BE23" s="126" t="str">
        <f>[1]MATE!V31</f>
        <v>A</v>
      </c>
      <c r="BF23" s="126" t="str">
        <f>[1]MATE!AP31</f>
        <v>B</v>
      </c>
      <c r="BG23" s="126" t="str">
        <f>[1]MATE!BB31</f>
        <v>A</v>
      </c>
      <c r="BH23" s="126" t="str">
        <f>[1]MATE!Z31</f>
        <v>A</v>
      </c>
      <c r="BI23" s="126" t="str">
        <f>[1]MATE!AT31</f>
        <v>A</v>
      </c>
      <c r="BJ23" s="126" t="str">
        <f>[1]MATE!BC31</f>
        <v>A</v>
      </c>
      <c r="BK23" s="126" t="str">
        <f>[1]CTEC!N31</f>
        <v>A</v>
      </c>
      <c r="BL23" s="126" t="str">
        <f>[1]CTEC!AH31</f>
        <v>A</v>
      </c>
      <c r="BM23" s="126" t="str">
        <f>[1]CTEC!AZ31</f>
        <v>A</v>
      </c>
      <c r="BN23" s="126" t="str">
        <f>[1]CTEC!R31</f>
        <v>A</v>
      </c>
      <c r="BO23" s="126" t="str">
        <f>[1]CTEC!AL31</f>
        <v>A</v>
      </c>
      <c r="BP23" s="126" t="str">
        <f>[1]CTEC!BA31</f>
        <v>A</v>
      </c>
      <c r="BQ23" s="126" t="str">
        <f>[1]CTEC!V31</f>
        <v>A</v>
      </c>
      <c r="BR23" s="126" t="str">
        <f>[1]CTEC!AP31</f>
        <v>A</v>
      </c>
      <c r="BS23" s="126" t="str">
        <f>[1]CTEC!BB31</f>
        <v>A</v>
      </c>
      <c r="BT23" s="126" t="str">
        <f>[1]REL!N31</f>
        <v>A</v>
      </c>
      <c r="BU23" s="126" t="str">
        <f>[1]REL!AH31</f>
        <v>A</v>
      </c>
      <c r="BV23" s="126" t="str">
        <f>[1]REL!AZ31</f>
        <v>A</v>
      </c>
      <c r="BW23" s="126" t="str">
        <f>[1]REL!R31</f>
        <v>A</v>
      </c>
      <c r="BX23" s="126" t="str">
        <f>[1]REL!AL31</f>
        <v>AD</v>
      </c>
      <c r="BY23" s="126" t="str">
        <f>[1]REL!BA31</f>
        <v>AD</v>
      </c>
      <c r="BZ23" s="126" t="str">
        <f>[1]EMPR!N31</f>
        <v>A</v>
      </c>
      <c r="CA23" s="126" t="str">
        <f>[1]EMPR!AH31</f>
        <v>A</v>
      </c>
      <c r="CB23" s="126" t="str">
        <f>[1]EMPR!AZ31</f>
        <v>A</v>
      </c>
      <c r="CC23" s="126" t="str">
        <f>[1]COMPU!N31</f>
        <v>A</v>
      </c>
      <c r="CD23" s="126" t="str">
        <f>[1]COMPU!AH31</f>
        <v>A</v>
      </c>
      <c r="CE23" s="126" t="str">
        <f>[1]COMPU!AZ31</f>
        <v>A</v>
      </c>
      <c r="CF23" s="126" t="str">
        <f>[1]ROBOTI!N31</f>
        <v>A</v>
      </c>
      <c r="CG23" s="126" t="str">
        <f>[1]ROBOTI!AH31</f>
        <v>A</v>
      </c>
      <c r="CH23" s="126" t="str">
        <f>[1]ROBOTI!AZ31</f>
        <v>A</v>
      </c>
      <c r="CI23" s="126" t="str">
        <f>[1]APREPER!AL30</f>
        <v>A</v>
      </c>
      <c r="CJ23" s="127" t="str">
        <f>[1]APREPER!AM30</f>
        <v>A</v>
      </c>
      <c r="CK23" s="128" t="str">
        <f>[1]APREPER!I30</f>
        <v>X</v>
      </c>
      <c r="CL23" s="128">
        <f>[1]APREPER!J30</f>
        <v>0</v>
      </c>
      <c r="CM23" s="128">
        <f>[1]APREPER!K30</f>
        <v>0</v>
      </c>
      <c r="CN23" s="128" t="str">
        <f>[1]APREPER!L30</f>
        <v>X</v>
      </c>
      <c r="CO23" s="128">
        <f>[1]APREPER!M30</f>
        <v>0</v>
      </c>
      <c r="CP23" s="128">
        <f>[1]APREPER!N30</f>
        <v>0</v>
      </c>
      <c r="CQ23" s="128" t="str">
        <f>[1]APREPER!O30</f>
        <v>X</v>
      </c>
      <c r="CR23" s="128">
        <f>[1]APREPER!P30</f>
        <v>0</v>
      </c>
      <c r="CS23" s="128">
        <f>[1]APREPER!Q30</f>
        <v>0</v>
      </c>
      <c r="CT23" s="128" t="str">
        <f>[1]APREPER!R30</f>
        <v>X</v>
      </c>
      <c r="CU23" s="128">
        <f>[1]APREPER!S30</f>
        <v>0</v>
      </c>
      <c r="CV23" s="128">
        <f>[1]APREPER!T30</f>
        <v>0</v>
      </c>
      <c r="CW23" s="128" t="str">
        <f>[1]APREPER!U30</f>
        <v>X</v>
      </c>
      <c r="CX23" s="128">
        <f>[1]APREPER!V30</f>
        <v>0</v>
      </c>
      <c r="CY23" s="128">
        <f>[1]APREPER!W30</f>
        <v>0</v>
      </c>
      <c r="CZ23" s="128" t="str">
        <f>[1]APREPER!X30</f>
        <v>X</v>
      </c>
      <c r="DA23" s="128">
        <f>[1]APREPER!Y30</f>
        <v>0</v>
      </c>
      <c r="DB23" s="128">
        <f>[1]APREPER!Z30</f>
        <v>0</v>
      </c>
      <c r="DC23" s="128" t="str">
        <f>[1]APREPER!AA30</f>
        <v>X</v>
      </c>
      <c r="DD23" s="128">
        <f>[1]APREPER!AB30</f>
        <v>0</v>
      </c>
      <c r="DE23" s="128">
        <f>[1]APREPER!AC30</f>
        <v>0</v>
      </c>
      <c r="DF23" s="128" t="str">
        <f>[1]APREPER!AD30</f>
        <v>X</v>
      </c>
      <c r="DG23" s="128">
        <f>[1]APREPER!AE30</f>
        <v>0</v>
      </c>
      <c r="DH23" s="128">
        <f>[1]APREPER!AF30</f>
        <v>0</v>
      </c>
      <c r="DI23" s="128" t="str">
        <f>[1]APREPER!AG30</f>
        <v>X</v>
      </c>
      <c r="DJ23" s="128">
        <f>[1]APREPER!AH30</f>
        <v>0</v>
      </c>
      <c r="DK23" s="128">
        <f>[1]APREPER!AI30</f>
        <v>0</v>
      </c>
      <c r="DL23" s="128" t="str">
        <f>[1]APREPER!AJ30</f>
        <v>A</v>
      </c>
      <c r="DM23" s="128" t="str">
        <f>[1]APREPPFF!I30</f>
        <v>X</v>
      </c>
      <c r="DN23" s="128">
        <f>[1]APREPPFF!J30</f>
        <v>0</v>
      </c>
      <c r="DO23" s="128">
        <f>[1]APREPPFF!K30</f>
        <v>0</v>
      </c>
      <c r="DP23" s="128" t="str">
        <f>[1]APREPPFF!L30</f>
        <v>X</v>
      </c>
      <c r="DQ23" s="128">
        <f>[1]APREPPFF!M30</f>
        <v>0</v>
      </c>
      <c r="DR23" s="128">
        <f>[1]APREPPFF!N30</f>
        <v>0</v>
      </c>
      <c r="DS23" s="128" t="str">
        <f>[1]APREPPFF!O30</f>
        <v>X</v>
      </c>
      <c r="DT23" s="128">
        <f>[1]APREPPFF!P30</f>
        <v>0</v>
      </c>
      <c r="DU23" s="128">
        <f>[1]APREPPFF!Q30</f>
        <v>0</v>
      </c>
      <c r="DV23" s="128">
        <f>[1]APREPPFF!R30</f>
        <v>0</v>
      </c>
      <c r="DW23" s="128" t="str">
        <f>[1]APREPPFF!S30</f>
        <v>X</v>
      </c>
      <c r="DX23" s="128">
        <f>[1]APREPPFF!T30</f>
        <v>0</v>
      </c>
      <c r="DY23" s="128" t="str">
        <f>[1]APREPPFF!U30</f>
        <v>A</v>
      </c>
      <c r="DZ23" s="128">
        <f>[1]ASISTEN!$BS$4</f>
        <v>47</v>
      </c>
      <c r="EA23" s="129">
        <f>[1]ASISTEN!BT31</f>
        <v>1</v>
      </c>
      <c r="EB23" s="128">
        <f>[1]ASISTEN!BP31</f>
        <v>45</v>
      </c>
      <c r="EC23" s="128">
        <f>[1]ASISTEN!BQ31</f>
        <v>2</v>
      </c>
      <c r="ED23" s="128">
        <f>[1]ASISTEN!BR31</f>
        <v>0</v>
      </c>
      <c r="EE23" s="128">
        <f>[1]ASISTEN!BS31</f>
        <v>0</v>
      </c>
      <c r="EF23" s="130" t="str">
        <f>[1]APREPER!AN30</f>
        <v>Mantiene un rendimiento satisfactorio en todas las competencias evaluadas, demostrando responsabilidad, compromiso y un adecuado desarrollo de sus aprendizajes.</v>
      </c>
      <c r="EG23" s="128">
        <f t="shared" si="0"/>
        <v>169</v>
      </c>
      <c r="EH23" s="128">
        <f t="shared" si="1"/>
        <v>7</v>
      </c>
      <c r="EI23" s="128"/>
      <c r="EJ23" s="104">
        <f t="shared" si="2"/>
        <v>2</v>
      </c>
      <c r="EK23" s="104">
        <f t="shared" si="3"/>
        <v>80</v>
      </c>
      <c r="EL23" s="104">
        <f t="shared" si="4"/>
        <v>3</v>
      </c>
    </row>
    <row r="24" spans="1:142" ht="30" x14ac:dyDescent="0.25">
      <c r="A24" s="125">
        <v>20</v>
      </c>
      <c r="B24" s="102" t="s">
        <v>135</v>
      </c>
      <c r="C24" s="126" t="str">
        <f>[1]PERS!N32</f>
        <v>B</v>
      </c>
      <c r="D24" s="126" t="str">
        <f>[1]PERS!AH32</f>
        <v>B</v>
      </c>
      <c r="E24" s="126" t="str">
        <f>[1]PERS!AZ32</f>
        <v>B</v>
      </c>
      <c r="F24" s="126" t="str">
        <f>[1]PERS!R32</f>
        <v>B</v>
      </c>
      <c r="G24" s="126" t="str">
        <f>[1]PERS!AL32</f>
        <v>A</v>
      </c>
      <c r="H24" s="126" t="str">
        <f>[1]PERS!BA32</f>
        <v>A</v>
      </c>
      <c r="I24" s="126" t="str">
        <f>[1]PERS!V32</f>
        <v>B</v>
      </c>
      <c r="J24" s="126" t="str">
        <f>[1]PERS!AP32</f>
        <v>A</v>
      </c>
      <c r="K24" s="126" t="str">
        <f>[1]PERS!BB32</f>
        <v>A</v>
      </c>
      <c r="L24" s="126" t="str">
        <f>[1]PERS!Z32</f>
        <v>A</v>
      </c>
      <c r="M24" s="126" t="str">
        <f>[1]PERS!AT32</f>
        <v>B</v>
      </c>
      <c r="N24" s="126" t="str">
        <f>[1]PERS!BC32</f>
        <v>A</v>
      </c>
      <c r="O24" s="126" t="str">
        <f>[1]PERS!AD32</f>
        <v>A</v>
      </c>
      <c r="P24" s="126" t="str">
        <f>[1]PERS!AX32</f>
        <v>B</v>
      </c>
      <c r="Q24" s="126" t="str">
        <f>[1]PERS!BD32</f>
        <v>A</v>
      </c>
      <c r="R24" s="126" t="str">
        <f>[1]EFIS!N32</f>
        <v>A</v>
      </c>
      <c r="S24" s="126" t="str">
        <f>[1]EFIS!AH32</f>
        <v>A</v>
      </c>
      <c r="T24" s="126" t="str">
        <f>[1]EFIS!AZ32</f>
        <v>A</v>
      </c>
      <c r="U24" s="126" t="str">
        <f>[1]EFIS!R32</f>
        <v>A</v>
      </c>
      <c r="V24" s="126" t="str">
        <f>[1]EFIS!AL32</f>
        <v>A</v>
      </c>
      <c r="W24" s="126" t="str">
        <f>[1]EFIS!BA32</f>
        <v>A</v>
      </c>
      <c r="X24" s="126" t="str">
        <f>[1]EFIS!V32</f>
        <v>A</v>
      </c>
      <c r="Y24" s="126" t="str">
        <f>[1]EFIS!AP32</f>
        <v>A</v>
      </c>
      <c r="Z24" s="126" t="str">
        <f>[1]EFIS!BB32</f>
        <v>A</v>
      </c>
      <c r="AA24" s="126" t="str">
        <f>[1]COMU!N32</f>
        <v>A</v>
      </c>
      <c r="AB24" s="126" t="str">
        <f>[1]COMU!AH32</f>
        <v>A</v>
      </c>
      <c r="AC24" s="126" t="str">
        <f>[1]COMU!AZ32</f>
        <v>A</v>
      </c>
      <c r="AD24" s="126" t="str">
        <f>[1]COMU!R32</f>
        <v>A</v>
      </c>
      <c r="AE24" s="126" t="str">
        <f>[1]COMU!AH32</f>
        <v>A</v>
      </c>
      <c r="AF24" s="126" t="str">
        <f>[1]COMU!BA32</f>
        <v>A</v>
      </c>
      <c r="AG24" s="126" t="str">
        <f>[1]COMU!V32</f>
        <v>B</v>
      </c>
      <c r="AH24" s="126" t="str">
        <f>[1]COMU!AP32</f>
        <v>B</v>
      </c>
      <c r="AI24" s="126" t="str">
        <f>[1]COMU!BB32</f>
        <v>B</v>
      </c>
      <c r="AJ24" s="126" t="str">
        <f>[1]ARTE!N32</f>
        <v>A</v>
      </c>
      <c r="AK24" s="126" t="str">
        <f>[1]ARTE!AH32</f>
        <v>A</v>
      </c>
      <c r="AL24" s="126" t="str">
        <f>[1]ARTE!AZ32</f>
        <v>A</v>
      </c>
      <c r="AM24" s="126" t="str">
        <f>[1]ARTE!R32</f>
        <v>A</v>
      </c>
      <c r="AN24" s="126" t="str">
        <f>[1]ARTE!AL32</f>
        <v>A</v>
      </c>
      <c r="AO24" s="126" t="str">
        <f>[1]ARTE!BA32</f>
        <v>A</v>
      </c>
      <c r="AP24" s="126" t="str">
        <f>[1]ING!N32</f>
        <v>B</v>
      </c>
      <c r="AQ24" s="126" t="str">
        <f>[1]ING!AH32</f>
        <v>A</v>
      </c>
      <c r="AR24" s="126" t="str">
        <f>[1]ING!AZ32</f>
        <v>A</v>
      </c>
      <c r="AS24" s="126" t="str">
        <f>[1]ING!R32</f>
        <v>B</v>
      </c>
      <c r="AT24" s="126" t="str">
        <f>[1]ING!AL32</f>
        <v>B</v>
      </c>
      <c r="AU24" s="126" t="str">
        <f>[1]ING!BA32</f>
        <v>B</v>
      </c>
      <c r="AV24" s="126" t="str">
        <f>[1]ING!V32</f>
        <v>B</v>
      </c>
      <c r="AW24" s="126" t="str">
        <f>[1]ING!AP32</f>
        <v>B</v>
      </c>
      <c r="AX24" s="126" t="str">
        <f>[1]ING!BB32</f>
        <v>B</v>
      </c>
      <c r="AY24" s="126" t="str">
        <f>[1]MATE!N32</f>
        <v>B</v>
      </c>
      <c r="AZ24" s="126" t="str">
        <f>[1]MATE!AH32</f>
        <v>B</v>
      </c>
      <c r="BA24" s="126" t="str">
        <f>[1]MATE!AZ32</f>
        <v>B</v>
      </c>
      <c r="BB24" s="126" t="str">
        <f>[1]MATE!R32</f>
        <v>A</v>
      </c>
      <c r="BC24" s="126" t="str">
        <f>[1]MATE!AL32</f>
        <v>A</v>
      </c>
      <c r="BD24" s="126" t="str">
        <f>[1]MATE!BA32</f>
        <v>A</v>
      </c>
      <c r="BE24" s="126" t="str">
        <f>[1]MATE!V32</f>
        <v>A</v>
      </c>
      <c r="BF24" s="126" t="str">
        <f>[1]MATE!AP32</f>
        <v>B</v>
      </c>
      <c r="BG24" s="126" t="str">
        <f>[1]MATE!BB32</f>
        <v>A</v>
      </c>
      <c r="BH24" s="126" t="str">
        <f>[1]MATE!Z32</f>
        <v>A</v>
      </c>
      <c r="BI24" s="126" t="str">
        <f>[1]MATE!AT32</f>
        <v>A</v>
      </c>
      <c r="BJ24" s="126" t="str">
        <f>[1]MATE!BC32</f>
        <v>A</v>
      </c>
      <c r="BK24" s="126" t="str">
        <f>[1]CTEC!N32</f>
        <v>B</v>
      </c>
      <c r="BL24" s="126" t="str">
        <f>[1]CTEC!AH32</f>
        <v>A</v>
      </c>
      <c r="BM24" s="126" t="str">
        <f>[1]CTEC!AZ32</f>
        <v>A</v>
      </c>
      <c r="BN24" s="126" t="str">
        <f>[1]CTEC!R32</f>
        <v>B</v>
      </c>
      <c r="BO24" s="126" t="str">
        <f>[1]CTEC!AL32</f>
        <v>B</v>
      </c>
      <c r="BP24" s="126" t="str">
        <f>[1]CTEC!BA32</f>
        <v>B</v>
      </c>
      <c r="BQ24" s="126" t="str">
        <f>[1]CTEC!V32</f>
        <v>A</v>
      </c>
      <c r="BR24" s="126" t="str">
        <f>[1]CTEC!AP32</f>
        <v>A</v>
      </c>
      <c r="BS24" s="126" t="str">
        <f>[1]CTEC!BB32</f>
        <v>A</v>
      </c>
      <c r="BT24" s="126" t="str">
        <f>[1]REL!N32</f>
        <v>A</v>
      </c>
      <c r="BU24" s="126" t="str">
        <f>[1]REL!AH32</f>
        <v>A</v>
      </c>
      <c r="BV24" s="126" t="str">
        <f>[1]REL!AZ32</f>
        <v>A</v>
      </c>
      <c r="BW24" s="126" t="str">
        <f>[1]REL!R32</f>
        <v>A</v>
      </c>
      <c r="BX24" s="126" t="str">
        <f>[1]REL!AL32</f>
        <v>A</v>
      </c>
      <c r="BY24" s="126" t="str">
        <f>[1]REL!BA32</f>
        <v>A</v>
      </c>
      <c r="BZ24" s="126" t="str">
        <f>[1]EMPR!N32</f>
        <v>A</v>
      </c>
      <c r="CA24" s="126" t="str">
        <f>[1]EMPR!AH32</f>
        <v>A</v>
      </c>
      <c r="CB24" s="126" t="str">
        <f>[1]EMPR!AZ32</f>
        <v>A</v>
      </c>
      <c r="CC24" s="126" t="str">
        <f>[1]COMPU!N32</f>
        <v>A</v>
      </c>
      <c r="CD24" s="126" t="str">
        <f>[1]COMPU!AH32</f>
        <v>A</v>
      </c>
      <c r="CE24" s="126" t="str">
        <f>[1]COMPU!AZ32</f>
        <v>A</v>
      </c>
      <c r="CF24" s="126" t="str">
        <f>[1]ROBOTI!N32</f>
        <v>A</v>
      </c>
      <c r="CG24" s="126" t="str">
        <f>[1]ROBOTI!AH32</f>
        <v>A</v>
      </c>
      <c r="CH24" s="126" t="str">
        <f>[1]ROBOTI!AZ32</f>
        <v>A</v>
      </c>
      <c r="CI24" s="126" t="str">
        <f>[1]APREPER!AL31</f>
        <v>A</v>
      </c>
      <c r="CJ24" s="127" t="str">
        <f>[1]APREPER!AM31</f>
        <v>A</v>
      </c>
      <c r="CK24" s="128" t="str">
        <f>[1]APREPER!I31</f>
        <v>X</v>
      </c>
      <c r="CL24" s="128">
        <f>[1]APREPER!J31</f>
        <v>0</v>
      </c>
      <c r="CM24" s="128">
        <f>[1]APREPER!K31</f>
        <v>0</v>
      </c>
      <c r="CN24" s="128" t="str">
        <f>[1]APREPER!L31</f>
        <v>X</v>
      </c>
      <c r="CO24" s="128">
        <f>[1]APREPER!M31</f>
        <v>0</v>
      </c>
      <c r="CP24" s="128">
        <f>[1]APREPER!N31</f>
        <v>0</v>
      </c>
      <c r="CQ24" s="128" t="str">
        <f>[1]APREPER!O31</f>
        <v>X</v>
      </c>
      <c r="CR24" s="128">
        <f>[1]APREPER!P31</f>
        <v>0</v>
      </c>
      <c r="CS24" s="128">
        <f>[1]APREPER!Q31</f>
        <v>0</v>
      </c>
      <c r="CT24" s="128">
        <f>[1]APREPER!R31</f>
        <v>0</v>
      </c>
      <c r="CU24" s="128" t="str">
        <f>[1]APREPER!S31</f>
        <v>X</v>
      </c>
      <c r="CV24" s="128">
        <f>[1]APREPER!T31</f>
        <v>0</v>
      </c>
      <c r="CW24" s="128" t="str">
        <f>[1]APREPER!U31</f>
        <v>X</v>
      </c>
      <c r="CX24" s="128">
        <f>[1]APREPER!V31</f>
        <v>0</v>
      </c>
      <c r="CY24" s="128">
        <f>[1]APREPER!W31</f>
        <v>0</v>
      </c>
      <c r="CZ24" s="128" t="str">
        <f>[1]APREPER!X31</f>
        <v>X</v>
      </c>
      <c r="DA24" s="128">
        <f>[1]APREPER!Y31</f>
        <v>0</v>
      </c>
      <c r="DB24" s="128">
        <f>[1]APREPER!Z31</f>
        <v>0</v>
      </c>
      <c r="DC24" s="128" t="str">
        <f>[1]APREPER!AA31</f>
        <v>X</v>
      </c>
      <c r="DD24" s="128">
        <f>[1]APREPER!AB31</f>
        <v>0</v>
      </c>
      <c r="DE24" s="128">
        <f>[1]APREPER!AC31</f>
        <v>0</v>
      </c>
      <c r="DF24" s="128" t="str">
        <f>[1]APREPER!AD31</f>
        <v>X</v>
      </c>
      <c r="DG24" s="128">
        <f>[1]APREPER!AE31</f>
        <v>0</v>
      </c>
      <c r="DH24" s="128">
        <f>[1]APREPER!AF31</f>
        <v>0</v>
      </c>
      <c r="DI24" s="128">
        <f>[1]APREPER!AG31</f>
        <v>0</v>
      </c>
      <c r="DJ24" s="128" t="str">
        <f>[1]APREPER!AH31</f>
        <v>X</v>
      </c>
      <c r="DK24" s="128">
        <f>[1]APREPER!AI31</f>
        <v>0</v>
      </c>
      <c r="DL24" s="128" t="str">
        <f>[1]APREPER!AJ31</f>
        <v>A</v>
      </c>
      <c r="DM24" s="128" t="str">
        <f>[1]APREPPFF!I31</f>
        <v>X</v>
      </c>
      <c r="DN24" s="128">
        <f>[1]APREPPFF!J31</f>
        <v>0</v>
      </c>
      <c r="DO24" s="128">
        <f>[1]APREPPFF!K31</f>
        <v>0</v>
      </c>
      <c r="DP24" s="128" t="str">
        <f>[1]APREPPFF!L31</f>
        <v>X</v>
      </c>
      <c r="DQ24" s="128">
        <f>[1]APREPPFF!M31</f>
        <v>0</v>
      </c>
      <c r="DR24" s="128">
        <f>[1]APREPPFF!N31</f>
        <v>0</v>
      </c>
      <c r="DS24" s="128" t="str">
        <f>[1]APREPPFF!O31</f>
        <v>X</v>
      </c>
      <c r="DT24" s="128">
        <f>[1]APREPPFF!P31</f>
        <v>0</v>
      </c>
      <c r="DU24" s="128">
        <f>[1]APREPPFF!Q31</f>
        <v>0</v>
      </c>
      <c r="DV24" s="128" t="str">
        <f>[1]APREPPFF!R31</f>
        <v>X</v>
      </c>
      <c r="DW24" s="128">
        <f>[1]APREPPFF!S31</f>
        <v>0</v>
      </c>
      <c r="DX24" s="128">
        <f>[1]APREPPFF!T31</f>
        <v>0</v>
      </c>
      <c r="DY24" s="128" t="str">
        <f>[1]APREPPFF!U31</f>
        <v>A</v>
      </c>
      <c r="DZ24" s="128">
        <f>[1]ASISTEN!$BS$4</f>
        <v>47</v>
      </c>
      <c r="EA24" s="129">
        <f>[1]ASISTEN!BT32</f>
        <v>1</v>
      </c>
      <c r="EB24" s="128">
        <f>[1]ASISTEN!BP32</f>
        <v>45</v>
      </c>
      <c r="EC24" s="128">
        <f>[1]ASISTEN!BQ32</f>
        <v>2</v>
      </c>
      <c r="ED24" s="128">
        <f>[1]ASISTEN!BR32</f>
        <v>0</v>
      </c>
      <c r="EE24" s="128">
        <f>[1]ASISTEN!BS32</f>
        <v>0</v>
      </c>
      <c r="EF24" s="132" t="str">
        <f>[1]APREPER!AN31</f>
        <v>Ha logrado avances importantes en varias competencias; sin embargo, aún requiere fortalecer algunos aprendizajes para alcanzar un desempeño más uniforme y seguro.</v>
      </c>
      <c r="EG24" s="128">
        <f t="shared" si="0"/>
        <v>147</v>
      </c>
      <c r="EH24" s="128">
        <f t="shared" si="1"/>
        <v>22</v>
      </c>
      <c r="EI24" s="128"/>
      <c r="EJ24" s="104">
        <f t="shared" si="2"/>
        <v>0</v>
      </c>
      <c r="EK24" s="104">
        <f t="shared" si="3"/>
        <v>61</v>
      </c>
      <c r="EL24" s="104">
        <f t="shared" si="4"/>
        <v>25</v>
      </c>
    </row>
    <row r="25" spans="1:142" ht="30" x14ac:dyDescent="0.25">
      <c r="A25" s="125">
        <v>21</v>
      </c>
      <c r="B25" s="102" t="s">
        <v>136</v>
      </c>
      <c r="C25" s="126" t="str">
        <f>[1]PERS!N33</f>
        <v>B</v>
      </c>
      <c r="D25" s="126" t="str">
        <f>[1]PERS!AH33</f>
        <v>A</v>
      </c>
      <c r="E25" s="126" t="str">
        <f>[1]PERS!AZ33</f>
        <v>A</v>
      </c>
      <c r="F25" s="126" t="str">
        <f>[1]PERS!R33</f>
        <v>A</v>
      </c>
      <c r="G25" s="126" t="str">
        <f>[1]PERS!AL33</f>
        <v>A</v>
      </c>
      <c r="H25" s="126" t="str">
        <f>[1]PERS!BA33</f>
        <v>A</v>
      </c>
      <c r="I25" s="126" t="str">
        <f>[1]PERS!V33</f>
        <v>A</v>
      </c>
      <c r="J25" s="126" t="str">
        <f>[1]PERS!AP33</f>
        <v>A</v>
      </c>
      <c r="K25" s="126" t="str">
        <f>[1]PERS!BB33</f>
        <v>A</v>
      </c>
      <c r="L25" s="126" t="str">
        <f>[1]PERS!Z33</f>
        <v>A</v>
      </c>
      <c r="M25" s="126" t="str">
        <f>[1]PERS!AT33</f>
        <v>A</v>
      </c>
      <c r="N25" s="126" t="str">
        <f>[1]PERS!BC33</f>
        <v>A</v>
      </c>
      <c r="O25" s="126" t="str">
        <f>[1]PERS!AD33</f>
        <v>A</v>
      </c>
      <c r="P25" s="126" t="str">
        <f>[1]PERS!AX33</f>
        <v>A</v>
      </c>
      <c r="Q25" s="126" t="str">
        <f>[1]PERS!BD33</f>
        <v>A</v>
      </c>
      <c r="R25" s="126" t="str">
        <f>[1]EFIS!N33</f>
        <v>A</v>
      </c>
      <c r="S25" s="126" t="str">
        <f>[1]EFIS!AH33</f>
        <v>A</v>
      </c>
      <c r="T25" s="126" t="str">
        <f>[1]EFIS!AZ33</f>
        <v>A</v>
      </c>
      <c r="U25" s="126" t="str">
        <f>[1]EFIS!R33</f>
        <v>A</v>
      </c>
      <c r="V25" s="126" t="str">
        <f>[1]EFIS!AL33</f>
        <v>A</v>
      </c>
      <c r="W25" s="126" t="str">
        <f>[1]EFIS!BA33</f>
        <v>A</v>
      </c>
      <c r="X25" s="126" t="str">
        <f>[1]EFIS!V33</f>
        <v>A</v>
      </c>
      <c r="Y25" s="126" t="str">
        <f>[1]EFIS!AP33</f>
        <v>A</v>
      </c>
      <c r="Z25" s="126" t="str">
        <f>[1]EFIS!BB33</f>
        <v>A</v>
      </c>
      <c r="AA25" s="126" t="str">
        <f>[1]COMU!N33</f>
        <v>A</v>
      </c>
      <c r="AB25" s="126" t="str">
        <f>[1]COMU!AH33</f>
        <v>A</v>
      </c>
      <c r="AC25" s="126" t="str">
        <f>[1]COMU!AZ33</f>
        <v>A</v>
      </c>
      <c r="AD25" s="126" t="str">
        <f>[1]COMU!R33</f>
        <v>A</v>
      </c>
      <c r="AE25" s="126" t="str">
        <f>[1]COMU!AH33</f>
        <v>A</v>
      </c>
      <c r="AF25" s="126" t="str">
        <f>[1]COMU!BA33</f>
        <v>A</v>
      </c>
      <c r="AG25" s="126" t="str">
        <f>[1]COMU!V33</f>
        <v>B</v>
      </c>
      <c r="AH25" s="126" t="str">
        <f>[1]COMU!AP33</f>
        <v>A</v>
      </c>
      <c r="AI25" s="126" t="str">
        <f>[1]COMU!BB33</f>
        <v>A</v>
      </c>
      <c r="AJ25" s="126" t="str">
        <f>[1]ARTE!N33</f>
        <v>A</v>
      </c>
      <c r="AK25" s="126" t="str">
        <f>[1]ARTE!AH33</f>
        <v>A</v>
      </c>
      <c r="AL25" s="126" t="str">
        <f>[1]ARTE!AZ33</f>
        <v>A</v>
      </c>
      <c r="AM25" s="126" t="str">
        <f>[1]ARTE!R33</f>
        <v>A</v>
      </c>
      <c r="AN25" s="126" t="str">
        <f>[1]ARTE!AL33</f>
        <v>A</v>
      </c>
      <c r="AO25" s="126" t="str">
        <f>[1]ARTE!BA33</f>
        <v>A</v>
      </c>
      <c r="AP25" s="126" t="str">
        <f>[1]ING!N33</f>
        <v>A</v>
      </c>
      <c r="AQ25" s="126" t="str">
        <f>[1]ING!AH33</f>
        <v>A</v>
      </c>
      <c r="AR25" s="126" t="str">
        <f>[1]ING!AZ33</f>
        <v>A</v>
      </c>
      <c r="AS25" s="126" t="str">
        <f>[1]ING!R33</f>
        <v>A</v>
      </c>
      <c r="AT25" s="126" t="str">
        <f>[1]ING!AL33</f>
        <v>A</v>
      </c>
      <c r="AU25" s="126" t="str">
        <f>[1]ING!BA33</f>
        <v>A</v>
      </c>
      <c r="AV25" s="126" t="str">
        <f>[1]ING!V33</f>
        <v>A</v>
      </c>
      <c r="AW25" s="126" t="str">
        <f>[1]ING!AP33</f>
        <v>A</v>
      </c>
      <c r="AX25" s="126" t="str">
        <f>[1]ING!BB33</f>
        <v>A</v>
      </c>
      <c r="AY25" s="126" t="str">
        <f>[1]MATE!N33</f>
        <v>C</v>
      </c>
      <c r="AZ25" s="126" t="str">
        <f>[1]MATE!AH33</f>
        <v>C</v>
      </c>
      <c r="BA25" s="126" t="str">
        <f>[1]MATE!AZ33</f>
        <v>C</v>
      </c>
      <c r="BB25" s="126" t="str">
        <f>[1]MATE!R33</f>
        <v>B</v>
      </c>
      <c r="BC25" s="126" t="str">
        <f>[1]MATE!AL33</f>
        <v>C</v>
      </c>
      <c r="BD25" s="126" t="str">
        <f>[1]MATE!BA33</f>
        <v>B</v>
      </c>
      <c r="BE25" s="126" t="str">
        <f>[1]MATE!V33</f>
        <v>C</v>
      </c>
      <c r="BF25" s="126" t="str">
        <f>[1]MATE!AP33</f>
        <v>B</v>
      </c>
      <c r="BG25" s="126" t="str">
        <f>[1]MATE!BB33</f>
        <v>B</v>
      </c>
      <c r="BH25" s="126" t="str">
        <f>[1]MATE!Z33</f>
        <v>A</v>
      </c>
      <c r="BI25" s="126" t="str">
        <f>[1]MATE!AT33</f>
        <v>A</v>
      </c>
      <c r="BJ25" s="126" t="str">
        <f>[1]MATE!BC33</f>
        <v>A</v>
      </c>
      <c r="BK25" s="126" t="str">
        <f>[1]CTEC!N33</f>
        <v>B</v>
      </c>
      <c r="BL25" s="126" t="str">
        <f>[1]CTEC!AH33</f>
        <v>A</v>
      </c>
      <c r="BM25" s="126" t="str">
        <f>[1]CTEC!AZ33</f>
        <v>A</v>
      </c>
      <c r="BN25" s="126" t="str">
        <f>[1]CTEC!R33</f>
        <v>A</v>
      </c>
      <c r="BO25" s="126" t="str">
        <f>[1]CTEC!AL33</f>
        <v>B</v>
      </c>
      <c r="BP25" s="126" t="str">
        <f>[1]CTEC!BA33</f>
        <v>A</v>
      </c>
      <c r="BQ25" s="126" t="str">
        <f>[1]CTEC!V33</f>
        <v>B</v>
      </c>
      <c r="BR25" s="126" t="str">
        <f>[1]CTEC!AP33</f>
        <v>B</v>
      </c>
      <c r="BS25" s="126" t="str">
        <f>[1]CTEC!BB33</f>
        <v>B</v>
      </c>
      <c r="BT25" s="126" t="str">
        <f>[1]REL!N33</f>
        <v>A</v>
      </c>
      <c r="BU25" s="126" t="str">
        <f>[1]REL!AH33</f>
        <v>A</v>
      </c>
      <c r="BV25" s="126" t="str">
        <f>[1]REL!AZ33</f>
        <v>A</v>
      </c>
      <c r="BW25" s="126" t="str">
        <f>[1]REL!R33</f>
        <v>A</v>
      </c>
      <c r="BX25" s="126" t="str">
        <f>[1]REL!AL33</f>
        <v>A</v>
      </c>
      <c r="BY25" s="126" t="str">
        <f>[1]REL!BA33</f>
        <v>A</v>
      </c>
      <c r="BZ25" s="126" t="str">
        <f>[1]EMPR!N33</f>
        <v>A</v>
      </c>
      <c r="CA25" s="126" t="str">
        <f>[1]EMPR!AH33</f>
        <v>A</v>
      </c>
      <c r="CB25" s="126" t="str">
        <f>[1]EMPR!AZ33</f>
        <v>A</v>
      </c>
      <c r="CC25" s="126" t="str">
        <f>[1]COMPU!N33</f>
        <v>A</v>
      </c>
      <c r="CD25" s="126" t="str">
        <f>[1]COMPU!AH33</f>
        <v>A</v>
      </c>
      <c r="CE25" s="126" t="str">
        <f>[1]COMPU!AZ33</f>
        <v>A</v>
      </c>
      <c r="CF25" s="126" t="str">
        <f>[1]ROBOTI!N33</f>
        <v>A</v>
      </c>
      <c r="CG25" s="126" t="str">
        <f>[1]ROBOTI!AH33</f>
        <v>A</v>
      </c>
      <c r="CH25" s="126" t="str">
        <f>[1]ROBOTI!AZ33</f>
        <v>A</v>
      </c>
      <c r="CI25" s="126" t="str">
        <f>[1]APREPER!AL32</f>
        <v>A</v>
      </c>
      <c r="CJ25" s="127" t="str">
        <f>[1]APREPER!AM32</f>
        <v>A</v>
      </c>
      <c r="CK25" s="128" t="str">
        <f>[1]APREPER!I32</f>
        <v>X</v>
      </c>
      <c r="CL25" s="128">
        <f>[1]APREPER!J32</f>
        <v>0</v>
      </c>
      <c r="CM25" s="128">
        <f>[1]APREPER!K32</f>
        <v>0</v>
      </c>
      <c r="CN25" s="128" t="str">
        <f>[1]APREPER!L32</f>
        <v>X</v>
      </c>
      <c r="CO25" s="128">
        <f>[1]APREPER!M32</f>
        <v>0</v>
      </c>
      <c r="CP25" s="128">
        <f>[1]APREPER!N32</f>
        <v>0</v>
      </c>
      <c r="CQ25" s="128" t="str">
        <f>[1]APREPER!O32</f>
        <v>X</v>
      </c>
      <c r="CR25" s="128">
        <f>[1]APREPER!P32</f>
        <v>0</v>
      </c>
      <c r="CS25" s="128">
        <f>[1]APREPER!Q32</f>
        <v>0</v>
      </c>
      <c r="CT25" s="128" t="str">
        <f>[1]APREPER!R32</f>
        <v>X</v>
      </c>
      <c r="CU25" s="128">
        <f>[1]APREPER!S32</f>
        <v>0</v>
      </c>
      <c r="CV25" s="128">
        <f>[1]APREPER!T32</f>
        <v>0</v>
      </c>
      <c r="CW25" s="128" t="str">
        <f>[1]APREPER!U32</f>
        <v>X</v>
      </c>
      <c r="CX25" s="128">
        <f>[1]APREPER!V32</f>
        <v>0</v>
      </c>
      <c r="CY25" s="128">
        <f>[1]APREPER!W32</f>
        <v>0</v>
      </c>
      <c r="CZ25" s="128" t="str">
        <f>[1]APREPER!X32</f>
        <v>X</v>
      </c>
      <c r="DA25" s="128">
        <f>[1]APREPER!Y32</f>
        <v>0</v>
      </c>
      <c r="DB25" s="128">
        <f>[1]APREPER!Z32</f>
        <v>0</v>
      </c>
      <c r="DC25" s="128" t="str">
        <f>[1]APREPER!AA32</f>
        <v>X</v>
      </c>
      <c r="DD25" s="128">
        <f>[1]APREPER!AB32</f>
        <v>0</v>
      </c>
      <c r="DE25" s="128">
        <f>[1]APREPER!AC32</f>
        <v>0</v>
      </c>
      <c r="DF25" s="128" t="str">
        <f>[1]APREPER!AD32</f>
        <v>X</v>
      </c>
      <c r="DG25" s="128">
        <f>[1]APREPER!AE32</f>
        <v>0</v>
      </c>
      <c r="DH25" s="128">
        <f>[1]APREPER!AF32</f>
        <v>0</v>
      </c>
      <c r="DI25" s="128" t="str">
        <f>[1]APREPER!AG32</f>
        <v>X</v>
      </c>
      <c r="DJ25" s="128">
        <f>[1]APREPER!AH32</f>
        <v>0</v>
      </c>
      <c r="DK25" s="128">
        <f>[1]APREPER!AI32</f>
        <v>0</v>
      </c>
      <c r="DL25" s="128" t="str">
        <f>[1]APREPER!AJ32</f>
        <v>A</v>
      </c>
      <c r="DM25" s="128">
        <f>[1]APREPPFF!I32</f>
        <v>0</v>
      </c>
      <c r="DN25" s="128" t="str">
        <f>[1]APREPPFF!J32</f>
        <v>X</v>
      </c>
      <c r="DO25" s="128">
        <f>[1]APREPPFF!K32</f>
        <v>0</v>
      </c>
      <c r="DP25" s="128" t="str">
        <f>[1]APREPPFF!L32</f>
        <v>X</v>
      </c>
      <c r="DQ25" s="128">
        <f>[1]APREPPFF!M32</f>
        <v>0</v>
      </c>
      <c r="DR25" s="128">
        <f>[1]APREPPFF!N32</f>
        <v>0</v>
      </c>
      <c r="DS25" s="128" t="str">
        <f>[1]APREPPFF!O32</f>
        <v>X</v>
      </c>
      <c r="DT25" s="128">
        <f>[1]APREPPFF!P32</f>
        <v>0</v>
      </c>
      <c r="DU25" s="128">
        <f>[1]APREPPFF!Q32</f>
        <v>0</v>
      </c>
      <c r="DV25" s="128">
        <f>[1]APREPPFF!R32</f>
        <v>0</v>
      </c>
      <c r="DW25" s="128" t="str">
        <f>[1]APREPPFF!S32</f>
        <v>X</v>
      </c>
      <c r="DX25" s="128">
        <f>[1]APREPPFF!T32</f>
        <v>0</v>
      </c>
      <c r="DY25" s="128" t="str">
        <f>[1]APREPPFF!U32</f>
        <v>A</v>
      </c>
      <c r="DZ25" s="128">
        <f>[1]ASISTEN!$BS$4</f>
        <v>47</v>
      </c>
      <c r="EA25" s="129">
        <f>[1]ASISTEN!BT33</f>
        <v>1</v>
      </c>
      <c r="EB25" s="128">
        <f>[1]ASISTEN!BP33</f>
        <v>36</v>
      </c>
      <c r="EC25" s="128">
        <f>[1]ASISTEN!BQ33</f>
        <v>5</v>
      </c>
      <c r="ED25" s="128">
        <f>[1]ASISTEN!BR33</f>
        <v>6</v>
      </c>
      <c r="EE25" s="128">
        <f>[1]ASISTEN!BS33</f>
        <v>0</v>
      </c>
      <c r="EF25" s="130" t="str">
        <f>[1]APREPER!AN32</f>
        <v>Ha logrado avances importantes en varias competencias; sin embargo, aún requiere fortalecer algunos aprendizajes para alcanzar un desempeño más uniforme y seguro.</v>
      </c>
      <c r="EG25" s="128">
        <f t="shared" si="0"/>
        <v>151</v>
      </c>
      <c r="EH25" s="128">
        <f t="shared" si="1"/>
        <v>19</v>
      </c>
      <c r="EI25" s="128"/>
      <c r="EJ25" s="104">
        <f t="shared" si="2"/>
        <v>0</v>
      </c>
      <c r="EK25" s="104">
        <f t="shared" si="3"/>
        <v>70</v>
      </c>
      <c r="EL25" s="104">
        <f t="shared" si="4"/>
        <v>11</v>
      </c>
    </row>
    <row r="26" spans="1:142" ht="30" x14ac:dyDescent="0.25">
      <c r="A26" s="125">
        <v>22</v>
      </c>
      <c r="B26" s="102" t="s">
        <v>137</v>
      </c>
      <c r="C26" s="126" t="str">
        <f>[1]PERS!N34</f>
        <v>A</v>
      </c>
      <c r="D26" s="126" t="str">
        <f>[1]PERS!AH34</f>
        <v>A</v>
      </c>
      <c r="E26" s="126" t="str">
        <f>[1]PERS!AZ34</f>
        <v>A</v>
      </c>
      <c r="F26" s="126" t="str">
        <f>[1]PERS!R34</f>
        <v>A</v>
      </c>
      <c r="G26" s="126" t="str">
        <f>[1]PERS!AL34</f>
        <v>A</v>
      </c>
      <c r="H26" s="126" t="str">
        <f>[1]PERS!BA34</f>
        <v>A</v>
      </c>
      <c r="I26" s="126" t="str">
        <f>[1]PERS!V34</f>
        <v>A</v>
      </c>
      <c r="J26" s="126" t="str">
        <f>[1]PERS!AP34</f>
        <v>A</v>
      </c>
      <c r="K26" s="126" t="str">
        <f>[1]PERS!BB34</f>
        <v>A</v>
      </c>
      <c r="L26" s="126" t="str">
        <f>[1]PERS!Z34</f>
        <v>A</v>
      </c>
      <c r="M26" s="126" t="str">
        <f>[1]PERS!AT34</f>
        <v>A</v>
      </c>
      <c r="N26" s="126" t="str">
        <f>[1]PERS!BC34</f>
        <v>A</v>
      </c>
      <c r="O26" s="126" t="str">
        <f>[1]PERS!AD34</f>
        <v>A</v>
      </c>
      <c r="P26" s="126" t="str">
        <f>[1]PERS!AX34</f>
        <v>A</v>
      </c>
      <c r="Q26" s="126" t="str">
        <f>[1]PERS!BD34</f>
        <v>A</v>
      </c>
      <c r="R26" s="126" t="str">
        <f>[1]EFIS!N34</f>
        <v>A</v>
      </c>
      <c r="S26" s="126" t="str">
        <f>[1]EFIS!AH34</f>
        <v>A</v>
      </c>
      <c r="T26" s="126" t="str">
        <f>[1]EFIS!AZ34</f>
        <v>A</v>
      </c>
      <c r="U26" s="126" t="str">
        <f>[1]EFIS!R34</f>
        <v>A</v>
      </c>
      <c r="V26" s="126" t="str">
        <f>[1]EFIS!AL34</f>
        <v>A</v>
      </c>
      <c r="W26" s="126" t="str">
        <f>[1]EFIS!BA34</f>
        <v>A</v>
      </c>
      <c r="X26" s="126" t="str">
        <f>[1]EFIS!V34</f>
        <v>A</v>
      </c>
      <c r="Y26" s="126" t="str">
        <f>[1]EFIS!AP34</f>
        <v>A</v>
      </c>
      <c r="Z26" s="126" t="str">
        <f>[1]EFIS!BB34</f>
        <v>A</v>
      </c>
      <c r="AA26" s="126" t="str">
        <f>[1]COMU!N34</f>
        <v>A</v>
      </c>
      <c r="AB26" s="126" t="str">
        <f>[1]COMU!AH34</f>
        <v>A</v>
      </c>
      <c r="AC26" s="126" t="str">
        <f>[1]COMU!AZ34</f>
        <v>A</v>
      </c>
      <c r="AD26" s="126" t="str">
        <f>[1]COMU!R34</f>
        <v>A</v>
      </c>
      <c r="AE26" s="126" t="str">
        <f>[1]COMU!AH34</f>
        <v>A</v>
      </c>
      <c r="AF26" s="126" t="str">
        <f>[1]COMU!BA34</f>
        <v>A</v>
      </c>
      <c r="AG26" s="126" t="str">
        <f>[1]COMU!V34</f>
        <v>A</v>
      </c>
      <c r="AH26" s="126" t="str">
        <f>[1]COMU!AP34</f>
        <v>A</v>
      </c>
      <c r="AI26" s="126" t="str">
        <f>[1]COMU!BB34</f>
        <v>A</v>
      </c>
      <c r="AJ26" s="126" t="str">
        <f>[1]ARTE!N34</f>
        <v>A</v>
      </c>
      <c r="AK26" s="126" t="str">
        <f>[1]ARTE!AH34</f>
        <v>A</v>
      </c>
      <c r="AL26" s="126" t="str">
        <f>[1]ARTE!AZ34</f>
        <v>A</v>
      </c>
      <c r="AM26" s="126" t="str">
        <f>[1]ARTE!R34</f>
        <v>A</v>
      </c>
      <c r="AN26" s="126" t="str">
        <f>[1]ARTE!AL34</f>
        <v>A</v>
      </c>
      <c r="AO26" s="126" t="str">
        <f>[1]ARTE!BA34</f>
        <v>A</v>
      </c>
      <c r="AP26" s="126" t="str">
        <f>[1]ING!N34</f>
        <v>A</v>
      </c>
      <c r="AQ26" s="126" t="str">
        <f>[1]ING!AH34</f>
        <v>A</v>
      </c>
      <c r="AR26" s="126" t="str">
        <f>[1]ING!AZ34</f>
        <v>A</v>
      </c>
      <c r="AS26" s="126" t="str">
        <f>[1]ING!R34</f>
        <v>A</v>
      </c>
      <c r="AT26" s="126" t="str">
        <f>[1]ING!AL34</f>
        <v>A</v>
      </c>
      <c r="AU26" s="126" t="str">
        <f>[1]ING!BA34</f>
        <v>A</v>
      </c>
      <c r="AV26" s="126" t="str">
        <f>[1]ING!V34</f>
        <v>A</v>
      </c>
      <c r="AW26" s="126" t="str">
        <f>[1]ING!AP34</f>
        <v>A</v>
      </c>
      <c r="AX26" s="126" t="str">
        <f>[1]ING!BB34</f>
        <v>A</v>
      </c>
      <c r="AY26" s="126" t="str">
        <f>[1]MATE!N34</f>
        <v>A</v>
      </c>
      <c r="AZ26" s="126" t="str">
        <f>[1]MATE!AH34</f>
        <v>A</v>
      </c>
      <c r="BA26" s="126" t="str">
        <f>[1]MATE!AZ34</f>
        <v>A</v>
      </c>
      <c r="BB26" s="126" t="str">
        <f>[1]MATE!R34</f>
        <v>A</v>
      </c>
      <c r="BC26" s="126" t="str">
        <f>[1]MATE!AL34</f>
        <v>A</v>
      </c>
      <c r="BD26" s="126" t="str">
        <f>[1]MATE!BA34</f>
        <v>A</v>
      </c>
      <c r="BE26" s="126" t="str">
        <f>[1]MATE!V34</f>
        <v>A</v>
      </c>
      <c r="BF26" s="126" t="str">
        <f>[1]MATE!AP34</f>
        <v>A</v>
      </c>
      <c r="BG26" s="126" t="str">
        <f>[1]MATE!BB34</f>
        <v>A</v>
      </c>
      <c r="BH26" s="126" t="str">
        <f>[1]MATE!Z34</f>
        <v>A</v>
      </c>
      <c r="BI26" s="126" t="str">
        <f>[1]MATE!AT34</f>
        <v>A</v>
      </c>
      <c r="BJ26" s="126" t="str">
        <f>[1]MATE!BC34</f>
        <v>A</v>
      </c>
      <c r="BK26" s="126" t="str">
        <f>[1]CTEC!N34</f>
        <v>A</v>
      </c>
      <c r="BL26" s="126" t="str">
        <f>[1]CTEC!AH34</f>
        <v>A</v>
      </c>
      <c r="BM26" s="126" t="str">
        <f>[1]CTEC!AZ34</f>
        <v>A</v>
      </c>
      <c r="BN26" s="126" t="str">
        <f>[1]CTEC!R34</f>
        <v>AD</v>
      </c>
      <c r="BO26" s="126" t="str">
        <f>[1]CTEC!AL34</f>
        <v>A</v>
      </c>
      <c r="BP26" s="126" t="str">
        <f>[1]CTEC!BA34</f>
        <v>A</v>
      </c>
      <c r="BQ26" s="126" t="str">
        <f>[1]CTEC!V34</f>
        <v>A</v>
      </c>
      <c r="BR26" s="126" t="str">
        <f>[1]CTEC!AP34</f>
        <v>A</v>
      </c>
      <c r="BS26" s="126" t="str">
        <f>[1]CTEC!BB34</f>
        <v>A</v>
      </c>
      <c r="BT26" s="126" t="str">
        <f>[1]REL!N34</f>
        <v>A</v>
      </c>
      <c r="BU26" s="126" t="str">
        <f>[1]REL!AH34</f>
        <v>A</v>
      </c>
      <c r="BV26" s="126" t="str">
        <f>[1]REL!AZ34</f>
        <v>A</v>
      </c>
      <c r="BW26" s="126" t="str">
        <f>[1]REL!R34</f>
        <v>A</v>
      </c>
      <c r="BX26" s="126" t="str">
        <f>[1]REL!AL34</f>
        <v>AD</v>
      </c>
      <c r="BY26" s="126" t="str">
        <f>[1]REL!BA34</f>
        <v>AD</v>
      </c>
      <c r="BZ26" s="126" t="str">
        <f>[1]EMPR!N34</f>
        <v>A</v>
      </c>
      <c r="CA26" s="126" t="str">
        <f>[1]EMPR!AH34</f>
        <v>A</v>
      </c>
      <c r="CB26" s="126" t="str">
        <f>[1]EMPR!AZ34</f>
        <v>A</v>
      </c>
      <c r="CC26" s="126" t="str">
        <f>[1]COMPU!N34</f>
        <v>A</v>
      </c>
      <c r="CD26" s="126" t="str">
        <f>[1]COMPU!AH34</f>
        <v>A</v>
      </c>
      <c r="CE26" s="126" t="str">
        <f>[1]COMPU!AZ34</f>
        <v>A</v>
      </c>
      <c r="CF26" s="126" t="str">
        <f>[1]ROBOTI!N34</f>
        <v>A</v>
      </c>
      <c r="CG26" s="126" t="str">
        <f>[1]ROBOTI!AH34</f>
        <v>A</v>
      </c>
      <c r="CH26" s="126" t="str">
        <f>[1]ROBOTI!AZ34</f>
        <v>A</v>
      </c>
      <c r="CI26" s="126" t="str">
        <f>[1]APREPER!AL33</f>
        <v>A</v>
      </c>
      <c r="CJ26" s="127" t="str">
        <f>[1]APREPER!AM33</f>
        <v>A</v>
      </c>
      <c r="CK26" s="128" t="str">
        <f>[1]APREPER!I33</f>
        <v>X</v>
      </c>
      <c r="CL26" s="128">
        <f>[1]APREPER!J33</f>
        <v>0</v>
      </c>
      <c r="CM26" s="128">
        <f>[1]APREPER!K33</f>
        <v>0</v>
      </c>
      <c r="CN26" s="128" t="str">
        <f>[1]APREPER!L33</f>
        <v>X</v>
      </c>
      <c r="CO26" s="128">
        <f>[1]APREPER!M33</f>
        <v>0</v>
      </c>
      <c r="CP26" s="128">
        <f>[1]APREPER!N33</f>
        <v>0</v>
      </c>
      <c r="CQ26" s="128" t="str">
        <f>[1]APREPER!O33</f>
        <v>X</v>
      </c>
      <c r="CR26" s="128">
        <f>[1]APREPER!P33</f>
        <v>0</v>
      </c>
      <c r="CS26" s="128">
        <f>[1]APREPER!Q33</f>
        <v>0</v>
      </c>
      <c r="CT26" s="128" t="str">
        <f>[1]APREPER!R33</f>
        <v>X</v>
      </c>
      <c r="CU26" s="128">
        <f>[1]APREPER!S33</f>
        <v>0</v>
      </c>
      <c r="CV26" s="128">
        <f>[1]APREPER!T33</f>
        <v>0</v>
      </c>
      <c r="CW26" s="128" t="str">
        <f>[1]APREPER!U33</f>
        <v>X</v>
      </c>
      <c r="CX26" s="128">
        <f>[1]APREPER!V33</f>
        <v>0</v>
      </c>
      <c r="CY26" s="128">
        <f>[1]APREPER!W33</f>
        <v>0</v>
      </c>
      <c r="CZ26" s="128" t="str">
        <f>[1]APREPER!X33</f>
        <v>X</v>
      </c>
      <c r="DA26" s="128">
        <f>[1]APREPER!Y33</f>
        <v>0</v>
      </c>
      <c r="DB26" s="128">
        <f>[1]APREPER!Z33</f>
        <v>0</v>
      </c>
      <c r="DC26" s="128" t="str">
        <f>[1]APREPER!AA33</f>
        <v>X</v>
      </c>
      <c r="DD26" s="128">
        <f>[1]APREPER!AB33</f>
        <v>0</v>
      </c>
      <c r="DE26" s="128">
        <f>[1]APREPER!AC33</f>
        <v>0</v>
      </c>
      <c r="DF26" s="128" t="str">
        <f>[1]APREPER!AD33</f>
        <v>X</v>
      </c>
      <c r="DG26" s="128">
        <f>[1]APREPER!AE33</f>
        <v>0</v>
      </c>
      <c r="DH26" s="128">
        <f>[1]APREPER!AF33</f>
        <v>0</v>
      </c>
      <c r="DI26" s="128" t="str">
        <f>[1]APREPER!AG33</f>
        <v>X</v>
      </c>
      <c r="DJ26" s="128">
        <f>[1]APREPER!AH33</f>
        <v>0</v>
      </c>
      <c r="DK26" s="128">
        <f>[1]APREPER!AI33</f>
        <v>0</v>
      </c>
      <c r="DL26" s="128" t="str">
        <f>[1]APREPER!AJ33</f>
        <v>A</v>
      </c>
      <c r="DM26" s="128" t="str">
        <f>[1]APREPPFF!I33</f>
        <v>X</v>
      </c>
      <c r="DN26" s="128">
        <f>[1]APREPPFF!J33</f>
        <v>0</v>
      </c>
      <c r="DO26" s="128">
        <f>[1]APREPPFF!K33</f>
        <v>0</v>
      </c>
      <c r="DP26" s="128" t="str">
        <f>[1]APREPPFF!L33</f>
        <v>X</v>
      </c>
      <c r="DQ26" s="128">
        <f>[1]APREPPFF!M33</f>
        <v>0</v>
      </c>
      <c r="DR26" s="128">
        <f>[1]APREPPFF!N33</f>
        <v>0</v>
      </c>
      <c r="DS26" s="128" t="str">
        <f>[1]APREPPFF!O33</f>
        <v>X</v>
      </c>
      <c r="DT26" s="128">
        <f>[1]APREPPFF!P33</f>
        <v>0</v>
      </c>
      <c r="DU26" s="128">
        <f>[1]APREPPFF!Q33</f>
        <v>0</v>
      </c>
      <c r="DV26" s="128" t="str">
        <f>[1]APREPPFF!R33</f>
        <v>X</v>
      </c>
      <c r="DW26" s="128">
        <f>[1]APREPPFF!S33</f>
        <v>0</v>
      </c>
      <c r="DX26" s="128">
        <f>[1]APREPPFF!T33</f>
        <v>0</v>
      </c>
      <c r="DY26" s="128" t="str">
        <f>[1]APREPPFF!U33</f>
        <v>A</v>
      </c>
      <c r="DZ26" s="128">
        <f>[1]ASISTEN!$BS$4</f>
        <v>47</v>
      </c>
      <c r="EA26" s="129">
        <f>[1]ASISTEN!BT34</f>
        <v>1</v>
      </c>
      <c r="EB26" s="128">
        <f>[1]ASISTEN!BP34</f>
        <v>43</v>
      </c>
      <c r="EC26" s="128">
        <f>[1]ASISTEN!BQ34</f>
        <v>4</v>
      </c>
      <c r="ED26" s="128">
        <f>[1]ASISTEN!BR34</f>
        <v>0</v>
      </c>
      <c r="EE26" s="128">
        <f>[1]ASISTEN!BS34</f>
        <v>0</v>
      </c>
      <c r="EF26" s="130" t="str">
        <f>[1]APREPER!AN33</f>
        <v>Evidencia un desempeño destacado en diversas competencias, alcanzando con solvencia los logros esperados y sobresaliendo por su participación y dedicación constante.</v>
      </c>
      <c r="EG26" s="128">
        <f t="shared" si="0"/>
        <v>175</v>
      </c>
      <c r="EH26" s="128">
        <f t="shared" si="1"/>
        <v>1</v>
      </c>
      <c r="EI26" s="128"/>
      <c r="EJ26" s="104">
        <f t="shared" si="2"/>
        <v>3</v>
      </c>
      <c r="EK26" s="104">
        <f t="shared" si="3"/>
        <v>83</v>
      </c>
      <c r="EL26" s="104">
        <f t="shared" si="4"/>
        <v>0</v>
      </c>
    </row>
    <row r="27" spans="1:142" ht="30" x14ac:dyDescent="0.25">
      <c r="A27" s="125">
        <v>23</v>
      </c>
      <c r="B27" s="102" t="s">
        <v>138</v>
      </c>
      <c r="C27" s="126" t="str">
        <f>[1]PERS!N35</f>
        <v>A</v>
      </c>
      <c r="D27" s="126" t="str">
        <f>[1]PERS!AH35</f>
        <v>A</v>
      </c>
      <c r="E27" s="126" t="str">
        <f>[1]PERS!AZ35</f>
        <v>A</v>
      </c>
      <c r="F27" s="126" t="str">
        <f>[1]PERS!R35</f>
        <v>A</v>
      </c>
      <c r="G27" s="126" t="str">
        <f>[1]PERS!AL35</f>
        <v>A</v>
      </c>
      <c r="H27" s="126" t="str">
        <f>[1]PERS!BA35</f>
        <v>A</v>
      </c>
      <c r="I27" s="126" t="str">
        <f>[1]PERS!V35</f>
        <v>A</v>
      </c>
      <c r="J27" s="126" t="str">
        <f>[1]PERS!AP35</f>
        <v>A</v>
      </c>
      <c r="K27" s="126" t="str">
        <f>[1]PERS!BB35</f>
        <v>A</v>
      </c>
      <c r="L27" s="126" t="str">
        <f>[1]PERS!Z35</f>
        <v>A</v>
      </c>
      <c r="M27" s="126" t="str">
        <f>[1]PERS!AT35</f>
        <v>A</v>
      </c>
      <c r="N27" s="126" t="str">
        <f>[1]PERS!BC35</f>
        <v>A</v>
      </c>
      <c r="O27" s="126" t="str">
        <f>[1]PERS!AD35</f>
        <v>A</v>
      </c>
      <c r="P27" s="126" t="str">
        <f>[1]PERS!AX35</f>
        <v>A</v>
      </c>
      <c r="Q27" s="126" t="str">
        <f>[1]PERS!BD35</f>
        <v>A</v>
      </c>
      <c r="R27" s="126" t="str">
        <f>[1]EFIS!N35</f>
        <v>A</v>
      </c>
      <c r="S27" s="126" t="str">
        <f>[1]EFIS!AH35</f>
        <v>A</v>
      </c>
      <c r="T27" s="126" t="str">
        <f>[1]EFIS!AZ35</f>
        <v>A</v>
      </c>
      <c r="U27" s="126" t="str">
        <f>[1]EFIS!R35</f>
        <v>A</v>
      </c>
      <c r="V27" s="126" t="str">
        <f>[1]EFIS!AL35</f>
        <v>A</v>
      </c>
      <c r="W27" s="126" t="str">
        <f>[1]EFIS!BA35</f>
        <v>A</v>
      </c>
      <c r="X27" s="126" t="str">
        <f>[1]EFIS!V35</f>
        <v>A</v>
      </c>
      <c r="Y27" s="126" t="str">
        <f>[1]EFIS!AP35</f>
        <v>A</v>
      </c>
      <c r="Z27" s="126" t="str">
        <f>[1]EFIS!BB35</f>
        <v>A</v>
      </c>
      <c r="AA27" s="126" t="str">
        <f>[1]COMU!N35</f>
        <v>A</v>
      </c>
      <c r="AB27" s="126" t="str">
        <f>[1]COMU!AH35</f>
        <v>A</v>
      </c>
      <c r="AC27" s="126" t="str">
        <f>[1]COMU!AZ35</f>
        <v>A</v>
      </c>
      <c r="AD27" s="126" t="str">
        <f>[1]COMU!R35</f>
        <v>A</v>
      </c>
      <c r="AE27" s="126" t="str">
        <f>[1]COMU!AH35</f>
        <v>A</v>
      </c>
      <c r="AF27" s="126" t="str">
        <f>[1]COMU!BA35</f>
        <v>A</v>
      </c>
      <c r="AG27" s="126" t="str">
        <f>[1]COMU!V35</f>
        <v>A</v>
      </c>
      <c r="AH27" s="126" t="str">
        <f>[1]COMU!AP35</f>
        <v>A</v>
      </c>
      <c r="AI27" s="126" t="str">
        <f>[1]COMU!BB35</f>
        <v>A</v>
      </c>
      <c r="AJ27" s="126" t="str">
        <f>[1]ARTE!N35</f>
        <v>A</v>
      </c>
      <c r="AK27" s="126" t="str">
        <f>[1]ARTE!AH35</f>
        <v>A</v>
      </c>
      <c r="AL27" s="126" t="str">
        <f>[1]ARTE!AZ35</f>
        <v>A</v>
      </c>
      <c r="AM27" s="126" t="str">
        <f>[1]ARTE!R35</f>
        <v>A</v>
      </c>
      <c r="AN27" s="126" t="str">
        <f>[1]ARTE!AL35</f>
        <v>A</v>
      </c>
      <c r="AO27" s="126" t="str">
        <f>[1]ARTE!BA35</f>
        <v>A</v>
      </c>
      <c r="AP27" s="126" t="str">
        <f>[1]ING!N35</f>
        <v>A</v>
      </c>
      <c r="AQ27" s="126" t="str">
        <f>[1]ING!AH35</f>
        <v>A</v>
      </c>
      <c r="AR27" s="126" t="str">
        <f>[1]ING!AZ35</f>
        <v>A</v>
      </c>
      <c r="AS27" s="126" t="str">
        <f>[1]ING!R35</f>
        <v>A</v>
      </c>
      <c r="AT27" s="126" t="str">
        <f>[1]ING!AL35</f>
        <v>B</v>
      </c>
      <c r="AU27" s="126" t="str">
        <f>[1]ING!BA35</f>
        <v>A</v>
      </c>
      <c r="AV27" s="126" t="str">
        <f>[1]ING!V35</f>
        <v>A</v>
      </c>
      <c r="AW27" s="126" t="str">
        <f>[1]ING!AP35</f>
        <v>A</v>
      </c>
      <c r="AX27" s="126" t="str">
        <f>[1]ING!BB35</f>
        <v>A</v>
      </c>
      <c r="AY27" s="126" t="str">
        <f>[1]MATE!N35</f>
        <v>A</v>
      </c>
      <c r="AZ27" s="126" t="str">
        <f>[1]MATE!AH35</f>
        <v>A</v>
      </c>
      <c r="BA27" s="126" t="str">
        <f>[1]MATE!AZ35</f>
        <v>A</v>
      </c>
      <c r="BB27" s="126" t="str">
        <f>[1]MATE!R35</f>
        <v>A</v>
      </c>
      <c r="BC27" s="126" t="str">
        <f>[1]MATE!AL35</f>
        <v>A</v>
      </c>
      <c r="BD27" s="126" t="str">
        <f>[1]MATE!BA35</f>
        <v>A</v>
      </c>
      <c r="BE27" s="126" t="str">
        <f>[1]MATE!V35</f>
        <v>A</v>
      </c>
      <c r="BF27" s="126" t="str">
        <f>[1]MATE!AP35</f>
        <v>A</v>
      </c>
      <c r="BG27" s="126" t="str">
        <f>[1]MATE!BB35</f>
        <v>A</v>
      </c>
      <c r="BH27" s="126" t="str">
        <f>[1]MATE!Z35</f>
        <v>A</v>
      </c>
      <c r="BI27" s="126" t="str">
        <f>[1]MATE!AT35</f>
        <v>A</v>
      </c>
      <c r="BJ27" s="126" t="str">
        <f>[1]MATE!BC35</f>
        <v>A</v>
      </c>
      <c r="BK27" s="126" t="str">
        <f>[1]CTEC!N35</f>
        <v>A</v>
      </c>
      <c r="BL27" s="126" t="str">
        <f>[1]CTEC!AH35</f>
        <v>A</v>
      </c>
      <c r="BM27" s="126" t="str">
        <f>[1]CTEC!AZ35</f>
        <v>A</v>
      </c>
      <c r="BN27" s="126" t="str">
        <f>[1]CTEC!R35</f>
        <v>A</v>
      </c>
      <c r="BO27" s="126" t="str">
        <f>[1]CTEC!AL35</f>
        <v>A</v>
      </c>
      <c r="BP27" s="126" t="str">
        <f>[1]CTEC!BA35</f>
        <v>A</v>
      </c>
      <c r="BQ27" s="126" t="str">
        <f>[1]CTEC!V35</f>
        <v>A</v>
      </c>
      <c r="BR27" s="126" t="str">
        <f>[1]CTEC!AP35</f>
        <v>A</v>
      </c>
      <c r="BS27" s="126" t="str">
        <f>[1]CTEC!BB35</f>
        <v>A</v>
      </c>
      <c r="BT27" s="126" t="str">
        <f>[1]REL!N35</f>
        <v>A</v>
      </c>
      <c r="BU27" s="126" t="str">
        <f>[1]REL!AH35</f>
        <v>A</v>
      </c>
      <c r="BV27" s="126" t="str">
        <f>[1]REL!AZ35</f>
        <v>A</v>
      </c>
      <c r="BW27" s="126" t="str">
        <f>[1]REL!R35</f>
        <v>A</v>
      </c>
      <c r="BX27" s="126" t="str">
        <f>[1]REL!AL35</f>
        <v>AD</v>
      </c>
      <c r="BY27" s="126" t="str">
        <f>[1]REL!BA35</f>
        <v>AD</v>
      </c>
      <c r="BZ27" s="126" t="str">
        <f>[1]EMPR!N35</f>
        <v>A</v>
      </c>
      <c r="CA27" s="126" t="str">
        <f>[1]EMPR!AH35</f>
        <v>A</v>
      </c>
      <c r="CB27" s="126" t="str">
        <f>[1]EMPR!AZ35</f>
        <v>A</v>
      </c>
      <c r="CC27" s="126" t="str">
        <f>[1]COMPU!N35</f>
        <v>A</v>
      </c>
      <c r="CD27" s="126" t="str">
        <f>[1]COMPU!AH35</f>
        <v>A</v>
      </c>
      <c r="CE27" s="126" t="str">
        <f>[1]COMPU!AZ35</f>
        <v>A</v>
      </c>
      <c r="CF27" s="126" t="str">
        <f>[1]ROBOTI!N35</f>
        <v>A</v>
      </c>
      <c r="CG27" s="126" t="str">
        <f>[1]ROBOTI!AH35</f>
        <v>A</v>
      </c>
      <c r="CH27" s="126" t="str">
        <f>[1]ROBOTI!AZ35</f>
        <v>A</v>
      </c>
      <c r="CI27" s="126" t="str">
        <f>[1]APREPER!AL34</f>
        <v>A</v>
      </c>
      <c r="CJ27" s="127" t="str">
        <f>[1]APREPER!AM34</f>
        <v>A</v>
      </c>
      <c r="CK27" s="128" t="str">
        <f>[1]APREPER!I34</f>
        <v>X</v>
      </c>
      <c r="CL27" s="128">
        <f>[1]APREPER!J34</f>
        <v>0</v>
      </c>
      <c r="CM27" s="128">
        <f>[1]APREPER!K34</f>
        <v>0</v>
      </c>
      <c r="CN27" s="128" t="str">
        <f>[1]APREPER!L34</f>
        <v>X</v>
      </c>
      <c r="CO27" s="128">
        <f>[1]APREPER!M34</f>
        <v>0</v>
      </c>
      <c r="CP27" s="128">
        <f>[1]APREPER!N34</f>
        <v>0</v>
      </c>
      <c r="CQ27" s="128" t="str">
        <f>[1]APREPER!O34</f>
        <v>X</v>
      </c>
      <c r="CR27" s="128" t="str">
        <f>[1]APREPER!P34</f>
        <v/>
      </c>
      <c r="CS27" s="128">
        <f>[1]APREPER!Q34</f>
        <v>0</v>
      </c>
      <c r="CT27" s="128" t="str">
        <f>[1]APREPER!R34</f>
        <v>X</v>
      </c>
      <c r="CU27" s="128">
        <f>[1]APREPER!S34</f>
        <v>0</v>
      </c>
      <c r="CV27" s="128" t="str">
        <f>[1]APREPER!T34</f>
        <v/>
      </c>
      <c r="CW27" s="128" t="str">
        <f>[1]APREPER!U34</f>
        <v>X</v>
      </c>
      <c r="CX27" s="128">
        <f>[1]APREPER!V34</f>
        <v>0</v>
      </c>
      <c r="CY27" s="128">
        <f>[1]APREPER!W34</f>
        <v>0</v>
      </c>
      <c r="CZ27" s="128" t="str">
        <f>[1]APREPER!X34</f>
        <v>X</v>
      </c>
      <c r="DA27" s="128">
        <f>[1]APREPER!Y34</f>
        <v>0</v>
      </c>
      <c r="DB27" s="128">
        <f>[1]APREPER!Z34</f>
        <v>0</v>
      </c>
      <c r="DC27" s="128" t="str">
        <f>[1]APREPER!AA34</f>
        <v>X</v>
      </c>
      <c r="DD27" s="128" t="str">
        <f>[1]APREPER!AB34</f>
        <v/>
      </c>
      <c r="DE27" s="128">
        <f>[1]APREPER!AC34</f>
        <v>0</v>
      </c>
      <c r="DF27" s="128" t="str">
        <f>[1]APREPER!AD34</f>
        <v>X</v>
      </c>
      <c r="DG27" s="128">
        <f>[1]APREPER!AE34</f>
        <v>0</v>
      </c>
      <c r="DH27" s="128" t="str">
        <f>[1]APREPER!AF34</f>
        <v/>
      </c>
      <c r="DI27" s="128" t="str">
        <f>[1]APREPER!AG34</f>
        <v>X</v>
      </c>
      <c r="DJ27" s="128">
        <f>[1]APREPER!AH34</f>
        <v>0</v>
      </c>
      <c r="DK27" s="128">
        <f>[1]APREPER!AI34</f>
        <v>0</v>
      </c>
      <c r="DL27" s="128" t="str">
        <f>[1]APREPER!AJ34</f>
        <v>A</v>
      </c>
      <c r="DM27" s="128" t="str">
        <f>[1]APREPPFF!I34</f>
        <v>X</v>
      </c>
      <c r="DN27" s="128">
        <f>[1]APREPPFF!J34</f>
        <v>0</v>
      </c>
      <c r="DO27" s="128">
        <f>[1]APREPPFF!K34</f>
        <v>0</v>
      </c>
      <c r="DP27" s="128" t="str">
        <f>[1]APREPPFF!L34</f>
        <v>X</v>
      </c>
      <c r="DQ27" s="128">
        <f>[1]APREPPFF!M34</f>
        <v>0</v>
      </c>
      <c r="DR27" s="128">
        <f>[1]APREPPFF!N34</f>
        <v>0</v>
      </c>
      <c r="DS27" s="128" t="str">
        <f>[1]APREPPFF!O34</f>
        <v>X</v>
      </c>
      <c r="DT27" s="128">
        <f>[1]APREPPFF!P34</f>
        <v>0</v>
      </c>
      <c r="DU27" s="128">
        <f>[1]APREPPFF!Q34</f>
        <v>0</v>
      </c>
      <c r="DV27" s="128" t="str">
        <f>[1]APREPPFF!R34</f>
        <v>X</v>
      </c>
      <c r="DW27" s="128">
        <f>[1]APREPPFF!S34</f>
        <v>0</v>
      </c>
      <c r="DX27" s="128">
        <f>[1]APREPPFF!T34</f>
        <v>0</v>
      </c>
      <c r="DY27" s="128" t="str">
        <f>[1]APREPPFF!U34</f>
        <v>A</v>
      </c>
      <c r="DZ27" s="128">
        <f>[1]ASISTEN!$BS$4</f>
        <v>47</v>
      </c>
      <c r="EA27" s="129">
        <f>[1]ASISTEN!BT35</f>
        <v>1</v>
      </c>
      <c r="EB27" s="128">
        <f>[1]ASISTEN!BP35</f>
        <v>47</v>
      </c>
      <c r="EC27" s="128">
        <f>[1]ASISTEN!BQ35</f>
        <v>0</v>
      </c>
      <c r="ED27" s="128">
        <f>[1]ASISTEN!BR35</f>
        <v>0</v>
      </c>
      <c r="EE27" s="128">
        <f>[1]ASISTEN!BS35</f>
        <v>0</v>
      </c>
      <c r="EF27" s="130" t="str">
        <f>[1]APREPER!AN34</f>
        <v>Evidencia un desempeño destacado en diversas competencias, alcanzando con solvencia los logros esperados y sobresaliendo por su participación y dedicación constante.</v>
      </c>
      <c r="EG27" s="128">
        <f t="shared" si="0"/>
        <v>173</v>
      </c>
      <c r="EH27" s="128">
        <f t="shared" si="1"/>
        <v>3</v>
      </c>
      <c r="EI27" s="128"/>
      <c r="EJ27" s="104">
        <f t="shared" si="2"/>
        <v>2</v>
      </c>
      <c r="EK27" s="104">
        <f t="shared" si="3"/>
        <v>83</v>
      </c>
      <c r="EL27" s="104">
        <f t="shared" si="4"/>
        <v>1</v>
      </c>
    </row>
    <row r="28" spans="1:142" ht="30" x14ac:dyDescent="0.25">
      <c r="A28" s="125">
        <v>24</v>
      </c>
      <c r="B28" s="102" t="s">
        <v>139</v>
      </c>
      <c r="C28" s="126" t="str">
        <f>[1]PERS!N36</f>
        <v>A</v>
      </c>
      <c r="D28" s="126" t="str">
        <f>[1]PERS!AH36</f>
        <v>A</v>
      </c>
      <c r="E28" s="126" t="str">
        <f>[1]PERS!AZ36</f>
        <v>A</v>
      </c>
      <c r="F28" s="126" t="str">
        <f>[1]PERS!R36</f>
        <v>A</v>
      </c>
      <c r="G28" s="126" t="str">
        <f>[1]PERS!AL36</f>
        <v>B</v>
      </c>
      <c r="H28" s="126" t="str">
        <f>[1]PERS!BA36</f>
        <v>A</v>
      </c>
      <c r="I28" s="126" t="str">
        <f>[1]PERS!V36</f>
        <v>A</v>
      </c>
      <c r="J28" s="126" t="str">
        <f>[1]PERS!AP36</f>
        <v>A</v>
      </c>
      <c r="K28" s="126" t="str">
        <f>[1]PERS!BB36</f>
        <v>A</v>
      </c>
      <c r="L28" s="126" t="str">
        <f>[1]PERS!Z36</f>
        <v>B</v>
      </c>
      <c r="M28" s="126" t="str">
        <f>[1]PERS!AT36</f>
        <v>B</v>
      </c>
      <c r="N28" s="126" t="str">
        <f>[1]PERS!BC36</f>
        <v>B</v>
      </c>
      <c r="O28" s="126" t="str">
        <f>[1]PERS!AD36</f>
        <v>A</v>
      </c>
      <c r="P28" s="126" t="str">
        <f>[1]PERS!AX36</f>
        <v>C</v>
      </c>
      <c r="Q28" s="126" t="str">
        <f>[1]PERS!BD36</f>
        <v>B</v>
      </c>
      <c r="R28" s="126" t="str">
        <f>[1]EFIS!N36</f>
        <v>A</v>
      </c>
      <c r="S28" s="126" t="str">
        <f>[1]EFIS!AH36</f>
        <v>A</v>
      </c>
      <c r="T28" s="126" t="str">
        <f>[1]EFIS!AZ36</f>
        <v>A</v>
      </c>
      <c r="U28" s="126" t="str">
        <f>[1]EFIS!R36</f>
        <v>B</v>
      </c>
      <c r="V28" s="126" t="str">
        <f>[1]EFIS!AL36</f>
        <v>A</v>
      </c>
      <c r="W28" s="126" t="str">
        <f>[1]EFIS!BA36</f>
        <v>A</v>
      </c>
      <c r="X28" s="126" t="str">
        <f>[1]EFIS!V36</f>
        <v>A</v>
      </c>
      <c r="Y28" s="126" t="str">
        <f>[1]EFIS!AP36</f>
        <v>A</v>
      </c>
      <c r="Z28" s="126" t="str">
        <f>[1]EFIS!BB36</f>
        <v>A</v>
      </c>
      <c r="AA28" s="126" t="str">
        <f>[1]COMU!N36</f>
        <v>A</v>
      </c>
      <c r="AB28" s="126" t="str">
        <f>[1]COMU!AH36</f>
        <v>B</v>
      </c>
      <c r="AC28" s="126" t="str">
        <f>[1]COMU!AZ36</f>
        <v>A</v>
      </c>
      <c r="AD28" s="126" t="str">
        <f>[1]COMU!R36</f>
        <v>B</v>
      </c>
      <c r="AE28" s="126" t="str">
        <f>[1]COMU!AH36</f>
        <v>B</v>
      </c>
      <c r="AF28" s="126" t="str">
        <f>[1]COMU!BA36</f>
        <v>B</v>
      </c>
      <c r="AG28" s="126" t="str">
        <f>[1]COMU!V36</f>
        <v>B</v>
      </c>
      <c r="AH28" s="126" t="str">
        <f>[1]COMU!AP36</f>
        <v>B</v>
      </c>
      <c r="AI28" s="126" t="str">
        <f>[1]COMU!BB36</f>
        <v>B</v>
      </c>
      <c r="AJ28" s="126" t="str">
        <f>[1]ARTE!N36</f>
        <v>A</v>
      </c>
      <c r="AK28" s="126" t="str">
        <f>[1]ARTE!AH36</f>
        <v>A</v>
      </c>
      <c r="AL28" s="126" t="str">
        <f>[1]ARTE!AZ36</f>
        <v>A</v>
      </c>
      <c r="AM28" s="126" t="str">
        <f>[1]ARTE!R36</f>
        <v>A</v>
      </c>
      <c r="AN28" s="126" t="str">
        <f>[1]ARTE!AL36</f>
        <v>A</v>
      </c>
      <c r="AO28" s="126" t="str">
        <f>[1]ARTE!BA36</f>
        <v>A</v>
      </c>
      <c r="AP28" s="126" t="str">
        <f>[1]ING!N36</f>
        <v>A</v>
      </c>
      <c r="AQ28" s="126" t="str">
        <f>[1]ING!AH36</f>
        <v>A</v>
      </c>
      <c r="AR28" s="126" t="str">
        <f>[1]ING!AZ36</f>
        <v>A</v>
      </c>
      <c r="AS28" s="126" t="str">
        <f>[1]ING!R36</f>
        <v>B</v>
      </c>
      <c r="AT28" s="126" t="str">
        <f>[1]ING!AL36</f>
        <v>B</v>
      </c>
      <c r="AU28" s="126" t="str">
        <f>[1]ING!BA36</f>
        <v>B</v>
      </c>
      <c r="AV28" s="126" t="str">
        <f>[1]ING!V36</f>
        <v>B</v>
      </c>
      <c r="AW28" s="126" t="str">
        <f>[1]ING!AP36</f>
        <v>B</v>
      </c>
      <c r="AX28" s="126" t="str">
        <f>[1]ING!BB36</f>
        <v>B</v>
      </c>
      <c r="AY28" s="126" t="str">
        <f>[1]MATE!N36</f>
        <v>C</v>
      </c>
      <c r="AZ28" s="126" t="str">
        <f>[1]MATE!AH36</f>
        <v>C</v>
      </c>
      <c r="BA28" s="126" t="str">
        <f>[1]MATE!AZ36</f>
        <v>C</v>
      </c>
      <c r="BB28" s="126" t="str">
        <f>[1]MATE!R36</f>
        <v>B</v>
      </c>
      <c r="BC28" s="126" t="str">
        <f>[1]MATE!AL36</f>
        <v>B</v>
      </c>
      <c r="BD28" s="126" t="str">
        <f>[1]MATE!BA36</f>
        <v>B</v>
      </c>
      <c r="BE28" s="126" t="str">
        <f>[1]MATE!V36</f>
        <v>B</v>
      </c>
      <c r="BF28" s="126" t="str">
        <f>[1]MATE!AP36</f>
        <v>C</v>
      </c>
      <c r="BG28" s="126" t="str">
        <f>[1]MATE!BB36</f>
        <v>B</v>
      </c>
      <c r="BH28" s="126" t="str">
        <f>[1]MATE!Z36</f>
        <v>A</v>
      </c>
      <c r="BI28" s="126" t="str">
        <f>[1]MATE!AT36</f>
        <v>A</v>
      </c>
      <c r="BJ28" s="126" t="str">
        <f>[1]MATE!BC36</f>
        <v>A</v>
      </c>
      <c r="BK28" s="126" t="str">
        <f>[1]CTEC!N36</f>
        <v>B</v>
      </c>
      <c r="BL28" s="126" t="str">
        <f>[1]CTEC!AH36</f>
        <v>B</v>
      </c>
      <c r="BM28" s="126" t="str">
        <f>[1]CTEC!AZ36</f>
        <v>B</v>
      </c>
      <c r="BN28" s="126" t="str">
        <f>[1]CTEC!R36</f>
        <v>B</v>
      </c>
      <c r="BO28" s="126" t="str">
        <f>[1]CTEC!AL36</f>
        <v>B</v>
      </c>
      <c r="BP28" s="126" t="str">
        <f>[1]CTEC!BA36</f>
        <v>B</v>
      </c>
      <c r="BQ28" s="126" t="str">
        <f>[1]CTEC!V36</f>
        <v>C</v>
      </c>
      <c r="BR28" s="126" t="str">
        <f>[1]CTEC!AP36</f>
        <v>B</v>
      </c>
      <c r="BS28" s="126" t="str">
        <f>[1]CTEC!BB36</f>
        <v>B</v>
      </c>
      <c r="BT28" s="126" t="str">
        <f>[1]REL!N36</f>
        <v>A</v>
      </c>
      <c r="BU28" s="126" t="str">
        <f>[1]REL!AH36</f>
        <v>A</v>
      </c>
      <c r="BV28" s="126" t="str">
        <f>[1]REL!AZ36</f>
        <v>A</v>
      </c>
      <c r="BW28" s="126" t="str">
        <f>[1]REL!R36</f>
        <v>A</v>
      </c>
      <c r="BX28" s="126" t="str">
        <f>[1]REL!AL36</f>
        <v>B</v>
      </c>
      <c r="BY28" s="126" t="str">
        <f>[1]REL!BA36</f>
        <v>A</v>
      </c>
      <c r="BZ28" s="126" t="str">
        <f>[1]EMPR!N36</f>
        <v>A</v>
      </c>
      <c r="CA28" s="126" t="str">
        <f>[1]EMPR!AH36</f>
        <v>A</v>
      </c>
      <c r="CB28" s="126" t="str">
        <f>[1]EMPR!AZ36</f>
        <v>A</v>
      </c>
      <c r="CC28" s="126" t="str">
        <f>[1]COMPU!N36</f>
        <v>A</v>
      </c>
      <c r="CD28" s="126" t="str">
        <f>[1]COMPU!AH36</f>
        <v>A</v>
      </c>
      <c r="CE28" s="126" t="str">
        <f>[1]COMPU!AZ36</f>
        <v>A</v>
      </c>
      <c r="CF28" s="126" t="str">
        <f>[1]ROBOTI!N36</f>
        <v>A</v>
      </c>
      <c r="CG28" s="126" t="str">
        <f>[1]ROBOTI!AH36</f>
        <v>A</v>
      </c>
      <c r="CH28" s="126" t="str">
        <f>[1]ROBOTI!AZ36</f>
        <v>A</v>
      </c>
      <c r="CI28" s="126" t="str">
        <f>[1]APREPER!AL35</f>
        <v>A</v>
      </c>
      <c r="CJ28" s="127" t="str">
        <f>[1]APREPER!AM35</f>
        <v>A</v>
      </c>
      <c r="CK28" s="128">
        <f>[1]APREPER!I35</f>
        <v>0</v>
      </c>
      <c r="CL28" s="128" t="str">
        <f>[1]APREPER!J35</f>
        <v>X</v>
      </c>
      <c r="CM28" s="128">
        <f>[1]APREPER!K35</f>
        <v>0</v>
      </c>
      <c r="CN28" s="128" t="str">
        <f>[1]APREPER!L35</f>
        <v>X</v>
      </c>
      <c r="CO28" s="128">
        <f>[1]APREPER!M35</f>
        <v>0</v>
      </c>
      <c r="CP28" s="128">
        <f>[1]APREPER!N35</f>
        <v>0</v>
      </c>
      <c r="CQ28" s="128">
        <f>[1]APREPER!O35</f>
        <v>0</v>
      </c>
      <c r="CR28" s="128" t="str">
        <f>[1]APREPER!P35</f>
        <v>X</v>
      </c>
      <c r="CS28" s="128">
        <f>[1]APREPER!Q35</f>
        <v>0</v>
      </c>
      <c r="CT28" s="128">
        <f>[1]APREPER!R35</f>
        <v>0</v>
      </c>
      <c r="CU28" s="128" t="str">
        <f>[1]APREPER!S35</f>
        <v>X</v>
      </c>
      <c r="CV28" s="128" t="str">
        <f>[1]APREPER!T35</f>
        <v/>
      </c>
      <c r="CW28" s="128">
        <f>[1]APREPER!U35</f>
        <v>0</v>
      </c>
      <c r="CX28" s="128" t="str">
        <f>[1]APREPER!V35</f>
        <v>X</v>
      </c>
      <c r="CY28" s="128">
        <f>[1]APREPER!W35</f>
        <v>0</v>
      </c>
      <c r="CZ28" s="128">
        <f>[1]APREPER!X35</f>
        <v>0</v>
      </c>
      <c r="DA28" s="128" t="str">
        <f>[1]APREPER!Y35</f>
        <v>X</v>
      </c>
      <c r="DB28" s="128">
        <f>[1]APREPER!Z35</f>
        <v>0</v>
      </c>
      <c r="DC28" s="128">
        <f>[1]APREPER!AA35</f>
        <v>0</v>
      </c>
      <c r="DD28" s="128" t="str">
        <f>[1]APREPER!AB35</f>
        <v>X</v>
      </c>
      <c r="DE28" s="128">
        <f>[1]APREPER!AC35</f>
        <v>0</v>
      </c>
      <c r="DF28" s="128">
        <f>[1]APREPER!AD35</f>
        <v>0</v>
      </c>
      <c r="DG28" s="128" t="str">
        <f>[1]APREPER!AE35</f>
        <v>X</v>
      </c>
      <c r="DH28" s="128" t="str">
        <f>[1]APREPER!AF35</f>
        <v/>
      </c>
      <c r="DI28" s="128">
        <f>[1]APREPER!AG35</f>
        <v>0</v>
      </c>
      <c r="DJ28" s="128" t="str">
        <f>[1]APREPER!AH35</f>
        <v>X</v>
      </c>
      <c r="DK28" s="128">
        <f>[1]APREPER!AI35</f>
        <v>0</v>
      </c>
      <c r="DL28" s="128" t="str">
        <f>[1]APREPER!AJ35</f>
        <v>B</v>
      </c>
      <c r="DM28" s="128">
        <f>[1]APREPPFF!I35</f>
        <v>0</v>
      </c>
      <c r="DN28" s="128" t="str">
        <f>[1]APREPPFF!J35</f>
        <v>X</v>
      </c>
      <c r="DO28" s="128">
        <f>[1]APREPPFF!K35</f>
        <v>0</v>
      </c>
      <c r="DP28" s="128">
        <f>[1]APREPPFF!L35</f>
        <v>0</v>
      </c>
      <c r="DQ28" s="128" t="str">
        <f>[1]APREPPFF!M35</f>
        <v>X</v>
      </c>
      <c r="DR28" s="128">
        <f>[1]APREPPFF!N35</f>
        <v>0</v>
      </c>
      <c r="DS28" s="128">
        <f>[1]APREPPFF!O35</f>
        <v>0</v>
      </c>
      <c r="DT28" s="128" t="str">
        <f>[1]APREPPFF!P35</f>
        <v>X</v>
      </c>
      <c r="DU28" s="128">
        <f>[1]APREPPFF!Q35</f>
        <v>0</v>
      </c>
      <c r="DV28" s="128">
        <f>[1]APREPPFF!R35</f>
        <v>0</v>
      </c>
      <c r="DW28" s="128" t="str">
        <f>[1]APREPPFF!S35</f>
        <v>X</v>
      </c>
      <c r="DX28" s="128" t="str">
        <f>[1]APREPPFF!T35</f>
        <v/>
      </c>
      <c r="DY28" s="128" t="str">
        <f>[1]APREPPFF!U35</f>
        <v>B</v>
      </c>
      <c r="DZ28" s="128">
        <f>[1]ASISTEN!$BS$4</f>
        <v>47</v>
      </c>
      <c r="EA28" s="129">
        <f>[1]ASISTEN!BT36</f>
        <v>1</v>
      </c>
      <c r="EB28" s="128">
        <f>[1]ASISTEN!BP36</f>
        <v>47</v>
      </c>
      <c r="EC28" s="128">
        <f>[1]ASISTEN!BQ36</f>
        <v>0</v>
      </c>
      <c r="ED28" s="128">
        <f>[1]ASISTEN!BR36</f>
        <v>0</v>
      </c>
      <c r="EE28" s="128">
        <f>[1]ASISTEN!BS36</f>
        <v>0</v>
      </c>
      <c r="EF28" s="130" t="str">
        <f>[1]APREPER!AN35</f>
        <v>Requiere mayor esfuerzo y compromiso en sus actividades escolares, ya que la mayoría de competencias aún se encuentran en proceso y demandan atención continua.</v>
      </c>
      <c r="EG28" s="128">
        <f t="shared" si="0"/>
        <v>127</v>
      </c>
      <c r="EH28" s="128">
        <f t="shared" si="1"/>
        <v>24</v>
      </c>
      <c r="EI28" s="128"/>
      <c r="EJ28" s="104">
        <f t="shared" si="2"/>
        <v>0</v>
      </c>
      <c r="EK28" s="104">
        <f t="shared" si="3"/>
        <v>47</v>
      </c>
      <c r="EL28" s="104">
        <f t="shared" si="4"/>
        <v>33</v>
      </c>
    </row>
    <row r="29" spans="1:142" ht="30" x14ac:dyDescent="0.25">
      <c r="A29" s="125">
        <v>25</v>
      </c>
      <c r="B29" s="102" t="s">
        <v>140</v>
      </c>
      <c r="C29" s="126" t="str">
        <f>[1]PERS!N37</f>
        <v>A</v>
      </c>
      <c r="D29" s="126" t="str">
        <f>[1]PERS!AH37</f>
        <v>A</v>
      </c>
      <c r="E29" s="126" t="str">
        <f>[1]PERS!AZ37</f>
        <v>A</v>
      </c>
      <c r="F29" s="126" t="str">
        <f>[1]PERS!R37</f>
        <v>A</v>
      </c>
      <c r="G29" s="126" t="str">
        <f>[1]PERS!AL37</f>
        <v>A</v>
      </c>
      <c r="H29" s="126" t="str">
        <f>[1]PERS!BA37</f>
        <v>A</v>
      </c>
      <c r="I29" s="126" t="str">
        <f>[1]PERS!V37</f>
        <v>A</v>
      </c>
      <c r="J29" s="126" t="str">
        <f>[1]PERS!AP37</f>
        <v>A</v>
      </c>
      <c r="K29" s="126" t="str">
        <f>[1]PERS!BB37</f>
        <v>A</v>
      </c>
      <c r="L29" s="126" t="str">
        <f>[1]PERS!Z37</f>
        <v>A</v>
      </c>
      <c r="M29" s="126" t="str">
        <f>[1]PERS!AT37</f>
        <v>A</v>
      </c>
      <c r="N29" s="126" t="str">
        <f>[1]PERS!BC37</f>
        <v>A</v>
      </c>
      <c r="O29" s="126" t="str">
        <f>[1]PERS!AD37</f>
        <v>A</v>
      </c>
      <c r="P29" s="126" t="str">
        <f>[1]PERS!AX37</f>
        <v>A</v>
      </c>
      <c r="Q29" s="126" t="str">
        <f>[1]PERS!BD37</f>
        <v>A</v>
      </c>
      <c r="R29" s="126" t="str">
        <f>[1]EFIS!N37</f>
        <v>A</v>
      </c>
      <c r="S29" s="126" t="str">
        <f>[1]EFIS!AH37</f>
        <v>A</v>
      </c>
      <c r="T29" s="126" t="str">
        <f>[1]EFIS!AZ37</f>
        <v>A</v>
      </c>
      <c r="U29" s="126" t="str">
        <f>[1]EFIS!R37</f>
        <v>A</v>
      </c>
      <c r="V29" s="126" t="str">
        <f>[1]EFIS!AL37</f>
        <v>A</v>
      </c>
      <c r="W29" s="126" t="str">
        <f>[1]EFIS!BA37</f>
        <v>A</v>
      </c>
      <c r="X29" s="126" t="str">
        <f>[1]EFIS!V37</f>
        <v>A</v>
      </c>
      <c r="Y29" s="126" t="str">
        <f>[1]EFIS!AP37</f>
        <v>A</v>
      </c>
      <c r="Z29" s="126" t="str">
        <f>[1]EFIS!BB37</f>
        <v>A</v>
      </c>
      <c r="AA29" s="126" t="str">
        <f>[1]COMU!N37</f>
        <v>A</v>
      </c>
      <c r="AB29" s="126" t="str">
        <f>[1]COMU!AH37</f>
        <v>A</v>
      </c>
      <c r="AC29" s="126" t="str">
        <f>[1]COMU!AZ37</f>
        <v>A</v>
      </c>
      <c r="AD29" s="126" t="str">
        <f>[1]COMU!R37</f>
        <v>A</v>
      </c>
      <c r="AE29" s="126" t="str">
        <f>[1]COMU!AH37</f>
        <v>A</v>
      </c>
      <c r="AF29" s="126" t="str">
        <f>[1]COMU!BA37</f>
        <v>A</v>
      </c>
      <c r="AG29" s="126" t="str">
        <f>[1]COMU!V37</f>
        <v>A</v>
      </c>
      <c r="AH29" s="126" t="str">
        <f>[1]COMU!AP37</f>
        <v>A</v>
      </c>
      <c r="AI29" s="126" t="str">
        <f>[1]COMU!BB37</f>
        <v>A</v>
      </c>
      <c r="AJ29" s="126" t="str">
        <f>[1]ARTE!N37</f>
        <v>A</v>
      </c>
      <c r="AK29" s="126" t="str">
        <f>[1]ARTE!AH37</f>
        <v>A</v>
      </c>
      <c r="AL29" s="126" t="str">
        <f>[1]ARTE!AZ37</f>
        <v>A</v>
      </c>
      <c r="AM29" s="126" t="str">
        <f>[1]ARTE!R37</f>
        <v>A</v>
      </c>
      <c r="AN29" s="126" t="str">
        <f>[1]ARTE!AL37</f>
        <v>A</v>
      </c>
      <c r="AO29" s="126" t="str">
        <f>[1]ARTE!BA37</f>
        <v>A</v>
      </c>
      <c r="AP29" s="126" t="str">
        <f>[1]ING!N37</f>
        <v>A</v>
      </c>
      <c r="AQ29" s="126" t="str">
        <f>[1]ING!AH37</f>
        <v>A</v>
      </c>
      <c r="AR29" s="126" t="str">
        <f>[1]ING!AZ37</f>
        <v>A</v>
      </c>
      <c r="AS29" s="126" t="str">
        <f>[1]ING!R37</f>
        <v>A</v>
      </c>
      <c r="AT29" s="126" t="str">
        <f>[1]ING!AL37</f>
        <v>A</v>
      </c>
      <c r="AU29" s="126" t="str">
        <f>[1]ING!BA37</f>
        <v>A</v>
      </c>
      <c r="AV29" s="126" t="str">
        <f>[1]ING!V37</f>
        <v>A</v>
      </c>
      <c r="AW29" s="126" t="str">
        <f>[1]ING!AP37</f>
        <v>A</v>
      </c>
      <c r="AX29" s="126" t="str">
        <f>[1]ING!BB37</f>
        <v>A</v>
      </c>
      <c r="AY29" s="126" t="str">
        <f>[1]MATE!N37</f>
        <v>B</v>
      </c>
      <c r="AZ29" s="126" t="str">
        <f>[1]MATE!AH37</f>
        <v>B</v>
      </c>
      <c r="BA29" s="126" t="str">
        <f>[1]MATE!AZ37</f>
        <v>B</v>
      </c>
      <c r="BB29" s="126" t="str">
        <f>[1]MATE!R37</f>
        <v>A</v>
      </c>
      <c r="BC29" s="126" t="str">
        <f>[1]MATE!AL37</f>
        <v>A</v>
      </c>
      <c r="BD29" s="126" t="str">
        <f>[1]MATE!BA37</f>
        <v>A</v>
      </c>
      <c r="BE29" s="126" t="str">
        <f>[1]MATE!V37</f>
        <v>A</v>
      </c>
      <c r="BF29" s="126" t="str">
        <f>[1]MATE!AP37</f>
        <v>B</v>
      </c>
      <c r="BG29" s="126" t="str">
        <f>[1]MATE!BB37</f>
        <v>A</v>
      </c>
      <c r="BH29" s="126" t="str">
        <f>[1]MATE!Z37</f>
        <v>A</v>
      </c>
      <c r="BI29" s="126" t="str">
        <f>[1]MATE!AT37</f>
        <v>A</v>
      </c>
      <c r="BJ29" s="126" t="str">
        <f>[1]MATE!BC37</f>
        <v>A</v>
      </c>
      <c r="BK29" s="126" t="str">
        <f>[1]CTEC!N37</f>
        <v>B</v>
      </c>
      <c r="BL29" s="126" t="str">
        <f>[1]CTEC!AH37</f>
        <v>A</v>
      </c>
      <c r="BM29" s="126" t="str">
        <f>[1]CTEC!AZ37</f>
        <v>A</v>
      </c>
      <c r="BN29" s="126" t="str">
        <f>[1]CTEC!R37</f>
        <v>A</v>
      </c>
      <c r="BO29" s="126" t="str">
        <f>[1]CTEC!AL37</f>
        <v>A</v>
      </c>
      <c r="BP29" s="126" t="str">
        <f>[1]CTEC!BA37</f>
        <v>A</v>
      </c>
      <c r="BQ29" s="126" t="str">
        <f>[1]CTEC!V37</f>
        <v>B</v>
      </c>
      <c r="BR29" s="126" t="str">
        <f>[1]CTEC!AP37</f>
        <v>B</v>
      </c>
      <c r="BS29" s="126" t="str">
        <f>[1]CTEC!BB37</f>
        <v>B</v>
      </c>
      <c r="BT29" s="126" t="str">
        <f>[1]REL!N37</f>
        <v>A</v>
      </c>
      <c r="BU29" s="126" t="str">
        <f>[1]REL!AH37</f>
        <v>A</v>
      </c>
      <c r="BV29" s="126" t="str">
        <f>[1]REL!AZ37</f>
        <v>A</v>
      </c>
      <c r="BW29" s="126" t="str">
        <f>[1]REL!R37</f>
        <v>A</v>
      </c>
      <c r="BX29" s="126" t="str">
        <f>[1]REL!AL37</f>
        <v>A</v>
      </c>
      <c r="BY29" s="126" t="str">
        <f>[1]REL!BA37</f>
        <v>A</v>
      </c>
      <c r="BZ29" s="126" t="str">
        <f>[1]EMPR!N37</f>
        <v>A</v>
      </c>
      <c r="CA29" s="126" t="str">
        <f>[1]EMPR!AH37</f>
        <v>A</v>
      </c>
      <c r="CB29" s="126" t="str">
        <f>[1]EMPR!AZ37</f>
        <v>A</v>
      </c>
      <c r="CC29" s="126" t="str">
        <f>[1]COMPU!N37</f>
        <v>A</v>
      </c>
      <c r="CD29" s="126" t="str">
        <f>[1]COMPU!AH37</f>
        <v>A</v>
      </c>
      <c r="CE29" s="126" t="str">
        <f>[1]COMPU!AZ37</f>
        <v>A</v>
      </c>
      <c r="CF29" s="126" t="str">
        <f>[1]ROBOTI!N37</f>
        <v>A</v>
      </c>
      <c r="CG29" s="126" t="str">
        <f>[1]ROBOTI!AH37</f>
        <v>A</v>
      </c>
      <c r="CH29" s="126" t="str">
        <f>[1]ROBOTI!AZ37</f>
        <v>A</v>
      </c>
      <c r="CI29" s="126" t="str">
        <f>[1]APREPER!AL36</f>
        <v>A</v>
      </c>
      <c r="CJ29" s="127" t="str">
        <f>[1]APREPER!AM36</f>
        <v>A</v>
      </c>
      <c r="CK29" s="128" t="str">
        <f>[1]APREPER!I36</f>
        <v>X</v>
      </c>
      <c r="CL29" s="128">
        <f>[1]APREPER!J36</f>
        <v>0</v>
      </c>
      <c r="CM29" s="128">
        <f>[1]APREPER!K36</f>
        <v>0</v>
      </c>
      <c r="CN29" s="128" t="str">
        <f>[1]APREPER!L36</f>
        <v>X</v>
      </c>
      <c r="CO29" s="128">
        <f>[1]APREPER!M36</f>
        <v>0</v>
      </c>
      <c r="CP29" s="128">
        <f>[1]APREPER!N36</f>
        <v>0</v>
      </c>
      <c r="CQ29" s="128" t="str">
        <f>[1]APREPER!O36</f>
        <v>X</v>
      </c>
      <c r="CR29" s="128" t="str">
        <f>[1]APREPER!P36</f>
        <v/>
      </c>
      <c r="CS29" s="128">
        <f>[1]APREPER!Q36</f>
        <v>0</v>
      </c>
      <c r="CT29" s="128" t="str">
        <f>[1]APREPER!R36</f>
        <v>X</v>
      </c>
      <c r="CU29" s="128">
        <f>[1]APREPER!S36</f>
        <v>0</v>
      </c>
      <c r="CV29" s="128" t="str">
        <f>[1]APREPER!T36</f>
        <v/>
      </c>
      <c r="CW29" s="128" t="str">
        <f>[1]APREPER!U36</f>
        <v>X</v>
      </c>
      <c r="CX29" s="128">
        <f>[1]APREPER!V36</f>
        <v>0</v>
      </c>
      <c r="CY29" s="128">
        <f>[1]APREPER!W36</f>
        <v>0</v>
      </c>
      <c r="CZ29" s="128" t="str">
        <f>[1]APREPER!X36</f>
        <v>X</v>
      </c>
      <c r="DA29" s="128">
        <f>[1]APREPER!Y36</f>
        <v>0</v>
      </c>
      <c r="DB29" s="128">
        <f>[1]APREPER!Z36</f>
        <v>0</v>
      </c>
      <c r="DC29" s="128" t="str">
        <f>[1]APREPER!AA36</f>
        <v>X</v>
      </c>
      <c r="DD29" s="128" t="str">
        <f>[1]APREPER!AB36</f>
        <v/>
      </c>
      <c r="DE29" s="128">
        <f>[1]APREPER!AC36</f>
        <v>0</v>
      </c>
      <c r="DF29" s="128" t="str">
        <f>[1]APREPER!AD36</f>
        <v>X</v>
      </c>
      <c r="DG29" s="128">
        <f>[1]APREPER!AE36</f>
        <v>0</v>
      </c>
      <c r="DH29" s="128" t="str">
        <f>[1]APREPER!AF36</f>
        <v/>
      </c>
      <c r="DI29" s="128" t="str">
        <f>[1]APREPER!AG36</f>
        <v>X</v>
      </c>
      <c r="DJ29" s="128">
        <f>[1]APREPER!AH36</f>
        <v>0</v>
      </c>
      <c r="DK29" s="128">
        <f>[1]APREPER!AI36</f>
        <v>0</v>
      </c>
      <c r="DL29" s="128" t="str">
        <f>[1]APREPER!AJ36</f>
        <v>A</v>
      </c>
      <c r="DM29" s="128" t="str">
        <f>[1]APREPPFF!I36</f>
        <v>X</v>
      </c>
      <c r="DN29" s="128">
        <f>[1]APREPPFF!J36</f>
        <v>0</v>
      </c>
      <c r="DO29" s="128">
        <f>[1]APREPPFF!K36</f>
        <v>0</v>
      </c>
      <c r="DP29" s="128" t="str">
        <f>[1]APREPPFF!L36</f>
        <v>X</v>
      </c>
      <c r="DQ29" s="128">
        <f>[1]APREPPFF!M36</f>
        <v>0</v>
      </c>
      <c r="DR29" s="128">
        <f>[1]APREPPFF!N36</f>
        <v>0</v>
      </c>
      <c r="DS29" s="128" t="str">
        <f>[1]APREPPFF!O36</f>
        <v>X</v>
      </c>
      <c r="DT29" s="128" t="str">
        <f>[1]APREPPFF!P36</f>
        <v/>
      </c>
      <c r="DU29" s="128">
        <f>[1]APREPPFF!Q36</f>
        <v>0</v>
      </c>
      <c r="DV29" s="128" t="str">
        <f>[1]APREPPFF!R36</f>
        <v>X</v>
      </c>
      <c r="DW29" s="128">
        <f>[1]APREPPFF!S36</f>
        <v>0</v>
      </c>
      <c r="DX29" s="128" t="str">
        <f>[1]APREPPFF!T36</f>
        <v/>
      </c>
      <c r="DY29" s="128" t="str">
        <f>[1]APREPPFF!U36</f>
        <v>A</v>
      </c>
      <c r="DZ29" s="128">
        <f>[1]ASISTEN!$BS$4</f>
        <v>47</v>
      </c>
      <c r="EA29" s="129">
        <f>[1]ASISTEN!BT37</f>
        <v>1</v>
      </c>
      <c r="EB29" s="128">
        <f>[1]ASISTEN!BP37</f>
        <v>43</v>
      </c>
      <c r="EC29" s="128">
        <f>[1]ASISTEN!BQ37</f>
        <v>1</v>
      </c>
      <c r="ED29" s="128">
        <f>[1]ASISTEN!BR37</f>
        <v>3</v>
      </c>
      <c r="EE29" s="128">
        <f>[1]ASISTEN!BS37</f>
        <v>0</v>
      </c>
      <c r="EF29" s="130" t="str">
        <f>[1]APREPER!AN36</f>
        <v>Ha logrado avances importantes en varias competencias; sin embargo, aún requiere fortalecer algunos aprendizajes para alcanzar un desempeño más uniforme y seguro.</v>
      </c>
      <c r="EG29" s="128">
        <f t="shared" si="0"/>
        <v>164</v>
      </c>
      <c r="EH29" s="128">
        <f t="shared" si="1"/>
        <v>15</v>
      </c>
      <c r="EI29" s="128"/>
      <c r="EJ29" s="104">
        <f t="shared" si="2"/>
        <v>0</v>
      </c>
      <c r="EK29" s="104">
        <f t="shared" si="3"/>
        <v>78</v>
      </c>
      <c r="EL29" s="104">
        <f t="shared" si="4"/>
        <v>8</v>
      </c>
    </row>
    <row r="30" spans="1:142" ht="15.75" customHeight="1" x14ac:dyDescent="0.25">
      <c r="A30" s="125">
        <v>26</v>
      </c>
      <c r="B30" s="102"/>
      <c r="C30" s="126" t="str">
        <f>[1]PERS!N38</f>
        <v/>
      </c>
      <c r="D30" s="126" t="str">
        <f>[1]PERS!AH38</f>
        <v/>
      </c>
      <c r="E30" s="126" t="str">
        <f>[1]PERS!AZ38</f>
        <v/>
      </c>
      <c r="F30" s="126" t="str">
        <f>[1]PERS!R38</f>
        <v/>
      </c>
      <c r="G30" s="126" t="str">
        <f>[1]PERS!AL38</f>
        <v/>
      </c>
      <c r="H30" s="126" t="str">
        <f>[1]PERS!BA38</f>
        <v/>
      </c>
      <c r="I30" s="126" t="str">
        <f>[1]PERS!V38</f>
        <v/>
      </c>
      <c r="J30" s="126" t="str">
        <f>[1]PERS!AP38</f>
        <v/>
      </c>
      <c r="K30" s="126" t="str">
        <f>[1]PERS!BB38</f>
        <v/>
      </c>
      <c r="L30" s="126" t="str">
        <f>[1]PERS!Z38</f>
        <v/>
      </c>
      <c r="M30" s="126" t="str">
        <f>[1]PERS!AT38</f>
        <v/>
      </c>
      <c r="N30" s="126" t="str">
        <f>[1]PERS!BC38</f>
        <v/>
      </c>
      <c r="O30" s="126" t="str">
        <f>[1]PERS!AD38</f>
        <v/>
      </c>
      <c r="P30" s="126" t="str">
        <f>[1]PERS!AX38</f>
        <v/>
      </c>
      <c r="Q30" s="126" t="str">
        <f>[1]PERS!BD38</f>
        <v/>
      </c>
      <c r="R30" s="126"/>
      <c r="S30" s="126"/>
      <c r="T30" s="126"/>
      <c r="U30" s="126"/>
      <c r="V30" s="126"/>
      <c r="W30" s="126"/>
      <c r="X30" s="126"/>
      <c r="Y30" s="126"/>
      <c r="Z30" s="126"/>
      <c r="AA30" s="126" t="str">
        <f>[1]COMU!N38</f>
        <v/>
      </c>
      <c r="AB30" s="126" t="str">
        <f>[1]COMU!AH38</f>
        <v/>
      </c>
      <c r="AC30" s="126" t="str">
        <f>[1]COMU!AZ38</f>
        <v/>
      </c>
      <c r="AD30" s="126" t="str">
        <f>[1]COMU!R38</f>
        <v/>
      </c>
      <c r="AE30" s="126" t="str">
        <f>[1]COMU!AH38</f>
        <v/>
      </c>
      <c r="AF30" s="126" t="str">
        <f>[1]COMU!BA38</f>
        <v/>
      </c>
      <c r="AG30" s="126" t="str">
        <f>[1]COMU!V38</f>
        <v/>
      </c>
      <c r="AH30" s="126" t="str">
        <f>[1]COMU!AP38</f>
        <v/>
      </c>
      <c r="AI30" s="126" t="str">
        <f>[1]COMU!BB38</f>
        <v/>
      </c>
      <c r="AJ30" s="126" t="str">
        <f>[1]ARTE!N38</f>
        <v/>
      </c>
      <c r="AK30" s="126" t="str">
        <f>[1]ARTE!AH38</f>
        <v/>
      </c>
      <c r="AL30" s="126" t="str">
        <f>[1]ARTE!AZ38</f>
        <v/>
      </c>
      <c r="AM30" s="126" t="str">
        <f>[1]ARTE!R38</f>
        <v/>
      </c>
      <c r="AN30" s="126" t="str">
        <f>[1]ARTE!AL38</f>
        <v/>
      </c>
      <c r="AO30" s="126" t="str">
        <f>[1]ARTE!BA38</f>
        <v/>
      </c>
      <c r="AP30" s="126" t="str">
        <f>[1]ING!N38</f>
        <v/>
      </c>
      <c r="AQ30" s="126" t="str">
        <f>[1]ING!AH38</f>
        <v/>
      </c>
      <c r="AR30" s="126" t="str">
        <f>[1]ING!AZ38</f>
        <v/>
      </c>
      <c r="AS30" s="126" t="str">
        <f>[1]ING!R38</f>
        <v/>
      </c>
      <c r="AT30" s="126" t="str">
        <f>[1]ING!AL38</f>
        <v/>
      </c>
      <c r="AU30" s="126" t="str">
        <f>[1]ING!BA38</f>
        <v/>
      </c>
      <c r="AV30" s="126" t="str">
        <f>[1]ING!V38</f>
        <v/>
      </c>
      <c r="AW30" s="126" t="str">
        <f>[1]ING!AP38</f>
        <v/>
      </c>
      <c r="AX30" s="126" t="str">
        <f>[1]ING!BB38</f>
        <v/>
      </c>
      <c r="AY30" s="126"/>
      <c r="AZ30" s="126"/>
      <c r="BA30" s="126" t="str">
        <f>[1]MATE!AZ38</f>
        <v/>
      </c>
      <c r="BB30" s="126" t="str">
        <f>[1]MATE!R38</f>
        <v/>
      </c>
      <c r="BC30" s="126" t="str">
        <f>[1]MATE!AL38</f>
        <v/>
      </c>
      <c r="BD30" s="126" t="str">
        <f>[1]MATE!BA38</f>
        <v/>
      </c>
      <c r="BE30" s="126" t="str">
        <f>[1]MATE!V38</f>
        <v/>
      </c>
      <c r="BF30" s="126" t="str">
        <f>[1]MATE!AP38</f>
        <v/>
      </c>
      <c r="BG30" s="126" t="str">
        <f>[1]MATE!BB38</f>
        <v/>
      </c>
      <c r="BH30" s="126" t="str">
        <f>[1]MATE!Z38</f>
        <v/>
      </c>
      <c r="BI30" s="126" t="str">
        <f>[1]MATE!AT38</f>
        <v/>
      </c>
      <c r="BJ30" s="126" t="str">
        <f>[1]MATE!BC38</f>
        <v/>
      </c>
      <c r="BK30" s="126" t="str">
        <f>[1]CTEC!N38</f>
        <v/>
      </c>
      <c r="BL30" s="126" t="str">
        <f>[1]CTEC!AH38</f>
        <v/>
      </c>
      <c r="BM30" s="126" t="str">
        <f>[1]CTEC!AZ38</f>
        <v/>
      </c>
      <c r="BN30" s="126" t="str">
        <f>[1]CTEC!R38</f>
        <v/>
      </c>
      <c r="BO30" s="126" t="str">
        <f>[1]CTEC!AL38</f>
        <v/>
      </c>
      <c r="BP30" s="126" t="str">
        <f>[1]CTEC!BA38</f>
        <v/>
      </c>
      <c r="BQ30" s="126" t="str">
        <f>[1]CTEC!V38</f>
        <v/>
      </c>
      <c r="BR30" s="126" t="str">
        <f>[1]CTEC!AP38</f>
        <v/>
      </c>
      <c r="BS30" s="126" t="str">
        <f>[1]CTEC!BB38</f>
        <v/>
      </c>
      <c r="BT30" s="126" t="str">
        <f>[1]REL!N38</f>
        <v/>
      </c>
      <c r="BU30" s="126" t="str">
        <f>[1]REL!AH38</f>
        <v/>
      </c>
      <c r="BV30" s="126" t="str">
        <f>[1]REL!AZ38</f>
        <v/>
      </c>
      <c r="BW30" s="126" t="str">
        <f>[1]REL!R38</f>
        <v/>
      </c>
      <c r="BX30" s="126" t="str">
        <f>[1]REL!AL38</f>
        <v/>
      </c>
      <c r="BY30" s="126" t="str">
        <f>[1]REL!BA38</f>
        <v/>
      </c>
      <c r="BZ30" s="126" t="str">
        <f>[1]EMPR!N38</f>
        <v/>
      </c>
      <c r="CA30" s="126" t="str">
        <f>[1]EMPR!AH38</f>
        <v/>
      </c>
      <c r="CB30" s="126" t="str">
        <f>[1]EMPR!AZ38</f>
        <v/>
      </c>
      <c r="CC30" s="126" t="str">
        <f>[1]COMPU!N38</f>
        <v/>
      </c>
      <c r="CD30" s="126" t="str">
        <f>[1]COMPU!AH38</f>
        <v/>
      </c>
      <c r="CE30" s="126" t="str">
        <f>[1]COMPU!AZ38</f>
        <v/>
      </c>
      <c r="CF30" s="126" t="str">
        <f>[1]ROBOTI!N38</f>
        <v/>
      </c>
      <c r="CG30" s="126" t="str">
        <f>[1]ROBOTI!AH38</f>
        <v/>
      </c>
      <c r="CH30" s="126" t="str">
        <f>[1]ROBOTI!AZ38</f>
        <v/>
      </c>
      <c r="CI30" s="126">
        <f>[1]APREPER!AL37</f>
        <v>0</v>
      </c>
      <c r="CJ30" s="127">
        <f>[1]APREPER!AM37</f>
        <v>0</v>
      </c>
      <c r="CK30" s="128">
        <f>[1]APREPER!I37</f>
        <v>0</v>
      </c>
      <c r="CL30" s="128">
        <f>[1]APREPER!J37</f>
        <v>0</v>
      </c>
      <c r="CM30" s="128">
        <f>[1]APREPER!K37</f>
        <v>0</v>
      </c>
      <c r="CN30" s="128" t="str">
        <f>[1]APREPER!L37</f>
        <v/>
      </c>
      <c r="CO30" s="128">
        <f>[1]APREPER!M37</f>
        <v>0</v>
      </c>
      <c r="CP30" s="128">
        <f>[1]APREPER!N37</f>
        <v>0</v>
      </c>
      <c r="CQ30" s="128">
        <f>[1]APREPER!O37</f>
        <v>0</v>
      </c>
      <c r="CR30" s="128" t="str">
        <f>[1]APREPER!P37</f>
        <v/>
      </c>
      <c r="CS30" s="128">
        <f>[1]APREPER!Q37</f>
        <v>0</v>
      </c>
      <c r="CT30" s="128">
        <f>[1]APREPER!R37</f>
        <v>0</v>
      </c>
      <c r="CU30" s="128">
        <f>[1]APREPER!S37</f>
        <v>0</v>
      </c>
      <c r="CV30" s="128" t="str">
        <f>[1]APREPER!T37</f>
        <v/>
      </c>
      <c r="CW30" s="128">
        <f>[1]APREPER!U37</f>
        <v>0</v>
      </c>
      <c r="CX30" s="128">
        <f>[1]APREPER!V37</f>
        <v>0</v>
      </c>
      <c r="CY30" s="128">
        <f>[1]APREPER!W37</f>
        <v>0</v>
      </c>
      <c r="CZ30" s="128" t="str">
        <f>[1]APREPER!X37</f>
        <v/>
      </c>
      <c r="DA30" s="128">
        <f>[1]APREPER!Y37</f>
        <v>0</v>
      </c>
      <c r="DB30" s="128">
        <f>[1]APREPER!Z37</f>
        <v>0</v>
      </c>
      <c r="DC30" s="128">
        <f>[1]APREPER!AA37</f>
        <v>0</v>
      </c>
      <c r="DD30" s="128" t="str">
        <f>[1]APREPER!AB37</f>
        <v/>
      </c>
      <c r="DE30" s="128">
        <f>[1]APREPER!AC37</f>
        <v>0</v>
      </c>
      <c r="DF30" s="128">
        <f>[1]APREPER!AD37</f>
        <v>0</v>
      </c>
      <c r="DG30" s="128">
        <f>[1]APREPER!AE37</f>
        <v>0</v>
      </c>
      <c r="DH30" s="128" t="str">
        <f>[1]APREPER!AF37</f>
        <v/>
      </c>
      <c r="DI30" s="128">
        <f>[1]APREPER!AG37</f>
        <v>0</v>
      </c>
      <c r="DJ30" s="128">
        <f>[1]APREPER!AH37</f>
        <v>0</v>
      </c>
      <c r="DK30" s="128">
        <f>[1]APREPER!AI37</f>
        <v>0</v>
      </c>
      <c r="DL30" s="128">
        <f>[1]APREPER!AJ37</f>
        <v>0</v>
      </c>
      <c r="DM30" s="128">
        <f>[1]APREPPFF!I37</f>
        <v>0</v>
      </c>
      <c r="DN30" s="128">
        <f>[1]APREPPFF!J37</f>
        <v>0</v>
      </c>
      <c r="DO30" s="128">
        <f>[1]APREPPFF!K37</f>
        <v>0</v>
      </c>
      <c r="DP30" s="128" t="str">
        <f>[1]APREPPFF!L37</f>
        <v/>
      </c>
      <c r="DQ30" s="128">
        <f>[1]APREPPFF!M37</f>
        <v>0</v>
      </c>
      <c r="DR30" s="128">
        <f>[1]APREPPFF!N37</f>
        <v>0</v>
      </c>
      <c r="DS30" s="128">
        <f>[1]APREPPFF!O37</f>
        <v>0</v>
      </c>
      <c r="DT30" s="128" t="str">
        <f>[1]APREPPFF!P37</f>
        <v/>
      </c>
      <c r="DU30" s="128">
        <f>[1]APREPPFF!Q37</f>
        <v>0</v>
      </c>
      <c r="DV30" s="128">
        <f>[1]APREPPFF!R37</f>
        <v>0</v>
      </c>
      <c r="DW30" s="128">
        <f>[1]APREPPFF!S37</f>
        <v>0</v>
      </c>
      <c r="DX30" s="128" t="str">
        <f>[1]APREPPFF!T37</f>
        <v/>
      </c>
      <c r="DY30" s="128">
        <f>[1]APREPPFF!U37</f>
        <v>0</v>
      </c>
      <c r="DZ30" s="128"/>
      <c r="EA30" s="129" t="str">
        <f>[1]ASISTEN!BT38</f>
        <v/>
      </c>
      <c r="EB30" s="128" t="str">
        <f>[1]ASISTEN!BP38</f>
        <v/>
      </c>
      <c r="EC30" s="128" t="str">
        <f>[1]ASISTEN!BQ38</f>
        <v/>
      </c>
      <c r="ED30" s="128" t="str">
        <f>[1]ASISTEN!BR38</f>
        <v/>
      </c>
      <c r="EE30" s="128" t="str">
        <f>[1]ASISTEN!BS38</f>
        <v/>
      </c>
      <c r="EF30" s="130">
        <f>[1]APREPER!AN37</f>
        <v>0</v>
      </c>
      <c r="EG30" s="128"/>
      <c r="EH30" s="128"/>
      <c r="EI30" s="128"/>
      <c r="EJ30" s="104">
        <f t="shared" si="2"/>
        <v>0</v>
      </c>
      <c r="EK30" s="104">
        <f t="shared" si="3"/>
        <v>0</v>
      </c>
      <c r="EL30" s="104">
        <f t="shared" si="4"/>
        <v>0</v>
      </c>
    </row>
    <row r="31" spans="1:142" ht="15.75" customHeight="1" x14ac:dyDescent="0.25">
      <c r="A31" s="125">
        <v>27</v>
      </c>
      <c r="B31" s="102"/>
      <c r="C31" s="126" t="str">
        <f>[1]PERS!N39</f>
        <v/>
      </c>
      <c r="D31" s="126" t="str">
        <f>[1]PERS!AH39</f>
        <v/>
      </c>
      <c r="E31" s="126" t="str">
        <f>[1]PERS!AZ39</f>
        <v/>
      </c>
      <c r="F31" s="126" t="str">
        <f>[1]PERS!R39</f>
        <v/>
      </c>
      <c r="G31" s="126" t="str">
        <f>[1]PERS!AL39</f>
        <v/>
      </c>
      <c r="H31" s="126" t="str">
        <f>[1]PERS!BA39</f>
        <v/>
      </c>
      <c r="I31" s="126" t="str">
        <f>[1]PERS!V39</f>
        <v/>
      </c>
      <c r="J31" s="126" t="str">
        <f>[1]PERS!AP39</f>
        <v/>
      </c>
      <c r="K31" s="126" t="str">
        <f>[1]PERS!BB39</f>
        <v/>
      </c>
      <c r="L31" s="126" t="str">
        <f>[1]PERS!Z39</f>
        <v/>
      </c>
      <c r="M31" s="126" t="str">
        <f>[1]PERS!AT39</f>
        <v/>
      </c>
      <c r="N31" s="126" t="str">
        <f>[1]PERS!BC39</f>
        <v/>
      </c>
      <c r="O31" s="126" t="str">
        <f>[1]PERS!AD39</f>
        <v/>
      </c>
      <c r="P31" s="126" t="str">
        <f>[1]PERS!AX39</f>
        <v/>
      </c>
      <c r="Q31" s="126" t="str">
        <f>[1]PERS!BD39</f>
        <v/>
      </c>
      <c r="R31" s="126"/>
      <c r="S31" s="126"/>
      <c r="T31" s="126"/>
      <c r="U31" s="126"/>
      <c r="V31" s="126"/>
      <c r="W31" s="126"/>
      <c r="X31" s="126"/>
      <c r="Y31" s="126"/>
      <c r="Z31" s="126"/>
      <c r="AA31" s="126" t="str">
        <f>[1]COMU!N39</f>
        <v/>
      </c>
      <c r="AB31" s="126" t="str">
        <f>[1]COMU!AH39</f>
        <v/>
      </c>
      <c r="AC31" s="126" t="str">
        <f>[1]COMU!AZ39</f>
        <v/>
      </c>
      <c r="AD31" s="126" t="str">
        <f>[1]COMU!R39</f>
        <v/>
      </c>
      <c r="AE31" s="126" t="str">
        <f>[1]COMU!AH39</f>
        <v/>
      </c>
      <c r="AF31" s="126" t="str">
        <f>[1]COMU!BA39</f>
        <v/>
      </c>
      <c r="AG31" s="126" t="str">
        <f>[1]COMU!V39</f>
        <v/>
      </c>
      <c r="AH31" s="126" t="str">
        <f>[1]COMU!AP39</f>
        <v/>
      </c>
      <c r="AI31" s="126" t="str">
        <f>[1]COMU!BB39</f>
        <v/>
      </c>
      <c r="AJ31" s="126" t="str">
        <f>[1]ARTE!N39</f>
        <v/>
      </c>
      <c r="AK31" s="126" t="str">
        <f>[1]ARTE!AH39</f>
        <v/>
      </c>
      <c r="AL31" s="126" t="str">
        <f>[1]ARTE!AZ39</f>
        <v/>
      </c>
      <c r="AM31" s="126" t="str">
        <f>[1]ARTE!R39</f>
        <v/>
      </c>
      <c r="AN31" s="126" t="str">
        <f>[1]ARTE!AL39</f>
        <v/>
      </c>
      <c r="AO31" s="126" t="str">
        <f>[1]ARTE!BA39</f>
        <v/>
      </c>
      <c r="AP31" s="126" t="str">
        <f>[1]ING!N39</f>
        <v/>
      </c>
      <c r="AQ31" s="126" t="str">
        <f>[1]ING!AH39</f>
        <v/>
      </c>
      <c r="AR31" s="126" t="str">
        <f>[1]ING!AZ39</f>
        <v/>
      </c>
      <c r="AS31" s="126" t="str">
        <f>[1]ING!R39</f>
        <v/>
      </c>
      <c r="AT31" s="126" t="str">
        <f>[1]ING!AL39</f>
        <v/>
      </c>
      <c r="AU31" s="126" t="str">
        <f>[1]ING!BA39</f>
        <v/>
      </c>
      <c r="AV31" s="126" t="str">
        <f>[1]ING!V39</f>
        <v/>
      </c>
      <c r="AW31" s="126" t="str">
        <f>[1]ING!AP39</f>
        <v/>
      </c>
      <c r="AX31" s="126" t="str">
        <f>[1]ING!BB39</f>
        <v/>
      </c>
      <c r="AY31" s="126"/>
      <c r="AZ31" s="126"/>
      <c r="BA31" s="126" t="str">
        <f>[1]MATE!AZ39</f>
        <v/>
      </c>
      <c r="BB31" s="126" t="str">
        <f>[1]MATE!R39</f>
        <v/>
      </c>
      <c r="BC31" s="126" t="str">
        <f>[1]MATE!AL39</f>
        <v/>
      </c>
      <c r="BD31" s="126" t="str">
        <f>[1]MATE!BA39</f>
        <v/>
      </c>
      <c r="BE31" s="126" t="str">
        <f>[1]MATE!V39</f>
        <v/>
      </c>
      <c r="BF31" s="126" t="str">
        <f>[1]MATE!AP39</f>
        <v/>
      </c>
      <c r="BG31" s="126" t="str">
        <f>[1]MATE!BB39</f>
        <v/>
      </c>
      <c r="BH31" s="126" t="str">
        <f>[1]MATE!Z39</f>
        <v/>
      </c>
      <c r="BI31" s="126" t="str">
        <f>[1]MATE!AT39</f>
        <v/>
      </c>
      <c r="BJ31" s="126" t="str">
        <f>[1]MATE!BC39</f>
        <v/>
      </c>
      <c r="BK31" s="126" t="str">
        <f>[1]CTEC!N39</f>
        <v/>
      </c>
      <c r="BL31" s="126" t="str">
        <f>[1]CTEC!AH39</f>
        <v/>
      </c>
      <c r="BM31" s="126" t="str">
        <f>[1]CTEC!AZ39</f>
        <v/>
      </c>
      <c r="BN31" s="126" t="str">
        <f>[1]CTEC!R39</f>
        <v/>
      </c>
      <c r="BO31" s="126" t="str">
        <f>[1]CTEC!AL39</f>
        <v/>
      </c>
      <c r="BP31" s="126" t="str">
        <f>[1]CTEC!BA39</f>
        <v/>
      </c>
      <c r="BQ31" s="126" t="str">
        <f>[1]CTEC!V39</f>
        <v/>
      </c>
      <c r="BR31" s="126" t="str">
        <f>[1]CTEC!AP39</f>
        <v/>
      </c>
      <c r="BS31" s="126" t="str">
        <f>[1]CTEC!BB39</f>
        <v/>
      </c>
      <c r="BT31" s="126" t="str">
        <f>[1]REL!N39</f>
        <v/>
      </c>
      <c r="BU31" s="126" t="str">
        <f>[1]REL!AH39</f>
        <v/>
      </c>
      <c r="BV31" s="126" t="str">
        <f>[1]REL!AZ39</f>
        <v/>
      </c>
      <c r="BW31" s="126" t="str">
        <f>[1]REL!R39</f>
        <v/>
      </c>
      <c r="BX31" s="126" t="str">
        <f>[1]REL!AL39</f>
        <v/>
      </c>
      <c r="BY31" s="126" t="str">
        <f>[1]REL!BA39</f>
        <v/>
      </c>
      <c r="BZ31" s="126" t="str">
        <f>[1]EMPR!N39</f>
        <v/>
      </c>
      <c r="CA31" s="126" t="str">
        <f>[1]EMPR!AH39</f>
        <v/>
      </c>
      <c r="CB31" s="126" t="str">
        <f>[1]EMPR!AZ39</f>
        <v/>
      </c>
      <c r="CC31" s="126" t="str">
        <f>[1]COMPU!N39</f>
        <v/>
      </c>
      <c r="CD31" s="126" t="str">
        <f>[1]COMPU!AH39</f>
        <v/>
      </c>
      <c r="CE31" s="126" t="str">
        <f>[1]COMPU!AZ39</f>
        <v/>
      </c>
      <c r="CF31" s="126" t="str">
        <f>[1]ROBOTI!N39</f>
        <v/>
      </c>
      <c r="CG31" s="126" t="str">
        <f>[1]ROBOTI!AH39</f>
        <v/>
      </c>
      <c r="CH31" s="126" t="str">
        <f>[1]ROBOTI!AZ39</f>
        <v/>
      </c>
      <c r="CI31" s="126">
        <f>[1]APREPER!AL38</f>
        <v>0</v>
      </c>
      <c r="CJ31" s="127">
        <f>[1]APREPER!AM38</f>
        <v>0</v>
      </c>
      <c r="CK31" s="128">
        <f>[1]APREPER!I38</f>
        <v>0</v>
      </c>
      <c r="CL31" s="128">
        <f>[1]APREPER!J38</f>
        <v>0</v>
      </c>
      <c r="CM31" s="128">
        <f>[1]APREPER!K38</f>
        <v>0</v>
      </c>
      <c r="CN31" s="128" t="str">
        <f>[1]APREPER!L38</f>
        <v/>
      </c>
      <c r="CO31" s="128">
        <f>[1]APREPER!M38</f>
        <v>0</v>
      </c>
      <c r="CP31" s="128">
        <f>[1]APREPER!N38</f>
        <v>0</v>
      </c>
      <c r="CQ31" s="128">
        <f>[1]APREPER!O38</f>
        <v>0</v>
      </c>
      <c r="CR31" s="128" t="str">
        <f>[1]APREPER!P38</f>
        <v/>
      </c>
      <c r="CS31" s="128">
        <f>[1]APREPER!Q38</f>
        <v>0</v>
      </c>
      <c r="CT31" s="128">
        <f>[1]APREPER!R38</f>
        <v>0</v>
      </c>
      <c r="CU31" s="128">
        <f>[1]APREPER!S38</f>
        <v>0</v>
      </c>
      <c r="CV31" s="128" t="str">
        <f>[1]APREPER!T38</f>
        <v/>
      </c>
      <c r="CW31" s="128">
        <f>[1]APREPER!U38</f>
        <v>0</v>
      </c>
      <c r="CX31" s="128">
        <f>[1]APREPER!V38</f>
        <v>0</v>
      </c>
      <c r="CY31" s="128">
        <f>[1]APREPER!W38</f>
        <v>0</v>
      </c>
      <c r="CZ31" s="128" t="str">
        <f>[1]APREPER!X38</f>
        <v/>
      </c>
      <c r="DA31" s="128">
        <f>[1]APREPER!Y38</f>
        <v>0</v>
      </c>
      <c r="DB31" s="128">
        <f>[1]APREPER!Z38</f>
        <v>0</v>
      </c>
      <c r="DC31" s="128">
        <f>[1]APREPER!AA38</f>
        <v>0</v>
      </c>
      <c r="DD31" s="128" t="str">
        <f>[1]APREPER!AB38</f>
        <v/>
      </c>
      <c r="DE31" s="128">
        <f>[1]APREPER!AC38</f>
        <v>0</v>
      </c>
      <c r="DF31" s="128">
        <f>[1]APREPER!AD38</f>
        <v>0</v>
      </c>
      <c r="DG31" s="128">
        <f>[1]APREPER!AE38</f>
        <v>0</v>
      </c>
      <c r="DH31" s="128" t="str">
        <f>[1]APREPER!AF38</f>
        <v/>
      </c>
      <c r="DI31" s="128">
        <f>[1]APREPER!AG38</f>
        <v>0</v>
      </c>
      <c r="DJ31" s="128">
        <f>[1]APREPER!AH38</f>
        <v>0</v>
      </c>
      <c r="DK31" s="128">
        <f>[1]APREPER!AI38</f>
        <v>0</v>
      </c>
      <c r="DL31" s="128">
        <f>[1]APREPER!AJ38</f>
        <v>0</v>
      </c>
      <c r="DM31" s="128">
        <f>[1]APREPPFF!I38</f>
        <v>0</v>
      </c>
      <c r="DN31" s="128">
        <f>[1]APREPPFF!J38</f>
        <v>0</v>
      </c>
      <c r="DO31" s="128">
        <f>[1]APREPPFF!K38</f>
        <v>0</v>
      </c>
      <c r="DP31" s="128" t="str">
        <f>[1]APREPPFF!L38</f>
        <v/>
      </c>
      <c r="DQ31" s="128">
        <f>[1]APREPPFF!M38</f>
        <v>0</v>
      </c>
      <c r="DR31" s="128">
        <f>[1]APREPPFF!N38</f>
        <v>0</v>
      </c>
      <c r="DS31" s="128">
        <f>[1]APREPPFF!O38</f>
        <v>0</v>
      </c>
      <c r="DT31" s="128" t="str">
        <f>[1]APREPPFF!P38</f>
        <v/>
      </c>
      <c r="DU31" s="128">
        <f>[1]APREPPFF!Q38</f>
        <v>0</v>
      </c>
      <c r="DV31" s="128">
        <f>[1]APREPPFF!R38</f>
        <v>0</v>
      </c>
      <c r="DW31" s="128">
        <f>[1]APREPPFF!S38</f>
        <v>0</v>
      </c>
      <c r="DX31" s="128" t="str">
        <f>[1]APREPPFF!T38</f>
        <v/>
      </c>
      <c r="DY31" s="128">
        <f>[1]APREPPFF!U38</f>
        <v>0</v>
      </c>
      <c r="DZ31" s="128"/>
      <c r="EA31" s="129" t="str">
        <f>[1]ASISTEN!BT39</f>
        <v/>
      </c>
      <c r="EB31" s="128" t="str">
        <f>[1]ASISTEN!BP39</f>
        <v/>
      </c>
      <c r="EC31" s="128" t="str">
        <f>[1]ASISTEN!BQ39</f>
        <v/>
      </c>
      <c r="ED31" s="128" t="str">
        <f>[1]ASISTEN!BR39</f>
        <v/>
      </c>
      <c r="EE31" s="128" t="str">
        <f>[1]ASISTEN!BS39</f>
        <v/>
      </c>
      <c r="EF31" s="130">
        <f>[1]APREPER!AN38</f>
        <v>0</v>
      </c>
      <c r="EG31" s="128"/>
      <c r="EH31" s="128"/>
      <c r="EI31" s="128"/>
      <c r="EJ31" s="104">
        <f t="shared" si="2"/>
        <v>0</v>
      </c>
      <c r="EK31" s="104">
        <f t="shared" si="3"/>
        <v>0</v>
      </c>
      <c r="EL31" s="104">
        <f t="shared" si="4"/>
        <v>0</v>
      </c>
    </row>
    <row r="32" spans="1:142" ht="15.75" customHeight="1" x14ac:dyDescent="0.25">
      <c r="A32" s="125">
        <v>28</v>
      </c>
      <c r="B32" s="128"/>
      <c r="C32" s="126" t="str">
        <f>[1]PERS!N40</f>
        <v/>
      </c>
      <c r="D32" s="126" t="str">
        <f>[1]PERS!AH40</f>
        <v/>
      </c>
      <c r="E32" s="126" t="str">
        <f>[1]PERS!AZ40</f>
        <v/>
      </c>
      <c r="F32" s="126" t="str">
        <f>[1]PERS!R40</f>
        <v/>
      </c>
      <c r="G32" s="126" t="str">
        <f>[1]PERS!AL40</f>
        <v/>
      </c>
      <c r="H32" s="126" t="str">
        <f>[1]PERS!BA40</f>
        <v/>
      </c>
      <c r="I32" s="126" t="str">
        <f>[1]PERS!V40</f>
        <v/>
      </c>
      <c r="J32" s="126" t="str">
        <f>[1]PERS!AP40</f>
        <v/>
      </c>
      <c r="K32" s="126" t="str">
        <f>[1]PERS!BB40</f>
        <v/>
      </c>
      <c r="L32" s="126" t="str">
        <f>[1]PERS!Z40</f>
        <v/>
      </c>
      <c r="M32" s="126" t="str">
        <f>[1]PERS!AT40</f>
        <v/>
      </c>
      <c r="N32" s="126" t="str">
        <f>[1]PERS!BC40</f>
        <v/>
      </c>
      <c r="O32" s="126" t="str">
        <f>[1]PERS!AD40</f>
        <v/>
      </c>
      <c r="P32" s="126" t="str">
        <f>[1]PERS!AX40</f>
        <v/>
      </c>
      <c r="Q32" s="126" t="str">
        <f>[1]PERS!BD40</f>
        <v/>
      </c>
      <c r="R32" s="126"/>
      <c r="S32" s="126"/>
      <c r="T32" s="126"/>
      <c r="U32" s="126"/>
      <c r="V32" s="126"/>
      <c r="W32" s="126"/>
      <c r="X32" s="126"/>
      <c r="Y32" s="126"/>
      <c r="Z32" s="126"/>
      <c r="AA32" s="126" t="str">
        <f>[1]COMU!N40</f>
        <v/>
      </c>
      <c r="AB32" s="126" t="str">
        <f>[1]COMU!AH40</f>
        <v/>
      </c>
      <c r="AC32" s="126" t="str">
        <f>[1]COMU!AZ40</f>
        <v/>
      </c>
      <c r="AD32" s="126" t="str">
        <f>[1]COMU!R40</f>
        <v/>
      </c>
      <c r="AE32" s="126" t="str">
        <f>[1]COMU!AH40</f>
        <v/>
      </c>
      <c r="AF32" s="126" t="str">
        <f>[1]COMU!BA40</f>
        <v/>
      </c>
      <c r="AG32" s="126" t="str">
        <f>[1]COMU!V40</f>
        <v/>
      </c>
      <c r="AH32" s="126" t="str">
        <f>[1]COMU!AP40</f>
        <v/>
      </c>
      <c r="AI32" s="126" t="str">
        <f>[1]COMU!BB40</f>
        <v/>
      </c>
      <c r="AJ32" s="126" t="str">
        <f>[1]ARTE!N40</f>
        <v/>
      </c>
      <c r="AK32" s="126" t="str">
        <f>[1]ARTE!AH40</f>
        <v/>
      </c>
      <c r="AL32" s="126" t="str">
        <f>[1]ARTE!AZ40</f>
        <v/>
      </c>
      <c r="AM32" s="126" t="str">
        <f>[1]ARTE!R40</f>
        <v/>
      </c>
      <c r="AN32" s="126" t="str">
        <f>[1]ARTE!AL40</f>
        <v/>
      </c>
      <c r="AO32" s="126" t="str">
        <f>[1]ARTE!BA40</f>
        <v/>
      </c>
      <c r="AP32" s="126" t="str">
        <f>[1]ING!N40</f>
        <v/>
      </c>
      <c r="AQ32" s="126" t="str">
        <f>[1]ING!AH40</f>
        <v/>
      </c>
      <c r="AR32" s="126" t="str">
        <f>[1]ING!AZ40</f>
        <v/>
      </c>
      <c r="AS32" s="126" t="str">
        <f>[1]ING!R40</f>
        <v/>
      </c>
      <c r="AT32" s="126" t="str">
        <f>[1]ING!AL40</f>
        <v/>
      </c>
      <c r="AU32" s="126" t="str">
        <f>[1]ING!BA40</f>
        <v/>
      </c>
      <c r="AV32" s="126" t="str">
        <f>[1]ING!V40</f>
        <v/>
      </c>
      <c r="AW32" s="126" t="str">
        <f>[1]ING!AP40</f>
        <v/>
      </c>
      <c r="AX32" s="126" t="str">
        <f>[1]ING!BB40</f>
        <v/>
      </c>
      <c r="AY32" s="126"/>
      <c r="AZ32" s="126"/>
      <c r="BA32" s="126" t="str">
        <f>[1]MATE!AZ40</f>
        <v/>
      </c>
      <c r="BB32" s="126" t="str">
        <f>[1]MATE!R40</f>
        <v/>
      </c>
      <c r="BC32" s="126" t="str">
        <f>[1]MATE!AL40</f>
        <v/>
      </c>
      <c r="BD32" s="126" t="str">
        <f>[1]MATE!BA40</f>
        <v/>
      </c>
      <c r="BE32" s="126" t="str">
        <f>[1]MATE!V40</f>
        <v/>
      </c>
      <c r="BF32" s="126" t="str">
        <f>[1]MATE!AP40</f>
        <v/>
      </c>
      <c r="BG32" s="126" t="str">
        <f>[1]MATE!BB40</f>
        <v/>
      </c>
      <c r="BH32" s="126" t="str">
        <f>[1]MATE!Z40</f>
        <v/>
      </c>
      <c r="BI32" s="126" t="str">
        <f>[1]MATE!AT40</f>
        <v/>
      </c>
      <c r="BJ32" s="126" t="str">
        <f>[1]MATE!BC40</f>
        <v/>
      </c>
      <c r="BK32" s="126" t="str">
        <f>[1]CTEC!N40</f>
        <v/>
      </c>
      <c r="BL32" s="126" t="str">
        <f>[1]CTEC!AH40</f>
        <v/>
      </c>
      <c r="BM32" s="126" t="str">
        <f>[1]CTEC!AZ40</f>
        <v/>
      </c>
      <c r="BN32" s="126" t="str">
        <f>[1]CTEC!R40</f>
        <v/>
      </c>
      <c r="BO32" s="126" t="str">
        <f>[1]CTEC!AL40</f>
        <v/>
      </c>
      <c r="BP32" s="126" t="str">
        <f>[1]CTEC!BA40</f>
        <v/>
      </c>
      <c r="BQ32" s="126" t="str">
        <f>[1]CTEC!V40</f>
        <v/>
      </c>
      <c r="BR32" s="126" t="str">
        <f>[1]CTEC!AP40</f>
        <v/>
      </c>
      <c r="BS32" s="126" t="str">
        <f>[1]CTEC!BB40</f>
        <v/>
      </c>
      <c r="BT32" s="126" t="str">
        <f>[1]REL!N40</f>
        <v/>
      </c>
      <c r="BU32" s="126" t="str">
        <f>[1]REL!AH40</f>
        <v/>
      </c>
      <c r="BV32" s="126" t="str">
        <f>[1]REL!AZ40</f>
        <v/>
      </c>
      <c r="BW32" s="126" t="str">
        <f>[1]REL!R40</f>
        <v/>
      </c>
      <c r="BX32" s="126" t="str">
        <f>[1]REL!AL40</f>
        <v/>
      </c>
      <c r="BY32" s="126" t="str">
        <f>[1]REL!BA40</f>
        <v/>
      </c>
      <c r="BZ32" s="126" t="str">
        <f>[1]EMPR!N40</f>
        <v/>
      </c>
      <c r="CA32" s="126" t="str">
        <f>[1]EMPR!AH40</f>
        <v/>
      </c>
      <c r="CB32" s="126" t="str">
        <f>[1]EMPR!AZ40</f>
        <v/>
      </c>
      <c r="CC32" s="126" t="str">
        <f>[1]COMPU!N40</f>
        <v/>
      </c>
      <c r="CD32" s="126" t="str">
        <f>[1]COMPU!AH40</f>
        <v/>
      </c>
      <c r="CE32" s="126" t="str">
        <f>[1]COMPU!AZ40</f>
        <v/>
      </c>
      <c r="CF32" s="126" t="str">
        <f>[1]ROBOTI!N40</f>
        <v/>
      </c>
      <c r="CG32" s="126" t="str">
        <f>[1]ROBOTI!AH40</f>
        <v/>
      </c>
      <c r="CH32" s="126" t="str">
        <f>[1]ROBOTI!AZ40</f>
        <v/>
      </c>
      <c r="CI32" s="126">
        <f>[1]APREPER!AL39</f>
        <v>0</v>
      </c>
      <c r="CJ32" s="127">
        <f>[1]APREPER!AM39</f>
        <v>0</v>
      </c>
      <c r="CK32" s="128">
        <f>[1]APREPER!I39</f>
        <v>0</v>
      </c>
      <c r="CL32" s="128">
        <f>[1]APREPER!J39</f>
        <v>0</v>
      </c>
      <c r="CM32" s="128">
        <f>[1]APREPER!K39</f>
        <v>0</v>
      </c>
      <c r="CN32" s="128" t="str">
        <f>[1]APREPER!L39</f>
        <v/>
      </c>
      <c r="CO32" s="128">
        <f>[1]APREPER!M39</f>
        <v>0</v>
      </c>
      <c r="CP32" s="128">
        <f>[1]APREPER!N39</f>
        <v>0</v>
      </c>
      <c r="CQ32" s="128">
        <f>[1]APREPER!O39</f>
        <v>0</v>
      </c>
      <c r="CR32" s="128" t="str">
        <f>[1]APREPER!P39</f>
        <v/>
      </c>
      <c r="CS32" s="128">
        <f>[1]APREPER!Q39</f>
        <v>0</v>
      </c>
      <c r="CT32" s="128">
        <f>[1]APREPER!R39</f>
        <v>0</v>
      </c>
      <c r="CU32" s="128">
        <f>[1]APREPER!S39</f>
        <v>0</v>
      </c>
      <c r="CV32" s="128" t="str">
        <f>[1]APREPER!T39</f>
        <v/>
      </c>
      <c r="CW32" s="128">
        <f>[1]APREPER!U39</f>
        <v>0</v>
      </c>
      <c r="CX32" s="128">
        <f>[1]APREPER!V39</f>
        <v>0</v>
      </c>
      <c r="CY32" s="128">
        <f>[1]APREPER!W39</f>
        <v>0</v>
      </c>
      <c r="CZ32" s="128" t="str">
        <f>[1]APREPER!X39</f>
        <v/>
      </c>
      <c r="DA32" s="128">
        <f>[1]APREPER!Y39</f>
        <v>0</v>
      </c>
      <c r="DB32" s="128">
        <f>[1]APREPER!Z39</f>
        <v>0</v>
      </c>
      <c r="DC32" s="128">
        <f>[1]APREPER!AA39</f>
        <v>0</v>
      </c>
      <c r="DD32" s="128" t="str">
        <f>[1]APREPER!AB39</f>
        <v/>
      </c>
      <c r="DE32" s="128">
        <f>[1]APREPER!AC39</f>
        <v>0</v>
      </c>
      <c r="DF32" s="128">
        <f>[1]APREPER!AD39</f>
        <v>0</v>
      </c>
      <c r="DG32" s="128">
        <f>[1]APREPER!AE39</f>
        <v>0</v>
      </c>
      <c r="DH32" s="128" t="str">
        <f>[1]APREPER!AF39</f>
        <v/>
      </c>
      <c r="DI32" s="128">
        <f>[1]APREPER!AG39</f>
        <v>0</v>
      </c>
      <c r="DJ32" s="128">
        <f>[1]APREPER!AH39</f>
        <v>0</v>
      </c>
      <c r="DK32" s="128">
        <f>[1]APREPER!AI39</f>
        <v>0</v>
      </c>
      <c r="DL32" s="128">
        <f>[1]APREPER!AJ39</f>
        <v>0</v>
      </c>
      <c r="DM32" s="128">
        <f>[1]APREPPFF!I39</f>
        <v>0</v>
      </c>
      <c r="DN32" s="128">
        <f>[1]APREPPFF!J39</f>
        <v>0</v>
      </c>
      <c r="DO32" s="128">
        <f>[1]APREPPFF!K39</f>
        <v>0</v>
      </c>
      <c r="DP32" s="128" t="str">
        <f>[1]APREPPFF!L39</f>
        <v/>
      </c>
      <c r="DQ32" s="128">
        <f>[1]APREPPFF!M39</f>
        <v>0</v>
      </c>
      <c r="DR32" s="128">
        <f>[1]APREPPFF!N39</f>
        <v>0</v>
      </c>
      <c r="DS32" s="128">
        <f>[1]APREPPFF!O39</f>
        <v>0</v>
      </c>
      <c r="DT32" s="128" t="str">
        <f>[1]APREPPFF!P39</f>
        <v/>
      </c>
      <c r="DU32" s="128">
        <f>[1]APREPPFF!Q39</f>
        <v>0</v>
      </c>
      <c r="DV32" s="128">
        <f>[1]APREPPFF!R39</f>
        <v>0</v>
      </c>
      <c r="DW32" s="128">
        <f>[1]APREPPFF!S39</f>
        <v>0</v>
      </c>
      <c r="DX32" s="128" t="str">
        <f>[1]APREPPFF!T39</f>
        <v/>
      </c>
      <c r="DY32" s="128">
        <f>[1]APREPPFF!U39</f>
        <v>0</v>
      </c>
      <c r="DZ32" s="128"/>
      <c r="EA32" s="129">
        <f>[1]ASISTEN!BT40</f>
        <v>0</v>
      </c>
      <c r="EB32" s="128">
        <f>[1]ASISTEN!BP40</f>
        <v>0</v>
      </c>
      <c r="EC32" s="128">
        <f>[1]ASISTEN!BQ40</f>
        <v>0</v>
      </c>
      <c r="ED32" s="128">
        <f>[1]ASISTEN!BR40</f>
        <v>0</v>
      </c>
      <c r="EE32" s="128">
        <f>[1]ASISTEN!BS40</f>
        <v>0</v>
      </c>
      <c r="EF32" s="130">
        <f>[1]APREPER!AN39</f>
        <v>0</v>
      </c>
      <c r="EG32" s="128"/>
      <c r="EH32" s="128"/>
      <c r="EI32" s="128"/>
      <c r="EJ32" s="104">
        <f t="shared" si="2"/>
        <v>0</v>
      </c>
      <c r="EK32" s="104">
        <f t="shared" si="3"/>
        <v>0</v>
      </c>
      <c r="EL32" s="104">
        <f t="shared" si="4"/>
        <v>0</v>
      </c>
    </row>
    <row r="33" spans="1:139" ht="15.75" customHeight="1" x14ac:dyDescent="0.25">
      <c r="A33" s="133"/>
      <c r="B33" s="134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34"/>
      <c r="DZ33" s="134"/>
      <c r="EA33" s="134"/>
      <c r="EB33" s="134"/>
      <c r="EC33" s="134"/>
      <c r="ED33" s="134"/>
      <c r="EE33" s="134"/>
      <c r="EF33" s="134"/>
      <c r="EG33" s="134"/>
      <c r="EH33" s="134"/>
      <c r="EI33" s="134"/>
    </row>
    <row r="34" spans="1:139" ht="15.75" customHeight="1" x14ac:dyDescent="0.25">
      <c r="A34" s="133"/>
      <c r="B34" s="134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</row>
    <row r="35" spans="1:139" ht="15.75" customHeight="1" x14ac:dyDescent="0.25">
      <c r="A35" s="133"/>
      <c r="B35" s="134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35"/>
      <c r="CJ35" s="135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  <c r="CU35" s="106"/>
      <c r="CV35" s="106"/>
      <c r="CW35" s="106"/>
      <c r="CX35" s="106"/>
      <c r="CY35" s="106"/>
      <c r="CZ35" s="106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6"/>
      <c r="DO35" s="106"/>
      <c r="DP35" s="106"/>
      <c r="DQ35" s="106"/>
      <c r="DR35" s="106"/>
      <c r="DS35" s="106"/>
      <c r="DT35" s="106"/>
      <c r="DU35" s="106"/>
      <c r="DV35" s="106"/>
      <c r="DW35" s="106"/>
      <c r="DX35" s="106"/>
      <c r="DY35" s="106"/>
      <c r="DZ35" s="106"/>
      <c r="EA35" s="106"/>
      <c r="EB35" s="106"/>
      <c r="EC35" s="106"/>
      <c r="ED35" s="106"/>
      <c r="EE35" s="106"/>
      <c r="EF35" s="135"/>
      <c r="EG35" s="134"/>
      <c r="EH35" s="134"/>
      <c r="EI35" s="134"/>
    </row>
    <row r="36" spans="1:139" ht="15.75" customHeight="1" x14ac:dyDescent="0.25">
      <c r="A36" s="133"/>
      <c r="B36" s="134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96"/>
      <c r="CJ36" s="9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6"/>
      <c r="CW36" s="106"/>
      <c r="CX36" s="106"/>
      <c r="CY36" s="106"/>
      <c r="CZ36" s="106"/>
      <c r="DA36" s="106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6"/>
      <c r="DO36" s="106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  <c r="DZ36" s="106"/>
      <c r="EA36" s="106"/>
      <c r="EB36" s="106"/>
      <c r="EC36" s="106"/>
      <c r="ED36" s="106"/>
      <c r="EE36" s="106"/>
      <c r="EF36" s="96"/>
      <c r="EG36" s="134"/>
      <c r="EH36" s="134"/>
      <c r="EI36" s="134"/>
    </row>
    <row r="37" spans="1:139" ht="15.75" customHeight="1" x14ac:dyDescent="0.25">
      <c r="A37" s="133"/>
      <c r="B37" s="134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96"/>
      <c r="CJ37" s="9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  <c r="CZ37" s="106"/>
      <c r="DA37" s="106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/>
      <c r="DV37" s="106"/>
      <c r="DW37" s="106"/>
      <c r="DX37" s="106"/>
      <c r="DY37" s="106"/>
      <c r="DZ37" s="106"/>
      <c r="EA37" s="106"/>
      <c r="EB37" s="106"/>
      <c r="EC37" s="106"/>
      <c r="ED37" s="106"/>
      <c r="EE37" s="106"/>
      <c r="EF37" s="96"/>
      <c r="EG37" s="134"/>
      <c r="EH37" s="134"/>
      <c r="EI37" s="134"/>
    </row>
    <row r="38" spans="1:139" ht="15.75" customHeight="1" x14ac:dyDescent="0.25">
      <c r="A38" s="133"/>
      <c r="B38" s="134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35"/>
      <c r="CJ38" s="135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  <c r="CU38" s="106"/>
      <c r="CV38" s="106"/>
      <c r="CW38" s="106"/>
      <c r="CX38" s="106"/>
      <c r="CY38" s="106"/>
      <c r="CZ38" s="106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6"/>
      <c r="DO38" s="106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  <c r="DZ38" s="106"/>
      <c r="EA38" s="106"/>
      <c r="EB38" s="106"/>
      <c r="EC38" s="106"/>
      <c r="ED38" s="106"/>
      <c r="EE38" s="106"/>
      <c r="EF38" s="135"/>
      <c r="EG38" s="134"/>
      <c r="EH38" s="134"/>
      <c r="EI38" s="134"/>
    </row>
    <row r="39" spans="1:139" ht="15.75" customHeight="1" x14ac:dyDescent="0.25">
      <c r="A39" s="133"/>
      <c r="B39" s="134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96"/>
      <c r="CJ39" s="9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  <c r="CU39" s="106"/>
      <c r="CV39" s="106"/>
      <c r="CW39" s="106"/>
      <c r="CX39" s="106"/>
      <c r="CY39" s="106"/>
      <c r="CZ39" s="106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/>
      <c r="DV39" s="106"/>
      <c r="DW39" s="106"/>
      <c r="DX39" s="106"/>
      <c r="DY39" s="106"/>
      <c r="DZ39" s="106"/>
      <c r="EA39" s="106"/>
      <c r="EB39" s="106"/>
      <c r="EC39" s="106"/>
      <c r="ED39" s="106"/>
      <c r="EE39" s="106"/>
      <c r="EF39" s="96"/>
      <c r="EG39" s="134"/>
      <c r="EH39" s="134"/>
      <c r="EI39" s="134"/>
    </row>
    <row r="40" spans="1:139" ht="15.75" customHeight="1" x14ac:dyDescent="0.25">
      <c r="A40" s="133"/>
      <c r="B40" s="134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96"/>
      <c r="CJ40" s="9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  <c r="CU40" s="106"/>
      <c r="CV40" s="106"/>
      <c r="CW40" s="106"/>
      <c r="CX40" s="106"/>
      <c r="CY40" s="106"/>
      <c r="CZ40" s="106"/>
      <c r="DA40" s="106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6"/>
      <c r="EC40" s="106"/>
      <c r="ED40" s="106"/>
      <c r="EE40" s="106"/>
      <c r="EF40" s="96"/>
      <c r="EG40" s="134"/>
      <c r="EH40" s="134"/>
      <c r="EI40" s="134"/>
    </row>
    <row r="41" spans="1:139" ht="15.75" customHeight="1" x14ac:dyDescent="0.25">
      <c r="A41" s="133"/>
      <c r="B41" s="134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35"/>
      <c r="CJ41" s="135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  <c r="CU41" s="106"/>
      <c r="CV41" s="106"/>
      <c r="CW41" s="106"/>
      <c r="CX41" s="106"/>
      <c r="CY41" s="106"/>
      <c r="CZ41" s="106"/>
      <c r="DA41" s="106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6"/>
      <c r="EC41" s="106"/>
      <c r="ED41" s="106"/>
      <c r="EE41" s="106"/>
      <c r="EF41" s="135"/>
      <c r="EG41" s="134"/>
      <c r="EH41" s="134"/>
      <c r="EI41" s="134"/>
    </row>
    <row r="42" spans="1:139" ht="15.75" customHeight="1" x14ac:dyDescent="0.25">
      <c r="A42" s="133"/>
      <c r="B42" s="134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96"/>
      <c r="CJ42" s="9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  <c r="CU42" s="106"/>
      <c r="CV42" s="106"/>
      <c r="CW42" s="106"/>
      <c r="CX42" s="106"/>
      <c r="CY42" s="106"/>
      <c r="CZ42" s="106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6"/>
      <c r="EC42" s="106"/>
      <c r="ED42" s="106"/>
      <c r="EE42" s="106"/>
      <c r="EF42" s="96"/>
      <c r="EG42" s="134"/>
      <c r="EH42" s="134"/>
      <c r="EI42" s="134"/>
    </row>
    <row r="43" spans="1:139" ht="15.75" customHeight="1" x14ac:dyDescent="0.25">
      <c r="A43" s="133"/>
      <c r="B43" s="134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96"/>
      <c r="CJ43" s="9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  <c r="CZ43" s="106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96"/>
      <c r="EG43" s="134"/>
      <c r="EH43" s="134"/>
      <c r="EI43" s="134"/>
    </row>
    <row r="44" spans="1:139" ht="15.75" customHeight="1" x14ac:dyDescent="0.25">
      <c r="A44" s="133"/>
      <c r="B44" s="134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35"/>
      <c r="CJ44" s="135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  <c r="CU44" s="106"/>
      <c r="CV44" s="106"/>
      <c r="CW44" s="106"/>
      <c r="CX44" s="106"/>
      <c r="CY44" s="106"/>
      <c r="CZ44" s="106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6"/>
      <c r="DO44" s="106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  <c r="DZ44" s="106"/>
      <c r="EA44" s="106"/>
      <c r="EB44" s="106"/>
      <c r="EC44" s="106"/>
      <c r="ED44" s="106"/>
      <c r="EE44" s="106"/>
      <c r="EF44" s="135"/>
      <c r="EG44" s="134"/>
      <c r="EH44" s="134"/>
      <c r="EI44" s="134"/>
    </row>
    <row r="45" spans="1:139" ht="15.75" customHeight="1" x14ac:dyDescent="0.25">
      <c r="A45" s="133"/>
      <c r="B45" s="134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96"/>
      <c r="CJ45" s="96"/>
      <c r="CK45" s="106"/>
      <c r="CL45" s="106"/>
      <c r="CM45" s="106"/>
      <c r="CN45" s="106"/>
      <c r="CO45" s="106"/>
      <c r="CP45" s="106"/>
      <c r="CQ45" s="106"/>
      <c r="CR45" s="106"/>
      <c r="CS45" s="106"/>
      <c r="CT45" s="106"/>
      <c r="CU45" s="106"/>
      <c r="CV45" s="106"/>
      <c r="CW45" s="106"/>
      <c r="CX45" s="106"/>
      <c r="CY45" s="106"/>
      <c r="CZ45" s="106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6"/>
      <c r="DQ45" s="106"/>
      <c r="DR45" s="106"/>
      <c r="DS45" s="106"/>
      <c r="DT45" s="106"/>
      <c r="DU45" s="106"/>
      <c r="DV45" s="106"/>
      <c r="DW45" s="106"/>
      <c r="DX45" s="106"/>
      <c r="DY45" s="106"/>
      <c r="DZ45" s="106"/>
      <c r="EA45" s="106"/>
      <c r="EB45" s="106"/>
      <c r="EC45" s="106"/>
      <c r="ED45" s="106"/>
      <c r="EE45" s="106"/>
      <c r="EF45" s="96"/>
      <c r="EG45" s="134"/>
      <c r="EH45" s="134"/>
      <c r="EI45" s="134"/>
    </row>
    <row r="46" spans="1:139" ht="15.75" customHeight="1" x14ac:dyDescent="0.25">
      <c r="A46" s="133"/>
      <c r="B46" s="134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96"/>
      <c r="CJ46" s="96"/>
      <c r="CK46" s="106"/>
      <c r="CL46" s="106"/>
      <c r="CM46" s="106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  <c r="CX46" s="106"/>
      <c r="CY46" s="106"/>
      <c r="CZ46" s="106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  <c r="DZ46" s="106"/>
      <c r="EA46" s="106"/>
      <c r="EB46" s="106"/>
      <c r="EC46" s="106"/>
      <c r="ED46" s="106"/>
      <c r="EE46" s="106"/>
      <c r="EF46" s="96"/>
      <c r="EG46" s="134"/>
      <c r="EH46" s="134"/>
      <c r="EI46" s="134"/>
    </row>
    <row r="47" spans="1:139" ht="15.75" customHeight="1" x14ac:dyDescent="0.25">
      <c r="A47" s="133"/>
      <c r="B47" s="134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35"/>
      <c r="CJ47" s="135"/>
      <c r="CK47" s="106"/>
      <c r="CL47" s="106"/>
      <c r="CM47" s="106"/>
      <c r="CN47" s="106"/>
      <c r="CO47" s="106"/>
      <c r="CP47" s="106"/>
      <c r="CQ47" s="106"/>
      <c r="CR47" s="106"/>
      <c r="CS47" s="106"/>
      <c r="CT47" s="106"/>
      <c r="CU47" s="106"/>
      <c r="CV47" s="106"/>
      <c r="CW47" s="106"/>
      <c r="CX47" s="106"/>
      <c r="CY47" s="106"/>
      <c r="CZ47" s="106"/>
      <c r="DA47" s="106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6"/>
      <c r="DO47" s="106"/>
      <c r="DP47" s="106"/>
      <c r="DQ47" s="106"/>
      <c r="DR47" s="106"/>
      <c r="DS47" s="106"/>
      <c r="DT47" s="106"/>
      <c r="DU47" s="106"/>
      <c r="DV47" s="106"/>
      <c r="DW47" s="106"/>
      <c r="DX47" s="106"/>
      <c r="DY47" s="106"/>
      <c r="DZ47" s="106"/>
      <c r="EA47" s="106"/>
      <c r="EB47" s="106"/>
      <c r="EC47" s="106"/>
      <c r="ED47" s="106"/>
      <c r="EE47" s="106"/>
      <c r="EF47" s="135"/>
      <c r="EG47" s="134"/>
      <c r="EH47" s="134"/>
      <c r="EI47" s="134"/>
    </row>
    <row r="48" spans="1:139" ht="15.75" customHeight="1" x14ac:dyDescent="0.25">
      <c r="A48" s="133"/>
      <c r="B48" s="134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96"/>
      <c r="CJ48" s="9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6"/>
      <c r="CU48" s="106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  <c r="DZ48" s="106"/>
      <c r="EA48" s="106"/>
      <c r="EB48" s="106"/>
      <c r="EC48" s="106"/>
      <c r="ED48" s="106"/>
      <c r="EE48" s="106"/>
      <c r="EF48" s="96"/>
      <c r="EG48" s="134"/>
      <c r="EH48" s="134"/>
      <c r="EI48" s="134"/>
    </row>
    <row r="49" spans="1:139" ht="15.75" customHeight="1" x14ac:dyDescent="0.25">
      <c r="A49" s="133"/>
      <c r="B49" s="134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96"/>
      <c r="CJ49" s="9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96"/>
      <c r="EG49" s="134"/>
      <c r="EH49" s="134"/>
      <c r="EI49" s="134"/>
    </row>
    <row r="50" spans="1:139" ht="15.75" customHeight="1" x14ac:dyDescent="0.25">
      <c r="A50" s="133"/>
      <c r="B50" s="134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35"/>
      <c r="CJ50" s="135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6"/>
      <c r="EC50" s="106"/>
      <c r="ED50" s="106"/>
      <c r="EE50" s="106"/>
      <c r="EF50" s="135"/>
      <c r="EG50" s="134"/>
      <c r="EH50" s="134"/>
      <c r="EI50" s="134"/>
    </row>
    <row r="51" spans="1:139" ht="15.75" customHeight="1" x14ac:dyDescent="0.25">
      <c r="A51" s="133"/>
      <c r="B51" s="134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96"/>
      <c r="CJ51" s="9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  <c r="CU51" s="106"/>
      <c r="CV51" s="106"/>
      <c r="CW51" s="106"/>
      <c r="CX51" s="106"/>
      <c r="CY51" s="106"/>
      <c r="CZ51" s="106"/>
      <c r="DA51" s="106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6"/>
      <c r="EC51" s="106"/>
      <c r="ED51" s="106"/>
      <c r="EE51" s="106"/>
      <c r="EF51" s="96"/>
      <c r="EG51" s="134"/>
      <c r="EH51" s="134"/>
      <c r="EI51" s="134"/>
    </row>
    <row r="52" spans="1:139" ht="15.75" customHeight="1" x14ac:dyDescent="0.25">
      <c r="A52" s="133"/>
      <c r="B52" s="134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  <c r="CH52" s="106"/>
      <c r="CI52" s="96"/>
      <c r="CJ52" s="96"/>
      <c r="CK52" s="106"/>
      <c r="CL52" s="106"/>
      <c r="CM52" s="106"/>
      <c r="CN52" s="106"/>
      <c r="CO52" s="106"/>
      <c r="CP52" s="106"/>
      <c r="CQ52" s="106"/>
      <c r="CR52" s="106"/>
      <c r="CS52" s="106"/>
      <c r="CT52" s="106"/>
      <c r="CU52" s="106"/>
      <c r="CV52" s="106"/>
      <c r="CW52" s="106"/>
      <c r="CX52" s="106"/>
      <c r="CY52" s="106"/>
      <c r="CZ52" s="106"/>
      <c r="DA52" s="106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  <c r="DZ52" s="106"/>
      <c r="EA52" s="106"/>
      <c r="EB52" s="106"/>
      <c r="EC52" s="106"/>
      <c r="ED52" s="106"/>
      <c r="EE52" s="106"/>
      <c r="EF52" s="96"/>
      <c r="EG52" s="134"/>
      <c r="EH52" s="134"/>
      <c r="EI52" s="134"/>
    </row>
    <row r="53" spans="1:139" ht="15.75" customHeight="1" x14ac:dyDescent="0.25">
      <c r="A53" s="133"/>
      <c r="B53" s="134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35"/>
      <c r="CJ53" s="135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  <c r="CU53" s="106"/>
      <c r="CV53" s="106"/>
      <c r="CW53" s="106"/>
      <c r="CX53" s="106"/>
      <c r="CY53" s="106"/>
      <c r="CZ53" s="106"/>
      <c r="DA53" s="106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6"/>
      <c r="EC53" s="106"/>
      <c r="ED53" s="106"/>
      <c r="EE53" s="106"/>
      <c r="EF53" s="135"/>
      <c r="EG53" s="134"/>
      <c r="EH53" s="134"/>
      <c r="EI53" s="134"/>
    </row>
    <row r="54" spans="1:139" ht="15.75" customHeight="1" x14ac:dyDescent="0.25">
      <c r="A54" s="133"/>
      <c r="B54" s="134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96"/>
      <c r="CJ54" s="9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6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6"/>
      <c r="EC54" s="106"/>
      <c r="ED54" s="106"/>
      <c r="EE54" s="106"/>
      <c r="EF54" s="96"/>
      <c r="EG54" s="134"/>
      <c r="EH54" s="134"/>
      <c r="EI54" s="134"/>
    </row>
    <row r="55" spans="1:139" ht="15.75" customHeight="1" x14ac:dyDescent="0.25">
      <c r="A55" s="133"/>
      <c r="B55" s="134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6"/>
      <c r="CF55" s="106"/>
      <c r="CG55" s="106"/>
      <c r="CH55" s="106"/>
      <c r="CI55" s="96"/>
      <c r="CJ55" s="96"/>
      <c r="CK55" s="106"/>
      <c r="CL55" s="106"/>
      <c r="CM55" s="106"/>
      <c r="CN55" s="106"/>
      <c r="CO55" s="106"/>
      <c r="CP55" s="106"/>
      <c r="CQ55" s="106"/>
      <c r="CR55" s="106"/>
      <c r="CS55" s="106"/>
      <c r="CT55" s="106"/>
      <c r="CU55" s="106"/>
      <c r="CV55" s="106"/>
      <c r="CW55" s="106"/>
      <c r="CX55" s="106"/>
      <c r="CY55" s="106"/>
      <c r="CZ55" s="106"/>
      <c r="DA55" s="106"/>
      <c r="DB55" s="106"/>
      <c r="DC55" s="106"/>
      <c r="DD55" s="106"/>
      <c r="DE55" s="106"/>
      <c r="DF55" s="106"/>
      <c r="DG55" s="106"/>
      <c r="DH55" s="106"/>
      <c r="DI55" s="106"/>
      <c r="DJ55" s="106"/>
      <c r="DK55" s="106"/>
      <c r="DL55" s="106"/>
      <c r="DM55" s="106"/>
      <c r="DN55" s="106"/>
      <c r="DO55" s="106"/>
      <c r="DP55" s="106"/>
      <c r="DQ55" s="106"/>
      <c r="DR55" s="106"/>
      <c r="DS55" s="106"/>
      <c r="DT55" s="106"/>
      <c r="DU55" s="106"/>
      <c r="DV55" s="106"/>
      <c r="DW55" s="106"/>
      <c r="DX55" s="106"/>
      <c r="DY55" s="106"/>
      <c r="DZ55" s="106"/>
      <c r="EA55" s="106"/>
      <c r="EB55" s="106"/>
      <c r="EC55" s="106"/>
      <c r="ED55" s="106"/>
      <c r="EE55" s="106"/>
      <c r="EF55" s="96"/>
      <c r="EG55" s="134"/>
      <c r="EH55" s="134"/>
      <c r="EI55" s="134"/>
    </row>
    <row r="56" spans="1:139" ht="15.75" customHeight="1" x14ac:dyDescent="0.25">
      <c r="A56" s="133"/>
      <c r="B56" s="134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35"/>
      <c r="CJ56" s="135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  <c r="CZ56" s="106"/>
      <c r="DA56" s="106"/>
      <c r="DB56" s="106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35"/>
      <c r="EG56" s="134"/>
      <c r="EH56" s="134"/>
      <c r="EI56" s="134"/>
    </row>
    <row r="57" spans="1:139" ht="15.75" customHeight="1" x14ac:dyDescent="0.25">
      <c r="A57" s="133"/>
      <c r="B57" s="134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96"/>
      <c r="CJ57" s="9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96"/>
      <c r="EG57" s="134"/>
      <c r="EH57" s="134"/>
      <c r="EI57" s="134"/>
    </row>
    <row r="58" spans="1:139" ht="15.75" customHeight="1" x14ac:dyDescent="0.25">
      <c r="A58" s="133"/>
      <c r="B58" s="134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96"/>
      <c r="CJ58" s="9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  <c r="CY58" s="106"/>
      <c r="CZ58" s="106"/>
      <c r="DA58" s="106"/>
      <c r="DB58" s="106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96"/>
      <c r="EG58" s="134"/>
      <c r="EH58" s="134"/>
      <c r="EI58" s="134"/>
    </row>
    <row r="59" spans="1:139" ht="15.75" customHeight="1" x14ac:dyDescent="0.25">
      <c r="A59" s="133"/>
      <c r="B59" s="134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35"/>
      <c r="CJ59" s="135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  <c r="CY59" s="106"/>
      <c r="CZ59" s="106"/>
      <c r="DA59" s="106"/>
      <c r="DB59" s="106"/>
      <c r="DC59" s="106"/>
      <c r="DD59" s="106"/>
      <c r="DE59" s="106"/>
      <c r="DF59" s="106"/>
      <c r="DG59" s="106"/>
      <c r="DH59" s="106"/>
      <c r="DI59" s="106"/>
      <c r="DJ59" s="106"/>
      <c r="DK59" s="106"/>
      <c r="DL59" s="106"/>
      <c r="DM59" s="106"/>
      <c r="DN59" s="106"/>
      <c r="DO59" s="106"/>
      <c r="DP59" s="106"/>
      <c r="DQ59" s="106"/>
      <c r="DR59" s="106"/>
      <c r="DS59" s="106"/>
      <c r="DT59" s="106"/>
      <c r="DU59" s="106"/>
      <c r="DV59" s="106"/>
      <c r="DW59" s="106"/>
      <c r="DX59" s="106"/>
      <c r="DY59" s="106"/>
      <c r="DZ59" s="106"/>
      <c r="EA59" s="106"/>
      <c r="EB59" s="106"/>
      <c r="EC59" s="106"/>
      <c r="ED59" s="106"/>
      <c r="EE59" s="106"/>
      <c r="EF59" s="135"/>
      <c r="EG59" s="134"/>
      <c r="EH59" s="134"/>
      <c r="EI59" s="134"/>
    </row>
    <row r="60" spans="1:139" ht="15.75" customHeight="1" x14ac:dyDescent="0.25">
      <c r="A60" s="133"/>
      <c r="B60" s="134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96"/>
      <c r="CJ60" s="9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  <c r="CZ60" s="106"/>
      <c r="DA60" s="106"/>
      <c r="DB60" s="106"/>
      <c r="DC60" s="106"/>
      <c r="DD60" s="106"/>
      <c r="DE60" s="106"/>
      <c r="DF60" s="106"/>
      <c r="DG60" s="106"/>
      <c r="DH60" s="106"/>
      <c r="DI60" s="106"/>
      <c r="DJ60" s="106"/>
      <c r="DK60" s="106"/>
      <c r="DL60" s="106"/>
      <c r="DM60" s="106"/>
      <c r="DN60" s="106"/>
      <c r="DO60" s="10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  <c r="DZ60" s="106"/>
      <c r="EA60" s="106"/>
      <c r="EB60" s="106"/>
      <c r="EC60" s="106"/>
      <c r="ED60" s="106"/>
      <c r="EE60" s="106"/>
      <c r="EF60" s="96"/>
      <c r="EG60" s="134"/>
      <c r="EH60" s="134"/>
      <c r="EI60" s="134"/>
    </row>
    <row r="61" spans="1:139" ht="15.75" customHeight="1" x14ac:dyDescent="0.25">
      <c r="A61" s="133"/>
      <c r="B61" s="134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96"/>
      <c r="CJ61" s="9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96"/>
      <c r="EG61" s="134"/>
      <c r="EH61" s="134"/>
      <c r="EI61" s="134"/>
    </row>
    <row r="62" spans="1:139" ht="15.75" customHeight="1" x14ac:dyDescent="0.25">
      <c r="A62" s="133"/>
      <c r="B62" s="134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35"/>
      <c r="CJ62" s="135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6"/>
      <c r="DB62" s="106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DO62" s="106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  <c r="DZ62" s="106"/>
      <c r="EA62" s="106"/>
      <c r="EB62" s="106"/>
      <c r="EC62" s="106"/>
      <c r="ED62" s="106"/>
      <c r="EE62" s="106"/>
      <c r="EF62" s="135"/>
      <c r="EG62" s="134"/>
      <c r="EH62" s="134"/>
      <c r="EI62" s="134"/>
    </row>
    <row r="63" spans="1:139" ht="15.75" customHeight="1" x14ac:dyDescent="0.25">
      <c r="A63" s="133"/>
      <c r="B63" s="134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96"/>
      <c r="CJ63" s="9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6"/>
      <c r="EC63" s="106"/>
      <c r="ED63" s="106"/>
      <c r="EE63" s="106"/>
      <c r="EF63" s="96"/>
      <c r="EG63" s="134"/>
      <c r="EH63" s="134"/>
      <c r="EI63" s="134"/>
    </row>
    <row r="64" spans="1:139" ht="15.75" customHeight="1" x14ac:dyDescent="0.25">
      <c r="A64" s="133"/>
      <c r="B64" s="134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96"/>
      <c r="CJ64" s="9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  <c r="CU64" s="106"/>
      <c r="CV64" s="106"/>
      <c r="CW64" s="106"/>
      <c r="CX64" s="106"/>
      <c r="CY64" s="106"/>
      <c r="CZ64" s="106"/>
      <c r="DA64" s="106"/>
      <c r="DB64" s="106"/>
      <c r="DC64" s="106"/>
      <c r="DD64" s="106"/>
      <c r="DE64" s="106"/>
      <c r="DF64" s="106"/>
      <c r="DG64" s="106"/>
      <c r="DH64" s="106"/>
      <c r="DI64" s="106"/>
      <c r="DJ64" s="106"/>
      <c r="DK64" s="106"/>
      <c r="DL64" s="106"/>
      <c r="DM64" s="106"/>
      <c r="DN64" s="106"/>
      <c r="DO64" s="106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  <c r="DZ64" s="106"/>
      <c r="EA64" s="106"/>
      <c r="EB64" s="106"/>
      <c r="EC64" s="106"/>
      <c r="ED64" s="106"/>
      <c r="EE64" s="106"/>
      <c r="EF64" s="96"/>
      <c r="EG64" s="134"/>
      <c r="EH64" s="134"/>
      <c r="EI64" s="134"/>
    </row>
    <row r="65" spans="1:139" ht="15.75" customHeight="1" x14ac:dyDescent="0.25">
      <c r="A65" s="133"/>
      <c r="B65" s="134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35"/>
      <c r="CJ65" s="135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  <c r="CU65" s="106"/>
      <c r="CV65" s="106"/>
      <c r="CW65" s="106"/>
      <c r="CX65" s="106"/>
      <c r="CY65" s="106"/>
      <c r="CZ65" s="106"/>
      <c r="DA65" s="106"/>
      <c r="DB65" s="106"/>
      <c r="DC65" s="106"/>
      <c r="DD65" s="106"/>
      <c r="DE65" s="106"/>
      <c r="DF65" s="106"/>
      <c r="DG65" s="106"/>
      <c r="DH65" s="106"/>
      <c r="DI65" s="106"/>
      <c r="DJ65" s="106"/>
      <c r="DK65" s="106"/>
      <c r="DL65" s="106"/>
      <c r="DM65" s="106"/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6"/>
      <c r="EC65" s="106"/>
      <c r="ED65" s="106"/>
      <c r="EE65" s="106"/>
      <c r="EF65" s="135"/>
      <c r="EG65" s="134"/>
      <c r="EH65" s="134"/>
      <c r="EI65" s="134"/>
    </row>
    <row r="66" spans="1:139" ht="15.75" customHeight="1" x14ac:dyDescent="0.25">
      <c r="A66" s="133"/>
      <c r="B66" s="134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96"/>
      <c r="CJ66" s="9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96"/>
      <c r="EG66" s="134"/>
      <c r="EH66" s="134"/>
      <c r="EI66" s="134"/>
    </row>
    <row r="67" spans="1:139" ht="15.75" customHeight="1" x14ac:dyDescent="0.25">
      <c r="A67" s="133"/>
      <c r="B67" s="134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96"/>
      <c r="CJ67" s="9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  <c r="CU67" s="106"/>
      <c r="CV67" s="106"/>
      <c r="CW67" s="106"/>
      <c r="CX67" s="106"/>
      <c r="CY67" s="106"/>
      <c r="CZ67" s="106"/>
      <c r="DA67" s="106"/>
      <c r="DB67" s="106"/>
      <c r="DC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6"/>
      <c r="EC67" s="106"/>
      <c r="ED67" s="106"/>
      <c r="EE67" s="106"/>
      <c r="EF67" s="96"/>
      <c r="EG67" s="134"/>
      <c r="EH67" s="134"/>
      <c r="EI67" s="134"/>
    </row>
    <row r="68" spans="1:139" ht="15.75" customHeight="1" x14ac:dyDescent="0.25">
      <c r="A68" s="133"/>
      <c r="B68" s="134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35"/>
      <c r="CJ68" s="135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  <c r="CU68" s="106"/>
      <c r="CV68" s="106"/>
      <c r="CW68" s="106"/>
      <c r="CX68" s="106"/>
      <c r="CY68" s="106"/>
      <c r="CZ68" s="106"/>
      <c r="DA68" s="106"/>
      <c r="DB68" s="106"/>
      <c r="DC68" s="106"/>
      <c r="DD68" s="106"/>
      <c r="DE68" s="106"/>
      <c r="DF68" s="106"/>
      <c r="DG68" s="106"/>
      <c r="DH68" s="106"/>
      <c r="DI68" s="106"/>
      <c r="DJ68" s="106"/>
      <c r="DK68" s="106"/>
      <c r="DL68" s="106"/>
      <c r="DM68" s="106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6"/>
      <c r="EC68" s="106"/>
      <c r="ED68" s="106"/>
      <c r="EE68" s="106"/>
      <c r="EF68" s="135"/>
      <c r="EG68" s="134"/>
      <c r="EH68" s="134"/>
      <c r="EI68" s="134"/>
    </row>
    <row r="69" spans="1:139" ht="15.75" customHeight="1" x14ac:dyDescent="0.25">
      <c r="A69" s="133"/>
      <c r="B69" s="134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96"/>
      <c r="CJ69" s="9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  <c r="CY69" s="106"/>
      <c r="CZ69" s="106"/>
      <c r="DA69" s="106"/>
      <c r="DB69" s="106"/>
      <c r="DC69" s="106"/>
      <c r="DD69" s="106"/>
      <c r="DE69" s="106"/>
      <c r="DF69" s="106"/>
      <c r="DG69" s="106"/>
      <c r="DH69" s="106"/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6"/>
      <c r="EC69" s="106"/>
      <c r="ED69" s="106"/>
      <c r="EE69" s="106"/>
      <c r="EF69" s="96"/>
      <c r="EG69" s="134"/>
      <c r="EH69" s="134"/>
      <c r="EI69" s="134"/>
    </row>
    <row r="70" spans="1:139" ht="15.75" customHeight="1" x14ac:dyDescent="0.25">
      <c r="A70" s="133"/>
      <c r="B70" s="134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96"/>
      <c r="CJ70" s="9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  <c r="CU70" s="106"/>
      <c r="CV70" s="106"/>
      <c r="CW70" s="106"/>
      <c r="CX70" s="106"/>
      <c r="CY70" s="106"/>
      <c r="CZ70" s="106"/>
      <c r="DA70" s="106"/>
      <c r="DB70" s="106"/>
      <c r="DC70" s="106"/>
      <c r="DD70" s="106"/>
      <c r="DE70" s="106"/>
      <c r="DF70" s="106"/>
      <c r="DG70" s="106"/>
      <c r="DH70" s="106"/>
      <c r="DI70" s="106"/>
      <c r="DJ70" s="106"/>
      <c r="DK70" s="106"/>
      <c r="DL70" s="106"/>
      <c r="DM70" s="106"/>
      <c r="DN70" s="106"/>
      <c r="DO70" s="106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  <c r="DZ70" s="106"/>
      <c r="EA70" s="106"/>
      <c r="EB70" s="106"/>
      <c r="EC70" s="106"/>
      <c r="ED70" s="106"/>
      <c r="EE70" s="106"/>
      <c r="EF70" s="96"/>
      <c r="EG70" s="134"/>
      <c r="EH70" s="134"/>
      <c r="EI70" s="134"/>
    </row>
    <row r="71" spans="1:139" ht="15.75" customHeight="1" x14ac:dyDescent="0.25">
      <c r="A71" s="133"/>
      <c r="B71" s="134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35"/>
      <c r="CJ71" s="135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DO71" s="106"/>
      <c r="DP71" s="106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6"/>
      <c r="EC71" s="106"/>
      <c r="ED71" s="106"/>
      <c r="EE71" s="106"/>
      <c r="EF71" s="135"/>
      <c r="EG71" s="134"/>
      <c r="EH71" s="134"/>
      <c r="EI71" s="134"/>
    </row>
    <row r="72" spans="1:139" ht="15.75" customHeight="1" x14ac:dyDescent="0.25">
      <c r="A72" s="133"/>
      <c r="B72" s="134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96"/>
      <c r="CJ72" s="9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  <c r="CZ72" s="106"/>
      <c r="DA72" s="106"/>
      <c r="DB72" s="106"/>
      <c r="DC72" s="106"/>
      <c r="DD72" s="106"/>
      <c r="DE72" s="106"/>
      <c r="DF72" s="106"/>
      <c r="DG72" s="106"/>
      <c r="DH72" s="106"/>
      <c r="DI72" s="106"/>
      <c r="DJ72" s="106"/>
      <c r="DK72" s="106"/>
      <c r="DL72" s="106"/>
      <c r="DM72" s="106"/>
      <c r="DN72" s="106"/>
      <c r="DO72" s="106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  <c r="DZ72" s="106"/>
      <c r="EA72" s="106"/>
      <c r="EB72" s="106"/>
      <c r="EC72" s="106"/>
      <c r="ED72" s="106"/>
      <c r="EE72" s="106"/>
      <c r="EF72" s="96"/>
      <c r="EG72" s="134"/>
      <c r="EH72" s="134"/>
      <c r="EI72" s="134"/>
    </row>
    <row r="73" spans="1:139" ht="15.75" customHeight="1" x14ac:dyDescent="0.25">
      <c r="A73" s="133"/>
      <c r="B73" s="134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96"/>
      <c r="CJ73" s="9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  <c r="CZ73" s="106"/>
      <c r="DA73" s="106"/>
      <c r="DB73" s="106"/>
      <c r="DC73" s="106"/>
      <c r="DD73" s="106"/>
      <c r="DE73" s="106"/>
      <c r="DF73" s="106"/>
      <c r="DG73" s="106"/>
      <c r="DH73" s="106"/>
      <c r="DI73" s="106"/>
      <c r="DJ73" s="106"/>
      <c r="DK73" s="106"/>
      <c r="DL73" s="106"/>
      <c r="DM73" s="106"/>
      <c r="DN73" s="106"/>
      <c r="DO73" s="106"/>
      <c r="DP73" s="106"/>
      <c r="DQ73" s="106"/>
      <c r="DR73" s="106"/>
      <c r="DS73" s="106"/>
      <c r="DT73" s="106"/>
      <c r="DU73" s="106"/>
      <c r="DV73" s="106"/>
      <c r="DW73" s="106"/>
      <c r="DX73" s="106"/>
      <c r="DY73" s="106"/>
      <c r="DZ73" s="106"/>
      <c r="EA73" s="106"/>
      <c r="EB73" s="106"/>
      <c r="EC73" s="106"/>
      <c r="ED73" s="106"/>
      <c r="EE73" s="106"/>
      <c r="EF73" s="96"/>
      <c r="EG73" s="134"/>
      <c r="EH73" s="134"/>
      <c r="EI73" s="134"/>
    </row>
    <row r="74" spans="1:139" ht="15.75" customHeight="1" x14ac:dyDescent="0.25">
      <c r="A74" s="133"/>
      <c r="B74" s="134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35"/>
      <c r="CJ74" s="135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06"/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  <c r="EC74" s="106"/>
      <c r="ED74" s="106"/>
      <c r="EE74" s="106"/>
      <c r="EF74" s="135"/>
      <c r="EG74" s="134"/>
      <c r="EH74" s="134"/>
      <c r="EI74" s="134"/>
    </row>
    <row r="75" spans="1:139" ht="15.75" customHeight="1" x14ac:dyDescent="0.25">
      <c r="A75" s="133"/>
      <c r="B75" s="134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96"/>
      <c r="CJ75" s="9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  <c r="CZ75" s="106"/>
      <c r="DA75" s="106"/>
      <c r="DB75" s="106"/>
      <c r="DC75" s="106"/>
      <c r="DD75" s="106"/>
      <c r="DE75" s="106"/>
      <c r="DF75" s="106"/>
      <c r="DG75" s="106"/>
      <c r="DH75" s="106"/>
      <c r="DI75" s="106"/>
      <c r="DJ75" s="106"/>
      <c r="DK75" s="106"/>
      <c r="DL75" s="106"/>
      <c r="DM75" s="106"/>
      <c r="DN75" s="106"/>
      <c r="DO75" s="106"/>
      <c r="DP75" s="106"/>
      <c r="DQ75" s="106"/>
      <c r="DR75" s="106"/>
      <c r="DS75" s="106"/>
      <c r="DT75" s="106"/>
      <c r="DU75" s="106"/>
      <c r="DV75" s="106"/>
      <c r="DW75" s="106"/>
      <c r="DX75" s="106"/>
      <c r="DY75" s="106"/>
      <c r="DZ75" s="106"/>
      <c r="EA75" s="106"/>
      <c r="EB75" s="106"/>
      <c r="EC75" s="106"/>
      <c r="ED75" s="106"/>
      <c r="EE75" s="106"/>
      <c r="EF75" s="96"/>
      <c r="EG75" s="134"/>
      <c r="EH75" s="134"/>
      <c r="EI75" s="134"/>
    </row>
    <row r="76" spans="1:139" ht="15.75" customHeight="1" x14ac:dyDescent="0.25">
      <c r="A76" s="133"/>
      <c r="B76" s="134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96"/>
      <c r="CJ76" s="9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  <c r="CZ76" s="106"/>
      <c r="DA76" s="106"/>
      <c r="DB76" s="106"/>
      <c r="DC76" s="106"/>
      <c r="DD76" s="106"/>
      <c r="DE76" s="106"/>
      <c r="DF76" s="106"/>
      <c r="DG76" s="106"/>
      <c r="DH76" s="106"/>
      <c r="DI76" s="106"/>
      <c r="DJ76" s="106"/>
      <c r="DK76" s="106"/>
      <c r="DL76" s="106"/>
      <c r="DM76" s="106"/>
      <c r="DN76" s="106"/>
      <c r="DO76" s="106"/>
      <c r="DP76" s="106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6"/>
      <c r="EC76" s="106"/>
      <c r="ED76" s="106"/>
      <c r="EE76" s="106"/>
      <c r="EF76" s="96"/>
      <c r="EG76" s="134"/>
      <c r="EH76" s="134"/>
      <c r="EI76" s="134"/>
    </row>
    <row r="77" spans="1:139" ht="15.75" customHeight="1" x14ac:dyDescent="0.25">
      <c r="A77" s="133"/>
      <c r="B77" s="134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35"/>
      <c r="CJ77" s="135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  <c r="CZ77" s="106"/>
      <c r="DA77" s="106"/>
      <c r="DB77" s="106"/>
      <c r="DC77" s="106"/>
      <c r="DD77" s="106"/>
      <c r="DE77" s="106"/>
      <c r="DF77" s="106"/>
      <c r="DG77" s="106"/>
      <c r="DH77" s="106"/>
      <c r="DI77" s="106"/>
      <c r="DJ77" s="106"/>
      <c r="DK77" s="106"/>
      <c r="DL77" s="106"/>
      <c r="DM77" s="106"/>
      <c r="DN77" s="106"/>
      <c r="DO77" s="106"/>
      <c r="DP77" s="106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6"/>
      <c r="EC77" s="106"/>
      <c r="ED77" s="106"/>
      <c r="EE77" s="106"/>
      <c r="EF77" s="135"/>
      <c r="EG77" s="134"/>
      <c r="EH77" s="134"/>
      <c r="EI77" s="134"/>
    </row>
    <row r="78" spans="1:139" ht="15.75" customHeight="1" x14ac:dyDescent="0.25">
      <c r="A78" s="133"/>
      <c r="B78" s="134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96"/>
      <c r="CJ78" s="9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6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96"/>
      <c r="EG78" s="134"/>
      <c r="EH78" s="134"/>
      <c r="EI78" s="134"/>
    </row>
    <row r="79" spans="1:139" ht="15.75" customHeight="1" x14ac:dyDescent="0.25">
      <c r="A79" s="133"/>
      <c r="B79" s="134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96"/>
      <c r="CJ79" s="9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  <c r="CZ79" s="106"/>
      <c r="DA79" s="106"/>
      <c r="DB79" s="106"/>
      <c r="DC79" s="106"/>
      <c r="DD79" s="106"/>
      <c r="DE79" s="106"/>
      <c r="DF79" s="106"/>
      <c r="DG79" s="106"/>
      <c r="DH79" s="106"/>
      <c r="DI79" s="106"/>
      <c r="DJ79" s="106"/>
      <c r="DK79" s="106"/>
      <c r="DL79" s="106"/>
      <c r="DM79" s="106"/>
      <c r="DN79" s="106"/>
      <c r="DO79" s="106"/>
      <c r="DP79" s="106"/>
      <c r="DQ79" s="106"/>
      <c r="DR79" s="106"/>
      <c r="DS79" s="106"/>
      <c r="DT79" s="106"/>
      <c r="DU79" s="106"/>
      <c r="DV79" s="106"/>
      <c r="DW79" s="106"/>
      <c r="DX79" s="106"/>
      <c r="DY79" s="106"/>
      <c r="DZ79" s="106"/>
      <c r="EA79" s="106"/>
      <c r="EB79" s="106"/>
      <c r="EC79" s="106"/>
      <c r="ED79" s="106"/>
      <c r="EE79" s="106"/>
      <c r="EF79" s="96"/>
      <c r="EG79" s="134"/>
      <c r="EH79" s="134"/>
      <c r="EI79" s="134"/>
    </row>
    <row r="80" spans="1:139" ht="15.75" customHeight="1" x14ac:dyDescent="0.25">
      <c r="A80" s="133"/>
      <c r="B80" s="134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35"/>
      <c r="CJ80" s="135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  <c r="CZ80" s="106"/>
      <c r="DA80" s="106"/>
      <c r="DB80" s="106"/>
      <c r="DC80" s="106"/>
      <c r="DD80" s="106"/>
      <c r="DE80" s="106"/>
      <c r="DF80" s="106"/>
      <c r="DG80" s="106"/>
      <c r="DH80" s="106"/>
      <c r="DI80" s="106"/>
      <c r="DJ80" s="106"/>
      <c r="DK80" s="106"/>
      <c r="DL80" s="106"/>
      <c r="DM80" s="106"/>
      <c r="DN80" s="106"/>
      <c r="DO80" s="106"/>
      <c r="DP80" s="106"/>
      <c r="DQ80" s="106"/>
      <c r="DR80" s="106"/>
      <c r="DS80" s="106"/>
      <c r="DT80" s="106"/>
      <c r="DU80" s="106"/>
      <c r="DV80" s="106"/>
      <c r="DW80" s="106"/>
      <c r="DX80" s="106"/>
      <c r="DY80" s="106"/>
      <c r="DZ80" s="106"/>
      <c r="EA80" s="106"/>
      <c r="EB80" s="106"/>
      <c r="EC80" s="106"/>
      <c r="ED80" s="106"/>
      <c r="EE80" s="106"/>
      <c r="EF80" s="135"/>
      <c r="EG80" s="134"/>
      <c r="EH80" s="134"/>
      <c r="EI80" s="134"/>
    </row>
    <row r="81" spans="1:139" ht="15.75" customHeight="1" x14ac:dyDescent="0.25">
      <c r="A81" s="133"/>
      <c r="B81" s="134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96"/>
      <c r="CJ81" s="9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  <c r="CZ81" s="106"/>
      <c r="DA81" s="106"/>
      <c r="DB81" s="106"/>
      <c r="DC81" s="106"/>
      <c r="DD81" s="106"/>
      <c r="DE81" s="106"/>
      <c r="DF81" s="106"/>
      <c r="DG81" s="106"/>
      <c r="DH81" s="106"/>
      <c r="DI81" s="106"/>
      <c r="DJ81" s="106"/>
      <c r="DK81" s="106"/>
      <c r="DL81" s="106"/>
      <c r="DM81" s="106"/>
      <c r="DN81" s="106"/>
      <c r="DO81" s="106"/>
      <c r="DP81" s="106"/>
      <c r="DQ81" s="106"/>
      <c r="DR81" s="106"/>
      <c r="DS81" s="106"/>
      <c r="DT81" s="106"/>
      <c r="DU81" s="106"/>
      <c r="DV81" s="106"/>
      <c r="DW81" s="106"/>
      <c r="DX81" s="106"/>
      <c r="DY81" s="106"/>
      <c r="DZ81" s="106"/>
      <c r="EA81" s="106"/>
      <c r="EB81" s="106"/>
      <c r="EC81" s="106"/>
      <c r="ED81" s="106"/>
      <c r="EE81" s="106"/>
      <c r="EF81" s="96"/>
      <c r="EG81" s="134"/>
      <c r="EH81" s="134"/>
      <c r="EI81" s="134"/>
    </row>
    <row r="82" spans="1:139" ht="15.75" customHeight="1" x14ac:dyDescent="0.25">
      <c r="A82" s="133"/>
      <c r="B82" s="134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96"/>
      <c r="CJ82" s="9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  <c r="CZ82" s="106"/>
      <c r="DA82" s="106"/>
      <c r="DB82" s="106"/>
      <c r="DC82" s="106"/>
      <c r="DD82" s="106"/>
      <c r="DE82" s="106"/>
      <c r="DF82" s="106"/>
      <c r="DG82" s="106"/>
      <c r="DH82" s="106"/>
      <c r="DI82" s="106"/>
      <c r="DJ82" s="106"/>
      <c r="DK82" s="106"/>
      <c r="DL82" s="106"/>
      <c r="DM82" s="106"/>
      <c r="DN82" s="106"/>
      <c r="DO82" s="106"/>
      <c r="DP82" s="106"/>
      <c r="DQ82" s="106"/>
      <c r="DR82" s="106"/>
      <c r="DS82" s="106"/>
      <c r="DT82" s="106"/>
      <c r="DU82" s="106"/>
      <c r="DV82" s="106"/>
      <c r="DW82" s="106"/>
      <c r="DX82" s="106"/>
      <c r="DY82" s="106"/>
      <c r="DZ82" s="106"/>
      <c r="EA82" s="106"/>
      <c r="EB82" s="106"/>
      <c r="EC82" s="106"/>
      <c r="ED82" s="106"/>
      <c r="EE82" s="106"/>
      <c r="EF82" s="96"/>
      <c r="EG82" s="134"/>
      <c r="EH82" s="134"/>
      <c r="EI82" s="134"/>
    </row>
    <row r="83" spans="1:139" ht="15.75" customHeight="1" x14ac:dyDescent="0.25">
      <c r="A83" s="133"/>
      <c r="B83" s="134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35"/>
      <c r="CJ83" s="135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35"/>
      <c r="EG83" s="134"/>
      <c r="EH83" s="134"/>
      <c r="EI83" s="134"/>
    </row>
    <row r="84" spans="1:139" ht="15.75" customHeight="1" x14ac:dyDescent="0.25">
      <c r="A84" s="133"/>
      <c r="B84" s="134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96"/>
      <c r="CJ84" s="9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6"/>
      <c r="EC84" s="106"/>
      <c r="ED84" s="106"/>
      <c r="EE84" s="106"/>
      <c r="EF84" s="96"/>
      <c r="EG84" s="134"/>
      <c r="EH84" s="134"/>
      <c r="EI84" s="134"/>
    </row>
    <row r="85" spans="1:139" ht="15.75" customHeight="1" x14ac:dyDescent="0.25">
      <c r="A85" s="133"/>
      <c r="B85" s="134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96"/>
      <c r="CJ85" s="9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  <c r="CZ85" s="106"/>
      <c r="DA85" s="106"/>
      <c r="DB85" s="106"/>
      <c r="DC85" s="106"/>
      <c r="DD85" s="106"/>
      <c r="DE85" s="106"/>
      <c r="DF85" s="106"/>
      <c r="DG85" s="106"/>
      <c r="DH85" s="106"/>
      <c r="DI85" s="106"/>
      <c r="DJ85" s="106"/>
      <c r="DK85" s="106"/>
      <c r="DL85" s="106"/>
      <c r="DM85" s="106"/>
      <c r="DN85" s="106"/>
      <c r="DO85" s="106"/>
      <c r="DP85" s="106"/>
      <c r="DQ85" s="106"/>
      <c r="DR85" s="106"/>
      <c r="DS85" s="106"/>
      <c r="DT85" s="106"/>
      <c r="DU85" s="106"/>
      <c r="DV85" s="106"/>
      <c r="DW85" s="106"/>
      <c r="DX85" s="106"/>
      <c r="DY85" s="106"/>
      <c r="DZ85" s="106"/>
      <c r="EA85" s="106"/>
      <c r="EB85" s="106"/>
      <c r="EC85" s="106"/>
      <c r="ED85" s="106"/>
      <c r="EE85" s="106"/>
      <c r="EF85" s="96"/>
      <c r="EG85" s="134"/>
      <c r="EH85" s="134"/>
      <c r="EI85" s="134"/>
    </row>
    <row r="86" spans="1:139" ht="15.75" customHeight="1" x14ac:dyDescent="0.25">
      <c r="A86" s="133"/>
      <c r="B86" s="134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35"/>
      <c r="CJ86" s="135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DO86" s="106"/>
      <c r="DP86" s="106"/>
      <c r="DQ86" s="106"/>
      <c r="DR86" s="106"/>
      <c r="DS86" s="106"/>
      <c r="DT86" s="106"/>
      <c r="DU86" s="106"/>
      <c r="DV86" s="106"/>
      <c r="DW86" s="106"/>
      <c r="DX86" s="106"/>
      <c r="DY86" s="106"/>
      <c r="DZ86" s="106"/>
      <c r="EA86" s="106"/>
      <c r="EB86" s="106"/>
      <c r="EC86" s="106"/>
      <c r="ED86" s="106"/>
      <c r="EE86" s="106"/>
      <c r="EF86" s="135"/>
      <c r="EG86" s="134"/>
      <c r="EH86" s="134"/>
      <c r="EI86" s="134"/>
    </row>
    <row r="87" spans="1:139" ht="15.75" customHeight="1" x14ac:dyDescent="0.25">
      <c r="A87" s="133"/>
      <c r="B87" s="134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96"/>
      <c r="CJ87" s="9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  <c r="CZ87" s="106"/>
      <c r="DA87" s="106"/>
      <c r="DB87" s="106"/>
      <c r="DC87" s="106"/>
      <c r="DD87" s="106"/>
      <c r="DE87" s="106"/>
      <c r="DF87" s="106"/>
      <c r="DG87" s="106"/>
      <c r="DH87" s="106"/>
      <c r="DI87" s="106"/>
      <c r="DJ87" s="106"/>
      <c r="DK87" s="106"/>
      <c r="DL87" s="106"/>
      <c r="DM87" s="106"/>
      <c r="DN87" s="106"/>
      <c r="DO87" s="106"/>
      <c r="DP87" s="106"/>
      <c r="DQ87" s="106"/>
      <c r="DR87" s="106"/>
      <c r="DS87" s="106"/>
      <c r="DT87" s="106"/>
      <c r="DU87" s="106"/>
      <c r="DV87" s="106"/>
      <c r="DW87" s="106"/>
      <c r="DX87" s="106"/>
      <c r="DY87" s="106"/>
      <c r="DZ87" s="106"/>
      <c r="EA87" s="106"/>
      <c r="EB87" s="106"/>
      <c r="EC87" s="106"/>
      <c r="ED87" s="106"/>
      <c r="EE87" s="106"/>
      <c r="EF87" s="96"/>
      <c r="EG87" s="134"/>
      <c r="EH87" s="134"/>
      <c r="EI87" s="134"/>
    </row>
    <row r="88" spans="1:139" ht="15.75" customHeight="1" x14ac:dyDescent="0.25">
      <c r="A88" s="133"/>
      <c r="B88" s="134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96"/>
      <c r="CJ88" s="9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  <c r="DA88" s="106"/>
      <c r="DB88" s="106"/>
      <c r="DC88" s="106"/>
      <c r="DD88" s="106"/>
      <c r="DE88" s="106"/>
      <c r="DF88" s="106"/>
      <c r="DG88" s="106"/>
      <c r="DH88" s="106"/>
      <c r="DI88" s="106"/>
      <c r="DJ88" s="106"/>
      <c r="DK88" s="106"/>
      <c r="DL88" s="106"/>
      <c r="DM88" s="106"/>
      <c r="DN88" s="106"/>
      <c r="DO88" s="106"/>
      <c r="DP88" s="106"/>
      <c r="DQ88" s="106"/>
      <c r="DR88" s="106"/>
      <c r="DS88" s="106"/>
      <c r="DT88" s="106"/>
      <c r="DU88" s="106"/>
      <c r="DV88" s="106"/>
      <c r="DW88" s="106"/>
      <c r="DX88" s="106"/>
      <c r="DY88" s="106"/>
      <c r="DZ88" s="106"/>
      <c r="EA88" s="106"/>
      <c r="EB88" s="106"/>
      <c r="EC88" s="106"/>
      <c r="ED88" s="106"/>
      <c r="EE88" s="106"/>
      <c r="EF88" s="96"/>
      <c r="EG88" s="134"/>
      <c r="EH88" s="134"/>
      <c r="EI88" s="134"/>
    </row>
    <row r="89" spans="1:139" ht="15.75" customHeight="1" x14ac:dyDescent="0.25"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6"/>
      <c r="DE89" s="106"/>
      <c r="DF89" s="106"/>
      <c r="DG89" s="106"/>
      <c r="DH89" s="106"/>
      <c r="DI89" s="106"/>
      <c r="DJ89" s="106"/>
      <c r="DK89" s="106"/>
      <c r="DL89" s="106"/>
      <c r="DM89" s="106"/>
      <c r="DN89" s="106"/>
      <c r="DO89" s="106"/>
      <c r="DP89" s="106"/>
      <c r="DQ89" s="106"/>
      <c r="DR89" s="106"/>
      <c r="DS89" s="106"/>
      <c r="DT89" s="106"/>
      <c r="DU89" s="106"/>
      <c r="DV89" s="106"/>
      <c r="DW89" s="106"/>
      <c r="DX89" s="106"/>
      <c r="DY89" s="106"/>
      <c r="DZ89" s="106"/>
      <c r="EA89" s="106"/>
      <c r="EB89" s="106"/>
      <c r="EC89" s="106"/>
      <c r="ED89" s="106"/>
      <c r="EE89" s="106"/>
      <c r="EF89" s="106"/>
      <c r="EG89" s="106"/>
      <c r="EH89" s="106"/>
      <c r="EI89" s="106"/>
    </row>
    <row r="90" spans="1:139" ht="15.75" customHeight="1" x14ac:dyDescent="0.25"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  <c r="DM90" s="106"/>
      <c r="DN90" s="106"/>
      <c r="DO90" s="106"/>
      <c r="DP90" s="106"/>
      <c r="DQ90" s="106"/>
      <c r="DR90" s="106"/>
      <c r="DS90" s="106"/>
      <c r="DT90" s="106"/>
      <c r="DU90" s="106"/>
      <c r="DV90" s="106"/>
      <c r="DW90" s="106"/>
      <c r="DX90" s="106"/>
      <c r="DY90" s="106"/>
      <c r="DZ90" s="106"/>
      <c r="EA90" s="106"/>
      <c r="EB90" s="106"/>
      <c r="EC90" s="106"/>
      <c r="ED90" s="106"/>
      <c r="EE90" s="106"/>
      <c r="EF90" s="106"/>
      <c r="EG90" s="106"/>
      <c r="EH90" s="106"/>
      <c r="EI90" s="106"/>
    </row>
    <row r="91" spans="1:139" ht="15.75" customHeight="1" x14ac:dyDescent="0.25"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6"/>
      <c r="DL91" s="106"/>
      <c r="DM91" s="106"/>
      <c r="DN91" s="106"/>
      <c r="DO91" s="106"/>
      <c r="DP91" s="106"/>
      <c r="DQ91" s="106"/>
      <c r="DR91" s="106"/>
      <c r="DS91" s="106"/>
      <c r="DT91" s="106"/>
      <c r="DU91" s="106"/>
      <c r="DV91" s="106"/>
      <c r="DW91" s="106"/>
      <c r="DX91" s="106"/>
      <c r="DY91" s="106"/>
      <c r="DZ91" s="106"/>
      <c r="EA91" s="106"/>
      <c r="EB91" s="106"/>
      <c r="EC91" s="106"/>
      <c r="ED91" s="106"/>
      <c r="EE91" s="106"/>
      <c r="EF91" s="106"/>
      <c r="EG91" s="106"/>
      <c r="EH91" s="106"/>
      <c r="EI91" s="106"/>
    </row>
    <row r="92" spans="1:139" ht="15.75" customHeight="1" x14ac:dyDescent="0.25"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  <c r="DM92" s="106"/>
      <c r="DN92" s="106"/>
      <c r="DO92" s="106"/>
      <c r="DP92" s="106"/>
      <c r="DQ92" s="106"/>
      <c r="DR92" s="106"/>
      <c r="DS92" s="106"/>
      <c r="DT92" s="106"/>
      <c r="DU92" s="106"/>
      <c r="DV92" s="106"/>
      <c r="DW92" s="106"/>
      <c r="DX92" s="106"/>
      <c r="DY92" s="106"/>
      <c r="DZ92" s="106"/>
      <c r="EA92" s="106"/>
      <c r="EB92" s="106"/>
      <c r="EC92" s="106"/>
      <c r="ED92" s="106"/>
      <c r="EE92" s="106"/>
      <c r="EF92" s="106"/>
      <c r="EG92" s="106"/>
      <c r="EH92" s="106"/>
      <c r="EI92" s="106"/>
    </row>
    <row r="93" spans="1:139" ht="15.75" customHeight="1" x14ac:dyDescent="0.25"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  <c r="DM93" s="106"/>
      <c r="DN93" s="106"/>
      <c r="DO93" s="106"/>
      <c r="DP93" s="106"/>
      <c r="DQ93" s="106"/>
      <c r="DR93" s="106"/>
      <c r="DS93" s="106"/>
      <c r="DT93" s="106"/>
      <c r="DU93" s="106"/>
      <c r="DV93" s="106"/>
      <c r="DW93" s="106"/>
      <c r="DX93" s="106"/>
      <c r="DY93" s="106"/>
      <c r="DZ93" s="106"/>
      <c r="EA93" s="106"/>
      <c r="EB93" s="106"/>
      <c r="EC93" s="106"/>
      <c r="ED93" s="106"/>
      <c r="EE93" s="106"/>
      <c r="EF93" s="106"/>
      <c r="EG93" s="106"/>
      <c r="EH93" s="106"/>
      <c r="EI93" s="106"/>
    </row>
    <row r="94" spans="1:139" ht="15.75" customHeight="1" x14ac:dyDescent="0.25"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  <c r="DM94" s="106"/>
      <c r="DN94" s="106"/>
      <c r="DO94" s="106"/>
      <c r="DP94" s="106"/>
      <c r="DQ94" s="106"/>
      <c r="DR94" s="106"/>
      <c r="DS94" s="106"/>
      <c r="DT94" s="106"/>
      <c r="DU94" s="106"/>
      <c r="DV94" s="106"/>
      <c r="DW94" s="106"/>
      <c r="DX94" s="106"/>
      <c r="DY94" s="106"/>
      <c r="DZ94" s="106"/>
      <c r="EA94" s="106"/>
      <c r="EB94" s="106"/>
      <c r="EC94" s="106"/>
      <c r="ED94" s="106"/>
      <c r="EE94" s="106"/>
      <c r="EF94" s="106"/>
      <c r="EG94" s="106"/>
      <c r="EH94" s="106"/>
      <c r="EI94" s="106"/>
    </row>
    <row r="95" spans="1:139" ht="15.75" customHeight="1" x14ac:dyDescent="0.25"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6"/>
      <c r="DL95" s="106"/>
      <c r="DM95" s="106"/>
      <c r="DN95" s="106"/>
      <c r="DO95" s="106"/>
      <c r="DP95" s="106"/>
      <c r="DQ95" s="106"/>
      <c r="DR95" s="106"/>
      <c r="DS95" s="106"/>
      <c r="DT95" s="106"/>
      <c r="DU95" s="106"/>
      <c r="DV95" s="106"/>
      <c r="DW95" s="106"/>
      <c r="DX95" s="106"/>
      <c r="DY95" s="106"/>
      <c r="DZ95" s="106"/>
      <c r="EA95" s="106"/>
      <c r="EB95" s="106"/>
      <c r="EC95" s="106"/>
      <c r="ED95" s="106"/>
      <c r="EE95" s="106"/>
      <c r="EF95" s="106"/>
      <c r="EG95" s="106"/>
      <c r="EH95" s="106"/>
      <c r="EI95" s="106"/>
    </row>
    <row r="96" spans="1:139" ht="15.75" customHeight="1" x14ac:dyDescent="0.25"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  <c r="DM96" s="106"/>
      <c r="DN96" s="106"/>
      <c r="DO96" s="106"/>
      <c r="DP96" s="106"/>
      <c r="DQ96" s="106"/>
      <c r="DR96" s="106"/>
      <c r="DS96" s="106"/>
      <c r="DT96" s="106"/>
      <c r="DU96" s="106"/>
      <c r="DV96" s="106"/>
      <c r="DW96" s="106"/>
      <c r="DX96" s="106"/>
      <c r="DY96" s="106"/>
      <c r="DZ96" s="106"/>
      <c r="EA96" s="106"/>
      <c r="EB96" s="106"/>
      <c r="EC96" s="106"/>
      <c r="ED96" s="106"/>
      <c r="EE96" s="106"/>
      <c r="EF96" s="106"/>
      <c r="EG96" s="106"/>
      <c r="EH96" s="106"/>
      <c r="EI96" s="106"/>
    </row>
    <row r="97" spans="3:139" ht="15.75" customHeight="1" x14ac:dyDescent="0.25"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DO97" s="106"/>
      <c r="DP97" s="106"/>
      <c r="DQ97" s="106"/>
      <c r="DR97" s="106"/>
      <c r="DS97" s="106"/>
      <c r="DT97" s="106"/>
      <c r="DU97" s="106"/>
      <c r="DV97" s="106"/>
      <c r="DW97" s="106"/>
      <c r="DX97" s="106"/>
      <c r="DY97" s="106"/>
      <c r="DZ97" s="106"/>
      <c r="EA97" s="106"/>
      <c r="EB97" s="106"/>
      <c r="EC97" s="106"/>
      <c r="ED97" s="106"/>
      <c r="EE97" s="106"/>
      <c r="EF97" s="106"/>
      <c r="EG97" s="106"/>
      <c r="EH97" s="106"/>
      <c r="EI97" s="106"/>
    </row>
    <row r="98" spans="3:139" ht="15.75" customHeight="1" x14ac:dyDescent="0.25"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  <c r="DM98" s="106"/>
      <c r="DN98" s="106"/>
      <c r="DO98" s="106"/>
      <c r="DP98" s="106"/>
      <c r="DQ98" s="106"/>
      <c r="DR98" s="106"/>
      <c r="DS98" s="106"/>
      <c r="DT98" s="106"/>
      <c r="DU98" s="106"/>
      <c r="DV98" s="106"/>
      <c r="DW98" s="106"/>
      <c r="DX98" s="106"/>
      <c r="DY98" s="106"/>
      <c r="DZ98" s="106"/>
      <c r="EA98" s="106"/>
      <c r="EB98" s="106"/>
      <c r="EC98" s="106"/>
      <c r="ED98" s="106"/>
      <c r="EE98" s="106"/>
      <c r="EF98" s="106"/>
      <c r="EG98" s="106"/>
      <c r="EH98" s="106"/>
      <c r="EI98" s="106"/>
    </row>
    <row r="99" spans="3:139" ht="15.75" customHeight="1" x14ac:dyDescent="0.25"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DO99" s="106"/>
      <c r="DP99" s="106"/>
      <c r="DQ99" s="106"/>
      <c r="DR99" s="106"/>
      <c r="DS99" s="106"/>
      <c r="DT99" s="106"/>
      <c r="DU99" s="106"/>
      <c r="DV99" s="106"/>
      <c r="DW99" s="106"/>
      <c r="DX99" s="106"/>
      <c r="DY99" s="106"/>
      <c r="DZ99" s="106"/>
      <c r="EA99" s="106"/>
      <c r="EB99" s="106"/>
      <c r="EC99" s="106"/>
      <c r="ED99" s="106"/>
      <c r="EE99" s="106"/>
      <c r="EF99" s="106"/>
      <c r="EG99" s="106"/>
      <c r="EH99" s="106"/>
      <c r="EI99" s="106"/>
    </row>
    <row r="100" spans="3:139" ht="15.75" customHeight="1" x14ac:dyDescent="0.25"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  <c r="DM100" s="106"/>
      <c r="DN100" s="106"/>
      <c r="DO100" s="106"/>
      <c r="DP100" s="106"/>
      <c r="DQ100" s="106"/>
      <c r="DR100" s="106"/>
      <c r="DS100" s="106"/>
      <c r="DT100" s="106"/>
      <c r="DU100" s="106"/>
      <c r="DV100" s="106"/>
      <c r="DW100" s="106"/>
      <c r="DX100" s="106"/>
      <c r="DY100" s="106"/>
      <c r="DZ100" s="106"/>
      <c r="EA100" s="106"/>
      <c r="EB100" s="106"/>
      <c r="EC100" s="106"/>
      <c r="ED100" s="106"/>
      <c r="EE100" s="106"/>
      <c r="EF100" s="106"/>
      <c r="EG100" s="106"/>
      <c r="EH100" s="106"/>
      <c r="EI100" s="106"/>
    </row>
    <row r="101" spans="3:139" ht="15.75" customHeight="1" x14ac:dyDescent="0.25"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  <c r="DO101" s="106"/>
      <c r="DP101" s="106"/>
      <c r="DQ101" s="106"/>
      <c r="DR101" s="106"/>
      <c r="DS101" s="106"/>
      <c r="DT101" s="106"/>
      <c r="DU101" s="106"/>
      <c r="DV101" s="106"/>
      <c r="DW101" s="106"/>
      <c r="DX101" s="106"/>
      <c r="DY101" s="106"/>
      <c r="DZ101" s="106"/>
      <c r="EA101" s="106"/>
      <c r="EB101" s="106"/>
      <c r="EC101" s="106"/>
      <c r="ED101" s="106"/>
      <c r="EE101" s="106"/>
      <c r="EF101" s="106"/>
      <c r="EG101" s="106"/>
      <c r="EH101" s="106"/>
      <c r="EI101" s="106"/>
    </row>
    <row r="102" spans="3:139" ht="15.75" customHeight="1" x14ac:dyDescent="0.25"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DO102" s="106"/>
      <c r="DP102" s="106"/>
      <c r="DQ102" s="106"/>
      <c r="DR102" s="106"/>
      <c r="DS102" s="106"/>
      <c r="DT102" s="106"/>
      <c r="DU102" s="106"/>
      <c r="DV102" s="106"/>
      <c r="DW102" s="106"/>
      <c r="DX102" s="106"/>
      <c r="DY102" s="106"/>
      <c r="DZ102" s="106"/>
      <c r="EA102" s="106"/>
      <c r="EB102" s="106"/>
      <c r="EC102" s="106"/>
      <c r="ED102" s="106"/>
      <c r="EE102" s="106"/>
      <c r="EF102" s="106"/>
      <c r="EG102" s="106"/>
      <c r="EH102" s="106"/>
      <c r="EI102" s="106"/>
    </row>
    <row r="103" spans="3:139" ht="15.75" customHeight="1" x14ac:dyDescent="0.25"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DO103" s="106"/>
      <c r="DP103" s="106"/>
      <c r="DQ103" s="106"/>
      <c r="DR103" s="106"/>
      <c r="DS103" s="106"/>
      <c r="DT103" s="106"/>
      <c r="DU103" s="106"/>
      <c r="DV103" s="106"/>
      <c r="DW103" s="106"/>
      <c r="DX103" s="106"/>
      <c r="DY103" s="106"/>
      <c r="DZ103" s="106"/>
      <c r="EA103" s="106"/>
      <c r="EB103" s="106"/>
      <c r="EC103" s="106"/>
      <c r="ED103" s="106"/>
      <c r="EE103" s="106"/>
      <c r="EF103" s="106"/>
      <c r="EG103" s="106"/>
      <c r="EH103" s="106"/>
      <c r="EI103" s="106"/>
    </row>
    <row r="104" spans="3:139" ht="15.75" customHeight="1" x14ac:dyDescent="0.25"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  <c r="DM104" s="106"/>
      <c r="DN104" s="106"/>
      <c r="DO104" s="106"/>
      <c r="DP104" s="106"/>
      <c r="DQ104" s="106"/>
      <c r="DR104" s="106"/>
      <c r="DS104" s="106"/>
      <c r="DT104" s="106"/>
      <c r="DU104" s="106"/>
      <c r="DV104" s="106"/>
      <c r="DW104" s="106"/>
      <c r="DX104" s="106"/>
      <c r="DY104" s="106"/>
      <c r="DZ104" s="106"/>
      <c r="EA104" s="106"/>
      <c r="EB104" s="106"/>
      <c r="EC104" s="106"/>
      <c r="ED104" s="106"/>
      <c r="EE104" s="106"/>
      <c r="EF104" s="106"/>
      <c r="EG104" s="106"/>
      <c r="EH104" s="106"/>
      <c r="EI104" s="106"/>
    </row>
    <row r="105" spans="3:139" ht="15.75" customHeight="1" x14ac:dyDescent="0.25"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6"/>
      <c r="DE105" s="106"/>
      <c r="DF105" s="106"/>
      <c r="DG105" s="106"/>
      <c r="DH105" s="106"/>
      <c r="DI105" s="106"/>
      <c r="DJ105" s="106"/>
      <c r="DK105" s="106"/>
      <c r="DL105" s="106"/>
      <c r="DM105" s="106"/>
      <c r="DN105" s="106"/>
      <c r="DO105" s="106"/>
      <c r="DP105" s="106"/>
      <c r="DQ105" s="106"/>
      <c r="DR105" s="106"/>
      <c r="DS105" s="106"/>
      <c r="DT105" s="106"/>
      <c r="DU105" s="106"/>
      <c r="DV105" s="106"/>
      <c r="DW105" s="106"/>
      <c r="DX105" s="106"/>
      <c r="DY105" s="106"/>
      <c r="DZ105" s="106"/>
      <c r="EA105" s="106"/>
      <c r="EB105" s="106"/>
      <c r="EC105" s="106"/>
      <c r="ED105" s="106"/>
      <c r="EE105" s="106"/>
      <c r="EF105" s="106"/>
      <c r="EG105" s="106"/>
      <c r="EH105" s="106"/>
      <c r="EI105" s="106"/>
    </row>
    <row r="106" spans="3:139" ht="15.75" customHeight="1" x14ac:dyDescent="0.25"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06"/>
      <c r="DE106" s="106"/>
      <c r="DF106" s="106"/>
      <c r="DG106" s="106"/>
      <c r="DH106" s="106"/>
      <c r="DI106" s="106"/>
      <c r="DJ106" s="106"/>
      <c r="DK106" s="106"/>
      <c r="DL106" s="106"/>
      <c r="DM106" s="106"/>
      <c r="DN106" s="106"/>
      <c r="DO106" s="106"/>
      <c r="DP106" s="106"/>
      <c r="DQ106" s="106"/>
      <c r="DR106" s="106"/>
      <c r="DS106" s="106"/>
      <c r="DT106" s="106"/>
      <c r="DU106" s="106"/>
      <c r="DV106" s="106"/>
      <c r="DW106" s="106"/>
      <c r="DX106" s="106"/>
      <c r="DY106" s="106"/>
      <c r="DZ106" s="106"/>
      <c r="EA106" s="106"/>
      <c r="EB106" s="106"/>
      <c r="EC106" s="106"/>
      <c r="ED106" s="106"/>
      <c r="EE106" s="106"/>
      <c r="EF106" s="106"/>
      <c r="EG106" s="106"/>
      <c r="EH106" s="106"/>
      <c r="EI106" s="106"/>
    </row>
    <row r="107" spans="3:139" ht="15.75" customHeight="1" x14ac:dyDescent="0.25"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06"/>
      <c r="DP107" s="106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06"/>
      <c r="EC107" s="106"/>
      <c r="ED107" s="106"/>
      <c r="EE107" s="106"/>
      <c r="EF107" s="106"/>
      <c r="EG107" s="106"/>
      <c r="EH107" s="106"/>
      <c r="EI107" s="106"/>
    </row>
    <row r="108" spans="3:139" ht="15.75" customHeight="1" x14ac:dyDescent="0.25"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06"/>
      <c r="DE108" s="106"/>
      <c r="DF108" s="106"/>
      <c r="DG108" s="106"/>
      <c r="DH108" s="106"/>
      <c r="DI108" s="106"/>
      <c r="DJ108" s="106"/>
      <c r="DK108" s="106"/>
      <c r="DL108" s="106"/>
      <c r="DM108" s="106"/>
      <c r="DN108" s="106"/>
      <c r="DO108" s="106"/>
      <c r="DP108" s="106"/>
      <c r="DQ108" s="106"/>
      <c r="DR108" s="106"/>
      <c r="DS108" s="106"/>
      <c r="DT108" s="106"/>
      <c r="DU108" s="106"/>
      <c r="DV108" s="106"/>
      <c r="DW108" s="106"/>
      <c r="DX108" s="106"/>
      <c r="DY108" s="106"/>
      <c r="DZ108" s="106"/>
      <c r="EA108" s="106"/>
      <c r="EB108" s="106"/>
      <c r="EC108" s="106"/>
      <c r="ED108" s="106"/>
      <c r="EE108" s="106"/>
      <c r="EF108" s="106"/>
      <c r="EG108" s="106"/>
      <c r="EH108" s="106"/>
      <c r="EI108" s="106"/>
    </row>
    <row r="109" spans="3:139" ht="15.75" customHeight="1" x14ac:dyDescent="0.25"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  <c r="DA109" s="106"/>
      <c r="DB109" s="106"/>
      <c r="DC109" s="106"/>
      <c r="DD109" s="106"/>
      <c r="DE109" s="106"/>
      <c r="DF109" s="106"/>
      <c r="DG109" s="106"/>
      <c r="DH109" s="106"/>
      <c r="DI109" s="106"/>
      <c r="DJ109" s="106"/>
      <c r="DK109" s="106"/>
      <c r="DL109" s="106"/>
      <c r="DM109" s="106"/>
      <c r="DN109" s="106"/>
      <c r="DO109" s="106"/>
      <c r="DP109" s="106"/>
      <c r="DQ109" s="106"/>
      <c r="DR109" s="106"/>
      <c r="DS109" s="106"/>
      <c r="DT109" s="106"/>
      <c r="DU109" s="106"/>
      <c r="DV109" s="106"/>
      <c r="DW109" s="106"/>
      <c r="DX109" s="106"/>
      <c r="DY109" s="106"/>
      <c r="DZ109" s="106"/>
      <c r="EA109" s="106"/>
      <c r="EB109" s="106"/>
      <c r="EC109" s="106"/>
      <c r="ED109" s="106"/>
      <c r="EE109" s="106"/>
      <c r="EF109" s="106"/>
      <c r="EG109" s="106"/>
      <c r="EH109" s="106"/>
      <c r="EI109" s="106"/>
    </row>
    <row r="110" spans="3:139" ht="15.75" customHeight="1" x14ac:dyDescent="0.25"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6"/>
      <c r="DE110" s="106"/>
      <c r="DF110" s="106"/>
      <c r="DG110" s="106"/>
      <c r="DH110" s="106"/>
      <c r="DI110" s="106"/>
      <c r="DJ110" s="106"/>
      <c r="DK110" s="106"/>
      <c r="DL110" s="106"/>
      <c r="DM110" s="106"/>
      <c r="DN110" s="106"/>
      <c r="DO110" s="106"/>
      <c r="DP110" s="106"/>
      <c r="DQ110" s="106"/>
      <c r="DR110" s="106"/>
      <c r="DS110" s="106"/>
      <c r="DT110" s="106"/>
      <c r="DU110" s="106"/>
      <c r="DV110" s="106"/>
      <c r="DW110" s="106"/>
      <c r="DX110" s="106"/>
      <c r="DY110" s="106"/>
      <c r="DZ110" s="106"/>
      <c r="EA110" s="106"/>
      <c r="EB110" s="106"/>
      <c r="EC110" s="106"/>
      <c r="ED110" s="106"/>
      <c r="EE110" s="106"/>
      <c r="EF110" s="106"/>
      <c r="EG110" s="106"/>
      <c r="EH110" s="106"/>
      <c r="EI110" s="106"/>
    </row>
    <row r="111" spans="3:139" ht="15.75" customHeight="1" x14ac:dyDescent="0.25"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6"/>
      <c r="DE111" s="106"/>
      <c r="DF111" s="106"/>
      <c r="DG111" s="106"/>
      <c r="DH111" s="106"/>
      <c r="DI111" s="106"/>
      <c r="DJ111" s="106"/>
      <c r="DK111" s="106"/>
      <c r="DL111" s="106"/>
      <c r="DM111" s="106"/>
      <c r="DN111" s="106"/>
      <c r="DO111" s="106"/>
      <c r="DP111" s="106"/>
      <c r="DQ111" s="106"/>
      <c r="DR111" s="106"/>
      <c r="DS111" s="106"/>
      <c r="DT111" s="106"/>
      <c r="DU111" s="106"/>
      <c r="DV111" s="106"/>
      <c r="DW111" s="106"/>
      <c r="DX111" s="106"/>
      <c r="DY111" s="106"/>
      <c r="DZ111" s="106"/>
      <c r="EA111" s="106"/>
      <c r="EB111" s="106"/>
      <c r="EC111" s="106"/>
      <c r="ED111" s="106"/>
      <c r="EE111" s="106"/>
      <c r="EF111" s="106"/>
      <c r="EG111" s="106"/>
      <c r="EH111" s="106"/>
      <c r="EI111" s="106"/>
    </row>
    <row r="112" spans="3:139" ht="15.75" customHeight="1" x14ac:dyDescent="0.25"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6"/>
      <c r="DY112" s="106"/>
      <c r="DZ112" s="106"/>
      <c r="EA112" s="106"/>
      <c r="EB112" s="106"/>
      <c r="EC112" s="106"/>
      <c r="ED112" s="106"/>
      <c r="EE112" s="106"/>
      <c r="EF112" s="106"/>
      <c r="EG112" s="106"/>
      <c r="EH112" s="106"/>
      <c r="EI112" s="106"/>
    </row>
    <row r="113" spans="3:139" ht="15.75" customHeight="1" x14ac:dyDescent="0.25"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  <c r="DG113" s="106"/>
      <c r="DH113" s="106"/>
      <c r="DI113" s="106"/>
      <c r="DJ113" s="106"/>
      <c r="DK113" s="106"/>
      <c r="DL113" s="106"/>
      <c r="DM113" s="106"/>
      <c r="DN113" s="106"/>
      <c r="DO113" s="106"/>
      <c r="DP113" s="106"/>
      <c r="DQ113" s="106"/>
      <c r="DR113" s="106"/>
      <c r="DS113" s="106"/>
      <c r="DT113" s="106"/>
      <c r="DU113" s="106"/>
      <c r="DV113" s="106"/>
      <c r="DW113" s="106"/>
      <c r="DX113" s="106"/>
      <c r="DY113" s="106"/>
      <c r="DZ113" s="106"/>
      <c r="EA113" s="106"/>
      <c r="EB113" s="106"/>
      <c r="EC113" s="106"/>
      <c r="ED113" s="106"/>
      <c r="EE113" s="106"/>
      <c r="EF113" s="106"/>
      <c r="EG113" s="106"/>
      <c r="EH113" s="106"/>
      <c r="EI113" s="106"/>
    </row>
    <row r="114" spans="3:139" ht="15.75" customHeight="1" x14ac:dyDescent="0.25"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  <c r="DM114" s="106"/>
      <c r="DN114" s="106"/>
      <c r="DO114" s="106"/>
      <c r="DP114" s="106"/>
      <c r="DQ114" s="106"/>
      <c r="DR114" s="106"/>
      <c r="DS114" s="106"/>
      <c r="DT114" s="106"/>
      <c r="DU114" s="106"/>
      <c r="DV114" s="106"/>
      <c r="DW114" s="106"/>
      <c r="DX114" s="106"/>
      <c r="DY114" s="106"/>
      <c r="DZ114" s="106"/>
      <c r="EA114" s="106"/>
      <c r="EB114" s="106"/>
      <c r="EC114" s="106"/>
      <c r="ED114" s="106"/>
      <c r="EE114" s="106"/>
      <c r="EF114" s="106"/>
      <c r="EG114" s="106"/>
      <c r="EH114" s="106"/>
      <c r="EI114" s="106"/>
    </row>
    <row r="115" spans="3:139" ht="15.75" customHeight="1" x14ac:dyDescent="0.25"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6"/>
      <c r="DE115" s="106"/>
      <c r="DF115" s="106"/>
      <c r="DG115" s="106"/>
      <c r="DH115" s="106"/>
      <c r="DI115" s="106"/>
      <c r="DJ115" s="106"/>
      <c r="DK115" s="106"/>
      <c r="DL115" s="106"/>
      <c r="DM115" s="106"/>
      <c r="DN115" s="106"/>
      <c r="DO115" s="106"/>
      <c r="DP115" s="106"/>
      <c r="DQ115" s="106"/>
      <c r="DR115" s="106"/>
      <c r="DS115" s="106"/>
      <c r="DT115" s="106"/>
      <c r="DU115" s="106"/>
      <c r="DV115" s="106"/>
      <c r="DW115" s="106"/>
      <c r="DX115" s="106"/>
      <c r="DY115" s="106"/>
      <c r="DZ115" s="106"/>
      <c r="EA115" s="106"/>
      <c r="EB115" s="106"/>
      <c r="EC115" s="106"/>
      <c r="ED115" s="106"/>
      <c r="EE115" s="106"/>
      <c r="EF115" s="106"/>
      <c r="EG115" s="106"/>
      <c r="EH115" s="106"/>
      <c r="EI115" s="106"/>
    </row>
    <row r="116" spans="3:139" ht="15.75" customHeight="1" x14ac:dyDescent="0.25"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  <c r="DF116" s="106"/>
      <c r="DG116" s="106"/>
      <c r="DH116" s="106"/>
      <c r="DI116" s="106"/>
      <c r="DJ116" s="106"/>
      <c r="DK116" s="106"/>
      <c r="DL116" s="106"/>
      <c r="DM116" s="106"/>
      <c r="DN116" s="106"/>
      <c r="DO116" s="106"/>
      <c r="DP116" s="106"/>
      <c r="DQ116" s="106"/>
      <c r="DR116" s="106"/>
      <c r="DS116" s="106"/>
      <c r="DT116" s="106"/>
      <c r="DU116" s="106"/>
      <c r="DV116" s="106"/>
      <c r="DW116" s="106"/>
      <c r="DX116" s="106"/>
      <c r="DY116" s="106"/>
      <c r="DZ116" s="106"/>
      <c r="EA116" s="106"/>
      <c r="EB116" s="106"/>
      <c r="EC116" s="106"/>
      <c r="ED116" s="106"/>
      <c r="EE116" s="106"/>
      <c r="EF116" s="106"/>
      <c r="EG116" s="106"/>
      <c r="EH116" s="106"/>
      <c r="EI116" s="106"/>
    </row>
    <row r="117" spans="3:139" ht="15.75" customHeight="1" x14ac:dyDescent="0.25"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  <c r="DF117" s="106"/>
      <c r="DG117" s="106"/>
      <c r="DH117" s="106"/>
      <c r="DI117" s="106"/>
      <c r="DJ117" s="106"/>
      <c r="DK117" s="106"/>
      <c r="DL117" s="106"/>
      <c r="DM117" s="106"/>
      <c r="DN117" s="106"/>
      <c r="DO117" s="106"/>
      <c r="DP117" s="106"/>
      <c r="DQ117" s="106"/>
      <c r="DR117" s="106"/>
      <c r="DS117" s="106"/>
      <c r="DT117" s="106"/>
      <c r="DU117" s="106"/>
      <c r="DV117" s="106"/>
      <c r="DW117" s="106"/>
      <c r="DX117" s="106"/>
      <c r="DY117" s="106"/>
      <c r="DZ117" s="106"/>
      <c r="EA117" s="106"/>
      <c r="EB117" s="106"/>
      <c r="EC117" s="106"/>
      <c r="ED117" s="106"/>
      <c r="EE117" s="106"/>
      <c r="EF117" s="106"/>
      <c r="EG117" s="106"/>
      <c r="EH117" s="106"/>
      <c r="EI117" s="106"/>
    </row>
    <row r="118" spans="3:139" ht="15.75" customHeight="1" x14ac:dyDescent="0.25"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  <c r="DM118" s="106"/>
      <c r="DN118" s="106"/>
      <c r="DO118" s="106"/>
      <c r="DP118" s="106"/>
      <c r="DQ118" s="106"/>
      <c r="DR118" s="106"/>
      <c r="DS118" s="106"/>
      <c r="DT118" s="106"/>
      <c r="DU118" s="106"/>
      <c r="DV118" s="106"/>
      <c r="DW118" s="106"/>
      <c r="DX118" s="106"/>
      <c r="DY118" s="106"/>
      <c r="DZ118" s="106"/>
      <c r="EA118" s="106"/>
      <c r="EB118" s="106"/>
      <c r="EC118" s="106"/>
      <c r="ED118" s="106"/>
      <c r="EE118" s="106"/>
      <c r="EF118" s="106"/>
      <c r="EG118" s="106"/>
      <c r="EH118" s="106"/>
      <c r="EI118" s="106"/>
    </row>
    <row r="119" spans="3:139" ht="15.75" customHeight="1" x14ac:dyDescent="0.25"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6"/>
      <c r="DE119" s="106"/>
      <c r="DF119" s="106"/>
      <c r="DG119" s="106"/>
      <c r="DH119" s="106"/>
      <c r="DI119" s="106"/>
      <c r="DJ119" s="106"/>
      <c r="DK119" s="106"/>
      <c r="DL119" s="106"/>
      <c r="DM119" s="106"/>
      <c r="DN119" s="106"/>
      <c r="DO119" s="106"/>
      <c r="DP119" s="106"/>
      <c r="DQ119" s="106"/>
      <c r="DR119" s="106"/>
      <c r="DS119" s="106"/>
      <c r="DT119" s="106"/>
      <c r="DU119" s="106"/>
      <c r="DV119" s="106"/>
      <c r="DW119" s="106"/>
      <c r="DX119" s="106"/>
      <c r="DY119" s="106"/>
      <c r="DZ119" s="106"/>
      <c r="EA119" s="106"/>
      <c r="EB119" s="106"/>
      <c r="EC119" s="106"/>
      <c r="ED119" s="106"/>
      <c r="EE119" s="106"/>
      <c r="EF119" s="106"/>
      <c r="EG119" s="106"/>
      <c r="EH119" s="106"/>
      <c r="EI119" s="106"/>
    </row>
    <row r="120" spans="3:139" ht="15.75" customHeight="1" x14ac:dyDescent="0.25"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  <c r="DF120" s="106"/>
      <c r="DG120" s="106"/>
      <c r="DH120" s="106"/>
      <c r="DI120" s="106"/>
      <c r="DJ120" s="106"/>
      <c r="DK120" s="106"/>
      <c r="DL120" s="106"/>
      <c r="DM120" s="106"/>
      <c r="DN120" s="106"/>
      <c r="DO120" s="106"/>
      <c r="DP120" s="106"/>
      <c r="DQ120" s="106"/>
      <c r="DR120" s="106"/>
      <c r="DS120" s="106"/>
      <c r="DT120" s="106"/>
      <c r="DU120" s="106"/>
      <c r="DV120" s="106"/>
      <c r="DW120" s="106"/>
      <c r="DX120" s="106"/>
      <c r="DY120" s="106"/>
      <c r="DZ120" s="106"/>
      <c r="EA120" s="106"/>
      <c r="EB120" s="106"/>
      <c r="EC120" s="106"/>
      <c r="ED120" s="106"/>
      <c r="EE120" s="106"/>
      <c r="EF120" s="106"/>
      <c r="EG120" s="106"/>
      <c r="EH120" s="106"/>
      <c r="EI120" s="106"/>
    </row>
    <row r="121" spans="3:139" ht="15.75" customHeight="1" x14ac:dyDescent="0.25"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6"/>
      <c r="DK121" s="106"/>
      <c r="DL121" s="106"/>
      <c r="DM121" s="106"/>
      <c r="DN121" s="106"/>
      <c r="DO121" s="106"/>
      <c r="DP121" s="106"/>
      <c r="DQ121" s="106"/>
      <c r="DR121" s="106"/>
      <c r="DS121" s="106"/>
      <c r="DT121" s="106"/>
      <c r="DU121" s="106"/>
      <c r="DV121" s="106"/>
      <c r="DW121" s="106"/>
      <c r="DX121" s="106"/>
      <c r="DY121" s="106"/>
      <c r="DZ121" s="106"/>
      <c r="EA121" s="106"/>
      <c r="EB121" s="106"/>
      <c r="EC121" s="106"/>
      <c r="ED121" s="106"/>
      <c r="EE121" s="106"/>
      <c r="EF121" s="106"/>
      <c r="EG121" s="106"/>
      <c r="EH121" s="106"/>
      <c r="EI121" s="106"/>
    </row>
    <row r="122" spans="3:139" ht="15.75" customHeight="1" x14ac:dyDescent="0.25"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6"/>
      <c r="DE122" s="106"/>
      <c r="DF122" s="106"/>
      <c r="DG122" s="106"/>
      <c r="DH122" s="106"/>
      <c r="DI122" s="106"/>
      <c r="DJ122" s="106"/>
      <c r="DK122" s="106"/>
      <c r="DL122" s="106"/>
      <c r="DM122" s="106"/>
      <c r="DN122" s="106"/>
      <c r="DO122" s="106"/>
      <c r="DP122" s="106"/>
      <c r="DQ122" s="106"/>
      <c r="DR122" s="106"/>
      <c r="DS122" s="106"/>
      <c r="DT122" s="106"/>
      <c r="DU122" s="106"/>
      <c r="DV122" s="106"/>
      <c r="DW122" s="106"/>
      <c r="DX122" s="106"/>
      <c r="DY122" s="106"/>
      <c r="DZ122" s="106"/>
      <c r="EA122" s="106"/>
      <c r="EB122" s="106"/>
      <c r="EC122" s="106"/>
      <c r="ED122" s="106"/>
      <c r="EE122" s="106"/>
      <c r="EF122" s="106"/>
      <c r="EG122" s="106"/>
      <c r="EH122" s="106"/>
      <c r="EI122" s="106"/>
    </row>
    <row r="123" spans="3:139" ht="15.75" customHeight="1" x14ac:dyDescent="0.25"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6"/>
      <c r="DE123" s="106"/>
      <c r="DF123" s="106"/>
      <c r="DG123" s="106"/>
      <c r="DH123" s="106"/>
      <c r="DI123" s="106"/>
      <c r="DJ123" s="106"/>
      <c r="DK123" s="106"/>
      <c r="DL123" s="106"/>
      <c r="DM123" s="106"/>
      <c r="DN123" s="106"/>
      <c r="DO123" s="106"/>
      <c r="DP123" s="106"/>
      <c r="DQ123" s="106"/>
      <c r="DR123" s="106"/>
      <c r="DS123" s="106"/>
      <c r="DT123" s="106"/>
      <c r="DU123" s="106"/>
      <c r="DV123" s="106"/>
      <c r="DW123" s="106"/>
      <c r="DX123" s="106"/>
      <c r="DY123" s="106"/>
      <c r="DZ123" s="106"/>
      <c r="EA123" s="106"/>
      <c r="EB123" s="106"/>
      <c r="EC123" s="106"/>
      <c r="ED123" s="106"/>
      <c r="EE123" s="106"/>
      <c r="EF123" s="106"/>
      <c r="EG123" s="106"/>
      <c r="EH123" s="106"/>
      <c r="EI123" s="106"/>
    </row>
    <row r="124" spans="3:139" ht="15.75" customHeight="1" x14ac:dyDescent="0.25"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6"/>
      <c r="DL124" s="106"/>
      <c r="DM124" s="106"/>
      <c r="DN124" s="106"/>
      <c r="DO124" s="106"/>
      <c r="DP124" s="106"/>
      <c r="DQ124" s="106"/>
      <c r="DR124" s="106"/>
      <c r="DS124" s="106"/>
      <c r="DT124" s="106"/>
      <c r="DU124" s="106"/>
      <c r="DV124" s="106"/>
      <c r="DW124" s="106"/>
      <c r="DX124" s="106"/>
      <c r="DY124" s="106"/>
      <c r="DZ124" s="106"/>
      <c r="EA124" s="106"/>
      <c r="EB124" s="106"/>
      <c r="EC124" s="106"/>
      <c r="ED124" s="106"/>
      <c r="EE124" s="106"/>
      <c r="EF124" s="106"/>
      <c r="EG124" s="106"/>
      <c r="EH124" s="106"/>
      <c r="EI124" s="106"/>
    </row>
    <row r="125" spans="3:139" ht="15.75" customHeight="1" x14ac:dyDescent="0.25"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  <c r="DA125" s="106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6"/>
      <c r="DL125" s="106"/>
      <c r="DM125" s="106"/>
      <c r="DN125" s="106"/>
      <c r="DO125" s="106"/>
      <c r="DP125" s="106"/>
      <c r="DQ125" s="106"/>
      <c r="DR125" s="106"/>
      <c r="DS125" s="106"/>
      <c r="DT125" s="106"/>
      <c r="DU125" s="106"/>
      <c r="DV125" s="106"/>
      <c r="DW125" s="106"/>
      <c r="DX125" s="106"/>
      <c r="DY125" s="106"/>
      <c r="DZ125" s="106"/>
      <c r="EA125" s="106"/>
      <c r="EB125" s="106"/>
      <c r="EC125" s="106"/>
      <c r="ED125" s="106"/>
      <c r="EE125" s="106"/>
      <c r="EF125" s="106"/>
      <c r="EG125" s="106"/>
      <c r="EH125" s="106"/>
      <c r="EI125" s="106"/>
    </row>
    <row r="126" spans="3:139" ht="15.75" customHeight="1" x14ac:dyDescent="0.25"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  <c r="DA126" s="106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6"/>
      <c r="DL126" s="106"/>
      <c r="DM126" s="106"/>
      <c r="DN126" s="106"/>
      <c r="DO126" s="106"/>
      <c r="DP126" s="106"/>
      <c r="DQ126" s="106"/>
      <c r="DR126" s="106"/>
      <c r="DS126" s="106"/>
      <c r="DT126" s="106"/>
      <c r="DU126" s="106"/>
      <c r="DV126" s="106"/>
      <c r="DW126" s="106"/>
      <c r="DX126" s="106"/>
      <c r="DY126" s="106"/>
      <c r="DZ126" s="106"/>
      <c r="EA126" s="106"/>
      <c r="EB126" s="106"/>
      <c r="EC126" s="106"/>
      <c r="ED126" s="106"/>
      <c r="EE126" s="106"/>
      <c r="EF126" s="106"/>
      <c r="EG126" s="106"/>
      <c r="EH126" s="106"/>
      <c r="EI126" s="106"/>
    </row>
    <row r="127" spans="3:139" ht="15.75" customHeight="1" x14ac:dyDescent="0.25"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6"/>
      <c r="DL127" s="106"/>
      <c r="DM127" s="106"/>
      <c r="DN127" s="106"/>
      <c r="DO127" s="106"/>
      <c r="DP127" s="106"/>
      <c r="DQ127" s="106"/>
      <c r="DR127" s="106"/>
      <c r="DS127" s="106"/>
      <c r="DT127" s="106"/>
      <c r="DU127" s="106"/>
      <c r="DV127" s="106"/>
      <c r="DW127" s="106"/>
      <c r="DX127" s="106"/>
      <c r="DY127" s="106"/>
      <c r="DZ127" s="106"/>
      <c r="EA127" s="106"/>
      <c r="EB127" s="106"/>
      <c r="EC127" s="106"/>
      <c r="ED127" s="106"/>
      <c r="EE127" s="106"/>
      <c r="EF127" s="106"/>
      <c r="EG127" s="106"/>
      <c r="EH127" s="106"/>
      <c r="EI127" s="106"/>
    </row>
    <row r="128" spans="3:139" ht="15.75" customHeight="1" x14ac:dyDescent="0.25"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6"/>
      <c r="DL128" s="106"/>
      <c r="DM128" s="106"/>
      <c r="DN128" s="106"/>
      <c r="DO128" s="106"/>
      <c r="DP128" s="106"/>
      <c r="DQ128" s="106"/>
      <c r="DR128" s="106"/>
      <c r="DS128" s="106"/>
      <c r="DT128" s="106"/>
      <c r="DU128" s="106"/>
      <c r="DV128" s="106"/>
      <c r="DW128" s="106"/>
      <c r="DX128" s="106"/>
      <c r="DY128" s="106"/>
      <c r="DZ128" s="106"/>
      <c r="EA128" s="106"/>
      <c r="EB128" s="106"/>
      <c r="EC128" s="106"/>
      <c r="ED128" s="106"/>
      <c r="EE128" s="106"/>
      <c r="EF128" s="106"/>
      <c r="EG128" s="106"/>
      <c r="EH128" s="106"/>
      <c r="EI128" s="106"/>
    </row>
    <row r="129" spans="3:139" ht="15.75" customHeight="1" x14ac:dyDescent="0.25"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  <c r="DF129" s="106"/>
      <c r="DG129" s="106"/>
      <c r="DH129" s="106"/>
      <c r="DI129" s="106"/>
      <c r="DJ129" s="106"/>
      <c r="DK129" s="106"/>
      <c r="DL129" s="106"/>
      <c r="DM129" s="106"/>
      <c r="DN129" s="106"/>
      <c r="DO129" s="106"/>
      <c r="DP129" s="106"/>
      <c r="DQ129" s="106"/>
      <c r="DR129" s="106"/>
      <c r="DS129" s="106"/>
      <c r="DT129" s="106"/>
      <c r="DU129" s="106"/>
      <c r="DV129" s="106"/>
      <c r="DW129" s="106"/>
      <c r="DX129" s="106"/>
      <c r="DY129" s="106"/>
      <c r="DZ129" s="106"/>
      <c r="EA129" s="106"/>
      <c r="EB129" s="106"/>
      <c r="EC129" s="106"/>
      <c r="ED129" s="106"/>
      <c r="EE129" s="106"/>
      <c r="EF129" s="106"/>
      <c r="EG129" s="106"/>
      <c r="EH129" s="106"/>
      <c r="EI129" s="106"/>
    </row>
    <row r="130" spans="3:139" ht="15.75" customHeight="1" x14ac:dyDescent="0.25"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  <c r="DA130" s="106"/>
      <c r="DB130" s="106"/>
      <c r="DC130" s="106"/>
      <c r="DD130" s="106"/>
      <c r="DE130" s="106"/>
      <c r="DF130" s="106"/>
      <c r="DG130" s="106"/>
      <c r="DH130" s="106"/>
      <c r="DI130" s="106"/>
      <c r="DJ130" s="106"/>
      <c r="DK130" s="106"/>
      <c r="DL130" s="106"/>
      <c r="DM130" s="106"/>
      <c r="DN130" s="106"/>
      <c r="DO130" s="106"/>
      <c r="DP130" s="106"/>
      <c r="DQ130" s="106"/>
      <c r="DR130" s="106"/>
      <c r="DS130" s="106"/>
      <c r="DT130" s="106"/>
      <c r="DU130" s="106"/>
      <c r="DV130" s="106"/>
      <c r="DW130" s="106"/>
      <c r="DX130" s="106"/>
      <c r="DY130" s="106"/>
      <c r="DZ130" s="106"/>
      <c r="EA130" s="106"/>
      <c r="EB130" s="106"/>
      <c r="EC130" s="106"/>
      <c r="ED130" s="106"/>
      <c r="EE130" s="106"/>
      <c r="EF130" s="106"/>
      <c r="EG130" s="106"/>
      <c r="EH130" s="106"/>
      <c r="EI130" s="106"/>
    </row>
    <row r="131" spans="3:139" ht="15.75" customHeight="1" x14ac:dyDescent="0.25"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  <c r="DA131" s="106"/>
      <c r="DB131" s="106"/>
      <c r="DC131" s="106"/>
      <c r="DD131" s="106"/>
      <c r="DE131" s="106"/>
      <c r="DF131" s="106"/>
      <c r="DG131" s="106"/>
      <c r="DH131" s="106"/>
      <c r="DI131" s="106"/>
      <c r="DJ131" s="106"/>
      <c r="DK131" s="106"/>
      <c r="DL131" s="106"/>
      <c r="DM131" s="106"/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6"/>
      <c r="EC131" s="106"/>
      <c r="ED131" s="106"/>
      <c r="EE131" s="106"/>
      <c r="EF131" s="106"/>
      <c r="EG131" s="106"/>
      <c r="EH131" s="106"/>
      <c r="EI131" s="106"/>
    </row>
    <row r="132" spans="3:139" ht="15.75" customHeight="1" x14ac:dyDescent="0.25"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  <c r="DA132" s="106"/>
      <c r="DB132" s="106"/>
      <c r="DC132" s="106"/>
      <c r="DD132" s="106"/>
      <c r="DE132" s="106"/>
      <c r="DF132" s="106"/>
      <c r="DG132" s="106"/>
      <c r="DH132" s="106"/>
      <c r="DI132" s="106"/>
      <c r="DJ132" s="106"/>
      <c r="DK132" s="106"/>
      <c r="DL132" s="106"/>
      <c r="DM132" s="106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6"/>
      <c r="EC132" s="106"/>
      <c r="ED132" s="106"/>
      <c r="EE132" s="106"/>
      <c r="EF132" s="106"/>
      <c r="EG132" s="106"/>
      <c r="EH132" s="106"/>
      <c r="EI132" s="106"/>
    </row>
    <row r="133" spans="3:139" ht="15.75" customHeight="1" x14ac:dyDescent="0.25"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  <c r="DA133" s="106"/>
      <c r="DB133" s="106"/>
      <c r="DC133" s="106"/>
      <c r="DD133" s="106"/>
      <c r="DE133" s="106"/>
      <c r="DF133" s="106"/>
      <c r="DG133" s="106"/>
      <c r="DH133" s="106"/>
      <c r="DI133" s="106"/>
      <c r="DJ133" s="106"/>
      <c r="DK133" s="106"/>
      <c r="DL133" s="106"/>
      <c r="DM133" s="106"/>
      <c r="DN133" s="106"/>
      <c r="DO133" s="106"/>
      <c r="DP133" s="106"/>
      <c r="DQ133" s="106"/>
      <c r="DR133" s="106"/>
      <c r="DS133" s="106"/>
      <c r="DT133" s="106"/>
      <c r="DU133" s="106"/>
      <c r="DV133" s="106"/>
      <c r="DW133" s="106"/>
      <c r="DX133" s="106"/>
      <c r="DY133" s="106"/>
      <c r="DZ133" s="106"/>
      <c r="EA133" s="106"/>
      <c r="EB133" s="106"/>
      <c r="EC133" s="106"/>
      <c r="ED133" s="106"/>
      <c r="EE133" s="106"/>
      <c r="EF133" s="106"/>
      <c r="EG133" s="106"/>
      <c r="EH133" s="106"/>
      <c r="EI133" s="106"/>
    </row>
    <row r="134" spans="3:139" ht="15.75" customHeight="1" x14ac:dyDescent="0.25"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6"/>
      <c r="DE134" s="106"/>
      <c r="DF134" s="106"/>
      <c r="DG134" s="106"/>
      <c r="DH134" s="106"/>
      <c r="DI134" s="106"/>
      <c r="DJ134" s="106"/>
      <c r="DK134" s="106"/>
      <c r="DL134" s="106"/>
      <c r="DM134" s="106"/>
      <c r="DN134" s="106"/>
      <c r="DO134" s="106"/>
      <c r="DP134" s="106"/>
      <c r="DQ134" s="106"/>
      <c r="DR134" s="106"/>
      <c r="DS134" s="106"/>
      <c r="DT134" s="106"/>
      <c r="DU134" s="106"/>
      <c r="DV134" s="106"/>
      <c r="DW134" s="106"/>
      <c r="DX134" s="106"/>
      <c r="DY134" s="106"/>
      <c r="DZ134" s="106"/>
      <c r="EA134" s="106"/>
      <c r="EB134" s="106"/>
      <c r="EC134" s="106"/>
      <c r="ED134" s="106"/>
      <c r="EE134" s="106"/>
      <c r="EF134" s="106"/>
      <c r="EG134" s="106"/>
      <c r="EH134" s="106"/>
      <c r="EI134" s="106"/>
    </row>
    <row r="135" spans="3:139" ht="15.75" customHeight="1" x14ac:dyDescent="0.25"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  <c r="DA135" s="106"/>
      <c r="DB135" s="106"/>
      <c r="DC135" s="106"/>
      <c r="DD135" s="106"/>
      <c r="DE135" s="106"/>
      <c r="DF135" s="106"/>
      <c r="DG135" s="106"/>
      <c r="DH135" s="106"/>
      <c r="DI135" s="106"/>
      <c r="DJ135" s="106"/>
      <c r="DK135" s="106"/>
      <c r="DL135" s="106"/>
      <c r="DM135" s="106"/>
      <c r="DN135" s="106"/>
      <c r="DO135" s="106"/>
      <c r="DP135" s="106"/>
      <c r="DQ135" s="106"/>
      <c r="DR135" s="106"/>
      <c r="DS135" s="106"/>
      <c r="DT135" s="106"/>
      <c r="DU135" s="106"/>
      <c r="DV135" s="106"/>
      <c r="DW135" s="106"/>
      <c r="DX135" s="106"/>
      <c r="DY135" s="106"/>
      <c r="DZ135" s="106"/>
      <c r="EA135" s="106"/>
      <c r="EB135" s="106"/>
      <c r="EC135" s="106"/>
      <c r="ED135" s="106"/>
      <c r="EE135" s="106"/>
      <c r="EF135" s="106"/>
      <c r="EG135" s="106"/>
      <c r="EH135" s="106"/>
      <c r="EI135" s="106"/>
    </row>
    <row r="136" spans="3:139" ht="15.75" customHeight="1" x14ac:dyDescent="0.25"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  <c r="DA136" s="106"/>
      <c r="DB136" s="106"/>
      <c r="DC136" s="106"/>
      <c r="DD136" s="106"/>
      <c r="DE136" s="106"/>
      <c r="DF136" s="106"/>
      <c r="DG136" s="106"/>
      <c r="DH136" s="106"/>
      <c r="DI136" s="106"/>
      <c r="DJ136" s="106"/>
      <c r="DK136" s="106"/>
      <c r="DL136" s="106"/>
      <c r="DM136" s="106"/>
      <c r="DN136" s="106"/>
      <c r="DO136" s="106"/>
      <c r="DP136" s="106"/>
      <c r="DQ136" s="106"/>
      <c r="DR136" s="106"/>
      <c r="DS136" s="106"/>
      <c r="DT136" s="106"/>
      <c r="DU136" s="106"/>
      <c r="DV136" s="106"/>
      <c r="DW136" s="106"/>
      <c r="DX136" s="106"/>
      <c r="DY136" s="106"/>
      <c r="DZ136" s="106"/>
      <c r="EA136" s="106"/>
      <c r="EB136" s="106"/>
      <c r="EC136" s="106"/>
      <c r="ED136" s="106"/>
      <c r="EE136" s="106"/>
      <c r="EF136" s="106"/>
      <c r="EG136" s="106"/>
      <c r="EH136" s="106"/>
      <c r="EI136" s="106"/>
    </row>
    <row r="137" spans="3:139" ht="15.75" customHeight="1" x14ac:dyDescent="0.25"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  <c r="DA137" s="106"/>
      <c r="DB137" s="106"/>
      <c r="DC137" s="106"/>
      <c r="DD137" s="106"/>
      <c r="DE137" s="106"/>
      <c r="DF137" s="106"/>
      <c r="DG137" s="106"/>
      <c r="DH137" s="106"/>
      <c r="DI137" s="106"/>
      <c r="DJ137" s="106"/>
      <c r="DK137" s="106"/>
      <c r="DL137" s="106"/>
      <c r="DM137" s="106"/>
      <c r="DN137" s="106"/>
      <c r="DO137" s="106"/>
      <c r="DP137" s="106"/>
      <c r="DQ137" s="106"/>
      <c r="DR137" s="106"/>
      <c r="DS137" s="106"/>
      <c r="DT137" s="106"/>
      <c r="DU137" s="106"/>
      <c r="DV137" s="106"/>
      <c r="DW137" s="106"/>
      <c r="DX137" s="106"/>
      <c r="DY137" s="106"/>
      <c r="DZ137" s="106"/>
      <c r="EA137" s="106"/>
      <c r="EB137" s="106"/>
      <c r="EC137" s="106"/>
      <c r="ED137" s="106"/>
      <c r="EE137" s="106"/>
      <c r="EF137" s="106"/>
      <c r="EG137" s="106"/>
      <c r="EH137" s="106"/>
      <c r="EI137" s="106"/>
    </row>
    <row r="138" spans="3:139" ht="15.75" customHeight="1" x14ac:dyDescent="0.25"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  <c r="DA138" s="106"/>
      <c r="DB138" s="106"/>
      <c r="DC138" s="106"/>
      <c r="DD138" s="106"/>
      <c r="DE138" s="106"/>
      <c r="DF138" s="106"/>
      <c r="DG138" s="106"/>
      <c r="DH138" s="106"/>
      <c r="DI138" s="106"/>
      <c r="DJ138" s="106"/>
      <c r="DK138" s="106"/>
      <c r="DL138" s="106"/>
      <c r="DM138" s="106"/>
      <c r="DN138" s="106"/>
      <c r="DO138" s="106"/>
      <c r="DP138" s="106"/>
      <c r="DQ138" s="106"/>
      <c r="DR138" s="106"/>
      <c r="DS138" s="106"/>
      <c r="DT138" s="106"/>
      <c r="DU138" s="106"/>
      <c r="DV138" s="106"/>
      <c r="DW138" s="106"/>
      <c r="DX138" s="106"/>
      <c r="DY138" s="106"/>
      <c r="DZ138" s="106"/>
      <c r="EA138" s="106"/>
      <c r="EB138" s="106"/>
      <c r="EC138" s="106"/>
      <c r="ED138" s="106"/>
      <c r="EE138" s="106"/>
      <c r="EF138" s="106"/>
      <c r="EG138" s="106"/>
      <c r="EH138" s="106"/>
      <c r="EI138" s="106"/>
    </row>
    <row r="139" spans="3:139" ht="15.75" customHeight="1" x14ac:dyDescent="0.25"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  <c r="DA139" s="106"/>
      <c r="DB139" s="106"/>
      <c r="DC139" s="106"/>
      <c r="DD139" s="106"/>
      <c r="DE139" s="106"/>
      <c r="DF139" s="106"/>
      <c r="DG139" s="106"/>
      <c r="DH139" s="106"/>
      <c r="DI139" s="106"/>
      <c r="DJ139" s="106"/>
      <c r="DK139" s="106"/>
      <c r="DL139" s="106"/>
      <c r="DM139" s="106"/>
      <c r="DN139" s="106"/>
      <c r="DO139" s="106"/>
      <c r="DP139" s="106"/>
      <c r="DQ139" s="106"/>
      <c r="DR139" s="106"/>
      <c r="DS139" s="106"/>
      <c r="DT139" s="106"/>
      <c r="DU139" s="106"/>
      <c r="DV139" s="106"/>
      <c r="DW139" s="106"/>
      <c r="DX139" s="106"/>
      <c r="DY139" s="106"/>
      <c r="DZ139" s="106"/>
      <c r="EA139" s="106"/>
      <c r="EB139" s="106"/>
      <c r="EC139" s="106"/>
      <c r="ED139" s="106"/>
      <c r="EE139" s="106"/>
      <c r="EF139" s="106"/>
      <c r="EG139" s="106"/>
      <c r="EH139" s="106"/>
      <c r="EI139" s="106"/>
    </row>
    <row r="140" spans="3:139" ht="15.75" customHeight="1" x14ac:dyDescent="0.25"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  <c r="DA140" s="106"/>
      <c r="DB140" s="106"/>
      <c r="DC140" s="106"/>
      <c r="DD140" s="106"/>
      <c r="DE140" s="106"/>
      <c r="DF140" s="106"/>
      <c r="DG140" s="106"/>
      <c r="DH140" s="106"/>
      <c r="DI140" s="106"/>
      <c r="DJ140" s="106"/>
      <c r="DK140" s="106"/>
      <c r="DL140" s="106"/>
      <c r="DM140" s="106"/>
      <c r="DN140" s="106"/>
      <c r="DO140" s="106"/>
      <c r="DP140" s="106"/>
      <c r="DQ140" s="106"/>
      <c r="DR140" s="106"/>
      <c r="DS140" s="106"/>
      <c r="DT140" s="106"/>
      <c r="DU140" s="106"/>
      <c r="DV140" s="106"/>
      <c r="DW140" s="106"/>
      <c r="DX140" s="106"/>
      <c r="DY140" s="106"/>
      <c r="DZ140" s="106"/>
      <c r="EA140" s="106"/>
      <c r="EB140" s="106"/>
      <c r="EC140" s="106"/>
      <c r="ED140" s="106"/>
      <c r="EE140" s="106"/>
      <c r="EF140" s="106"/>
      <c r="EG140" s="106"/>
      <c r="EH140" s="106"/>
      <c r="EI140" s="106"/>
    </row>
    <row r="141" spans="3:139" ht="15.75" customHeight="1" x14ac:dyDescent="0.25"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6"/>
      <c r="DE141" s="106"/>
      <c r="DF141" s="106"/>
      <c r="DG141" s="106"/>
      <c r="DH141" s="106"/>
      <c r="DI141" s="106"/>
      <c r="DJ141" s="106"/>
      <c r="DK141" s="106"/>
      <c r="DL141" s="106"/>
      <c r="DM141" s="106"/>
      <c r="DN141" s="106"/>
      <c r="DO141" s="106"/>
      <c r="DP141" s="106"/>
      <c r="DQ141" s="106"/>
      <c r="DR141" s="106"/>
      <c r="DS141" s="106"/>
      <c r="DT141" s="106"/>
      <c r="DU141" s="106"/>
      <c r="DV141" s="106"/>
      <c r="DW141" s="106"/>
      <c r="DX141" s="106"/>
      <c r="DY141" s="106"/>
      <c r="DZ141" s="106"/>
      <c r="EA141" s="106"/>
      <c r="EB141" s="106"/>
      <c r="EC141" s="106"/>
      <c r="ED141" s="106"/>
      <c r="EE141" s="106"/>
      <c r="EF141" s="106"/>
      <c r="EG141" s="106"/>
      <c r="EH141" s="106"/>
      <c r="EI141" s="106"/>
    </row>
    <row r="142" spans="3:139" ht="15.75" customHeight="1" x14ac:dyDescent="0.25"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  <c r="DA142" s="106"/>
      <c r="DB142" s="106"/>
      <c r="DC142" s="106"/>
      <c r="DD142" s="106"/>
      <c r="DE142" s="106"/>
      <c r="DF142" s="106"/>
      <c r="DG142" s="106"/>
      <c r="DH142" s="106"/>
      <c r="DI142" s="106"/>
      <c r="DJ142" s="106"/>
      <c r="DK142" s="106"/>
      <c r="DL142" s="106"/>
      <c r="DM142" s="106"/>
      <c r="DN142" s="106"/>
      <c r="DO142" s="106"/>
      <c r="DP142" s="106"/>
      <c r="DQ142" s="106"/>
      <c r="DR142" s="106"/>
      <c r="DS142" s="106"/>
      <c r="DT142" s="106"/>
      <c r="DU142" s="106"/>
      <c r="DV142" s="106"/>
      <c r="DW142" s="106"/>
      <c r="DX142" s="106"/>
      <c r="DY142" s="106"/>
      <c r="DZ142" s="106"/>
      <c r="EA142" s="106"/>
      <c r="EB142" s="106"/>
      <c r="EC142" s="106"/>
      <c r="ED142" s="106"/>
      <c r="EE142" s="106"/>
      <c r="EF142" s="106"/>
      <c r="EG142" s="106"/>
      <c r="EH142" s="106"/>
      <c r="EI142" s="106"/>
    </row>
    <row r="143" spans="3:139" ht="15.75" customHeight="1" x14ac:dyDescent="0.25"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  <c r="DA143" s="106"/>
      <c r="DB143" s="106"/>
      <c r="DC143" s="106"/>
      <c r="DD143" s="106"/>
      <c r="DE143" s="106"/>
      <c r="DF143" s="106"/>
      <c r="DG143" s="106"/>
      <c r="DH143" s="106"/>
      <c r="DI143" s="106"/>
      <c r="DJ143" s="106"/>
      <c r="DK143" s="106"/>
      <c r="DL143" s="106"/>
      <c r="DM143" s="106"/>
      <c r="DN143" s="106"/>
      <c r="DO143" s="106"/>
      <c r="DP143" s="106"/>
      <c r="DQ143" s="106"/>
      <c r="DR143" s="106"/>
      <c r="DS143" s="106"/>
      <c r="DT143" s="106"/>
      <c r="DU143" s="106"/>
      <c r="DV143" s="106"/>
      <c r="DW143" s="106"/>
      <c r="DX143" s="106"/>
      <c r="DY143" s="106"/>
      <c r="DZ143" s="106"/>
      <c r="EA143" s="106"/>
      <c r="EB143" s="106"/>
      <c r="EC143" s="106"/>
      <c r="ED143" s="106"/>
      <c r="EE143" s="106"/>
      <c r="EF143" s="106"/>
      <c r="EG143" s="106"/>
      <c r="EH143" s="106"/>
      <c r="EI143" s="106"/>
    </row>
    <row r="144" spans="3:139" ht="15.75" customHeight="1" x14ac:dyDescent="0.25"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  <c r="DA144" s="106"/>
      <c r="DB144" s="106"/>
      <c r="DC144" s="106"/>
      <c r="DD144" s="106"/>
      <c r="DE144" s="106"/>
      <c r="DF144" s="106"/>
      <c r="DG144" s="106"/>
      <c r="DH144" s="106"/>
      <c r="DI144" s="106"/>
      <c r="DJ144" s="106"/>
      <c r="DK144" s="106"/>
      <c r="DL144" s="106"/>
      <c r="DM144" s="106"/>
      <c r="DN144" s="106"/>
      <c r="DO144" s="106"/>
      <c r="DP144" s="106"/>
      <c r="DQ144" s="106"/>
      <c r="DR144" s="106"/>
      <c r="DS144" s="106"/>
      <c r="DT144" s="106"/>
      <c r="DU144" s="106"/>
      <c r="DV144" s="106"/>
      <c r="DW144" s="106"/>
      <c r="DX144" s="106"/>
      <c r="DY144" s="106"/>
      <c r="DZ144" s="106"/>
      <c r="EA144" s="106"/>
      <c r="EB144" s="106"/>
      <c r="EC144" s="106"/>
      <c r="ED144" s="106"/>
      <c r="EE144" s="106"/>
      <c r="EF144" s="106"/>
      <c r="EG144" s="106"/>
      <c r="EH144" s="106"/>
      <c r="EI144" s="106"/>
    </row>
    <row r="145" spans="3:139" ht="15.75" customHeight="1" x14ac:dyDescent="0.25"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  <c r="DA145" s="106"/>
      <c r="DB145" s="106"/>
      <c r="DC145" s="106"/>
      <c r="DD145" s="106"/>
      <c r="DE145" s="106"/>
      <c r="DF145" s="106"/>
      <c r="DG145" s="106"/>
      <c r="DH145" s="106"/>
      <c r="DI145" s="106"/>
      <c r="DJ145" s="106"/>
      <c r="DK145" s="106"/>
      <c r="DL145" s="106"/>
      <c r="DM145" s="106"/>
      <c r="DN145" s="106"/>
      <c r="DO145" s="106"/>
      <c r="DP145" s="106"/>
      <c r="DQ145" s="106"/>
      <c r="DR145" s="106"/>
      <c r="DS145" s="106"/>
      <c r="DT145" s="106"/>
      <c r="DU145" s="106"/>
      <c r="DV145" s="106"/>
      <c r="DW145" s="106"/>
      <c r="DX145" s="106"/>
      <c r="DY145" s="106"/>
      <c r="DZ145" s="106"/>
      <c r="EA145" s="106"/>
      <c r="EB145" s="106"/>
      <c r="EC145" s="106"/>
      <c r="ED145" s="106"/>
      <c r="EE145" s="106"/>
      <c r="EF145" s="106"/>
      <c r="EG145" s="106"/>
      <c r="EH145" s="106"/>
      <c r="EI145" s="106"/>
    </row>
    <row r="146" spans="3:139" ht="15.75" customHeight="1" x14ac:dyDescent="0.25"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  <c r="CZ146" s="106"/>
      <c r="DA146" s="106"/>
      <c r="DB146" s="106"/>
      <c r="DC146" s="106"/>
      <c r="DD146" s="106"/>
      <c r="DE146" s="106"/>
      <c r="DF146" s="106"/>
      <c r="DG146" s="106"/>
      <c r="DH146" s="106"/>
      <c r="DI146" s="106"/>
      <c r="DJ146" s="106"/>
      <c r="DK146" s="106"/>
      <c r="DL146" s="106"/>
      <c r="DM146" s="106"/>
      <c r="DN146" s="106"/>
      <c r="DO146" s="106"/>
      <c r="DP146" s="106"/>
      <c r="DQ146" s="106"/>
      <c r="DR146" s="106"/>
      <c r="DS146" s="106"/>
      <c r="DT146" s="106"/>
      <c r="DU146" s="106"/>
      <c r="DV146" s="106"/>
      <c r="DW146" s="106"/>
      <c r="DX146" s="106"/>
      <c r="DY146" s="106"/>
      <c r="DZ146" s="106"/>
      <c r="EA146" s="106"/>
      <c r="EB146" s="106"/>
      <c r="EC146" s="106"/>
      <c r="ED146" s="106"/>
      <c r="EE146" s="106"/>
      <c r="EF146" s="106"/>
      <c r="EG146" s="106"/>
      <c r="EH146" s="106"/>
      <c r="EI146" s="106"/>
    </row>
    <row r="147" spans="3:139" ht="15.75" customHeight="1" x14ac:dyDescent="0.25"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  <c r="CZ147" s="106"/>
      <c r="DA147" s="106"/>
      <c r="DB147" s="106"/>
      <c r="DC147" s="106"/>
      <c r="DD147" s="106"/>
      <c r="DE147" s="106"/>
      <c r="DF147" s="106"/>
      <c r="DG147" s="106"/>
      <c r="DH147" s="106"/>
      <c r="DI147" s="106"/>
      <c r="DJ147" s="106"/>
      <c r="DK147" s="106"/>
      <c r="DL147" s="106"/>
      <c r="DM147" s="106"/>
      <c r="DN147" s="106"/>
      <c r="DO147" s="106"/>
      <c r="DP147" s="106"/>
      <c r="DQ147" s="106"/>
      <c r="DR147" s="106"/>
      <c r="DS147" s="106"/>
      <c r="DT147" s="106"/>
      <c r="DU147" s="106"/>
      <c r="DV147" s="106"/>
      <c r="DW147" s="106"/>
      <c r="DX147" s="106"/>
      <c r="DY147" s="106"/>
      <c r="DZ147" s="106"/>
      <c r="EA147" s="106"/>
      <c r="EB147" s="106"/>
      <c r="EC147" s="106"/>
      <c r="ED147" s="106"/>
      <c r="EE147" s="106"/>
      <c r="EF147" s="106"/>
      <c r="EG147" s="106"/>
      <c r="EH147" s="106"/>
      <c r="EI147" s="106"/>
    </row>
    <row r="148" spans="3:139" ht="15.75" customHeight="1" x14ac:dyDescent="0.25"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  <c r="CZ148" s="106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6"/>
      <c r="DL148" s="106"/>
      <c r="DM148" s="106"/>
      <c r="DN148" s="106"/>
      <c r="DO148" s="106"/>
      <c r="DP148" s="106"/>
      <c r="DQ148" s="106"/>
      <c r="DR148" s="106"/>
      <c r="DS148" s="106"/>
      <c r="DT148" s="106"/>
      <c r="DU148" s="106"/>
      <c r="DV148" s="106"/>
      <c r="DW148" s="106"/>
      <c r="DX148" s="106"/>
      <c r="DY148" s="106"/>
      <c r="DZ148" s="106"/>
      <c r="EA148" s="106"/>
      <c r="EB148" s="106"/>
      <c r="EC148" s="106"/>
      <c r="ED148" s="106"/>
      <c r="EE148" s="106"/>
      <c r="EF148" s="106"/>
      <c r="EG148" s="106"/>
      <c r="EH148" s="106"/>
      <c r="EI148" s="106"/>
    </row>
    <row r="149" spans="3:139" ht="15.75" customHeight="1" x14ac:dyDescent="0.25"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  <c r="CZ149" s="106"/>
      <c r="DA149" s="106"/>
      <c r="DB149" s="106"/>
      <c r="DC149" s="106"/>
      <c r="DD149" s="106"/>
      <c r="DE149" s="106"/>
      <c r="DF149" s="106"/>
      <c r="DG149" s="106"/>
      <c r="DH149" s="106"/>
      <c r="DI149" s="106"/>
      <c r="DJ149" s="106"/>
      <c r="DK149" s="106"/>
      <c r="DL149" s="106"/>
      <c r="DM149" s="106"/>
      <c r="DN149" s="106"/>
      <c r="DO149" s="106"/>
      <c r="DP149" s="106"/>
      <c r="DQ149" s="106"/>
      <c r="DR149" s="106"/>
      <c r="DS149" s="106"/>
      <c r="DT149" s="106"/>
      <c r="DU149" s="106"/>
      <c r="DV149" s="106"/>
      <c r="DW149" s="106"/>
      <c r="DX149" s="106"/>
      <c r="DY149" s="106"/>
      <c r="DZ149" s="106"/>
      <c r="EA149" s="106"/>
      <c r="EB149" s="106"/>
      <c r="EC149" s="106"/>
      <c r="ED149" s="106"/>
      <c r="EE149" s="106"/>
      <c r="EF149" s="106"/>
      <c r="EG149" s="106"/>
      <c r="EH149" s="106"/>
      <c r="EI149" s="106"/>
    </row>
    <row r="150" spans="3:139" ht="15.75" customHeight="1" x14ac:dyDescent="0.25"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  <c r="CZ150" s="106"/>
      <c r="DA150" s="106"/>
      <c r="DB150" s="106"/>
      <c r="DC150" s="106"/>
      <c r="DD150" s="106"/>
      <c r="DE150" s="106"/>
      <c r="DF150" s="106"/>
      <c r="DG150" s="106"/>
      <c r="DH150" s="106"/>
      <c r="DI150" s="106"/>
      <c r="DJ150" s="106"/>
      <c r="DK150" s="106"/>
      <c r="DL150" s="106"/>
      <c r="DM150" s="106"/>
      <c r="DN150" s="106"/>
      <c r="DO150" s="106"/>
      <c r="DP150" s="106"/>
      <c r="DQ150" s="106"/>
      <c r="DR150" s="106"/>
      <c r="DS150" s="106"/>
      <c r="DT150" s="106"/>
      <c r="DU150" s="106"/>
      <c r="DV150" s="106"/>
      <c r="DW150" s="106"/>
      <c r="DX150" s="106"/>
      <c r="DY150" s="106"/>
      <c r="DZ150" s="106"/>
      <c r="EA150" s="106"/>
      <c r="EB150" s="106"/>
      <c r="EC150" s="106"/>
      <c r="ED150" s="106"/>
      <c r="EE150" s="106"/>
      <c r="EF150" s="106"/>
      <c r="EG150" s="106"/>
      <c r="EH150" s="106"/>
      <c r="EI150" s="106"/>
    </row>
    <row r="151" spans="3:139" ht="15.75" customHeight="1" x14ac:dyDescent="0.25"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  <c r="DN151" s="106"/>
      <c r="DO151" s="106"/>
      <c r="DP151" s="106"/>
      <c r="DQ151" s="106"/>
      <c r="DR151" s="106"/>
      <c r="DS151" s="106"/>
      <c r="DT151" s="106"/>
      <c r="DU151" s="106"/>
      <c r="DV151" s="106"/>
      <c r="DW151" s="106"/>
      <c r="DX151" s="106"/>
      <c r="DY151" s="106"/>
      <c r="DZ151" s="106"/>
      <c r="EA151" s="106"/>
      <c r="EB151" s="106"/>
      <c r="EC151" s="106"/>
      <c r="ED151" s="106"/>
      <c r="EE151" s="106"/>
      <c r="EF151" s="106"/>
      <c r="EG151" s="106"/>
      <c r="EH151" s="106"/>
      <c r="EI151" s="106"/>
    </row>
    <row r="152" spans="3:139" ht="15.75" customHeight="1" x14ac:dyDescent="0.25"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  <c r="CZ152" s="106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6"/>
      <c r="DL152" s="106"/>
      <c r="DM152" s="106"/>
      <c r="DN152" s="106"/>
      <c r="DO152" s="106"/>
      <c r="DP152" s="106"/>
      <c r="DQ152" s="106"/>
      <c r="DR152" s="106"/>
      <c r="DS152" s="106"/>
      <c r="DT152" s="106"/>
      <c r="DU152" s="106"/>
      <c r="DV152" s="106"/>
      <c r="DW152" s="106"/>
      <c r="DX152" s="106"/>
      <c r="DY152" s="106"/>
      <c r="DZ152" s="106"/>
      <c r="EA152" s="106"/>
      <c r="EB152" s="106"/>
      <c r="EC152" s="106"/>
      <c r="ED152" s="106"/>
      <c r="EE152" s="106"/>
      <c r="EF152" s="106"/>
      <c r="EG152" s="106"/>
      <c r="EH152" s="106"/>
      <c r="EI152" s="106"/>
    </row>
    <row r="153" spans="3:139" ht="15.75" customHeight="1" x14ac:dyDescent="0.25"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  <c r="CZ153" s="106"/>
      <c r="DA153" s="106"/>
      <c r="DB153" s="106"/>
      <c r="DC153" s="106"/>
      <c r="DD153" s="106"/>
      <c r="DE153" s="106"/>
      <c r="DF153" s="106"/>
      <c r="DG153" s="106"/>
      <c r="DH153" s="106"/>
      <c r="DI153" s="106"/>
      <c r="DJ153" s="106"/>
      <c r="DK153" s="106"/>
      <c r="DL153" s="106"/>
      <c r="DM153" s="106"/>
      <c r="DN153" s="106"/>
      <c r="DO153" s="106"/>
      <c r="DP153" s="106"/>
      <c r="DQ153" s="106"/>
      <c r="DR153" s="106"/>
      <c r="DS153" s="106"/>
      <c r="DT153" s="106"/>
      <c r="DU153" s="106"/>
      <c r="DV153" s="106"/>
      <c r="DW153" s="106"/>
      <c r="DX153" s="106"/>
      <c r="DY153" s="106"/>
      <c r="DZ153" s="106"/>
      <c r="EA153" s="106"/>
      <c r="EB153" s="106"/>
      <c r="EC153" s="106"/>
      <c r="ED153" s="106"/>
      <c r="EE153" s="106"/>
      <c r="EF153" s="106"/>
      <c r="EG153" s="106"/>
      <c r="EH153" s="106"/>
      <c r="EI153" s="106"/>
    </row>
    <row r="154" spans="3:139" ht="15.75" customHeight="1" x14ac:dyDescent="0.25"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  <c r="CZ154" s="106"/>
      <c r="DA154" s="106"/>
      <c r="DB154" s="106"/>
      <c r="DC154" s="106"/>
      <c r="DD154" s="106"/>
      <c r="DE154" s="106"/>
      <c r="DF154" s="106"/>
      <c r="DG154" s="106"/>
      <c r="DH154" s="106"/>
      <c r="DI154" s="106"/>
      <c r="DJ154" s="106"/>
      <c r="DK154" s="106"/>
      <c r="DL154" s="106"/>
      <c r="DM154" s="106"/>
      <c r="DN154" s="106"/>
      <c r="DO154" s="106"/>
      <c r="DP154" s="106"/>
      <c r="DQ154" s="106"/>
      <c r="DR154" s="106"/>
      <c r="DS154" s="106"/>
      <c r="DT154" s="106"/>
      <c r="DU154" s="106"/>
      <c r="DV154" s="106"/>
      <c r="DW154" s="106"/>
      <c r="DX154" s="106"/>
      <c r="DY154" s="106"/>
      <c r="DZ154" s="106"/>
      <c r="EA154" s="106"/>
      <c r="EB154" s="106"/>
      <c r="EC154" s="106"/>
      <c r="ED154" s="106"/>
      <c r="EE154" s="106"/>
      <c r="EF154" s="106"/>
      <c r="EG154" s="106"/>
      <c r="EH154" s="106"/>
      <c r="EI154" s="106"/>
    </row>
    <row r="155" spans="3:139" ht="15.75" customHeight="1" x14ac:dyDescent="0.25"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6"/>
      <c r="DL155" s="106"/>
      <c r="DM155" s="106"/>
      <c r="DN155" s="106"/>
      <c r="DO155" s="106"/>
      <c r="DP155" s="106"/>
      <c r="DQ155" s="106"/>
      <c r="DR155" s="106"/>
      <c r="DS155" s="106"/>
      <c r="DT155" s="106"/>
      <c r="DU155" s="106"/>
      <c r="DV155" s="106"/>
      <c r="DW155" s="106"/>
      <c r="DX155" s="106"/>
      <c r="DY155" s="106"/>
      <c r="DZ155" s="106"/>
      <c r="EA155" s="106"/>
      <c r="EB155" s="106"/>
      <c r="EC155" s="106"/>
      <c r="ED155" s="106"/>
      <c r="EE155" s="106"/>
      <c r="EF155" s="106"/>
      <c r="EG155" s="106"/>
      <c r="EH155" s="106"/>
      <c r="EI155" s="106"/>
    </row>
    <row r="156" spans="3:139" ht="15.75" customHeight="1" x14ac:dyDescent="0.25"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6"/>
      <c r="DL156" s="106"/>
      <c r="DM156" s="106"/>
      <c r="DN156" s="106"/>
      <c r="DO156" s="106"/>
      <c r="DP156" s="106"/>
      <c r="DQ156" s="106"/>
      <c r="DR156" s="106"/>
      <c r="DS156" s="106"/>
      <c r="DT156" s="106"/>
      <c r="DU156" s="106"/>
      <c r="DV156" s="106"/>
      <c r="DW156" s="106"/>
      <c r="DX156" s="106"/>
      <c r="DY156" s="106"/>
      <c r="DZ156" s="106"/>
      <c r="EA156" s="106"/>
      <c r="EB156" s="106"/>
      <c r="EC156" s="106"/>
      <c r="ED156" s="106"/>
      <c r="EE156" s="106"/>
      <c r="EF156" s="106"/>
      <c r="EG156" s="106"/>
      <c r="EH156" s="106"/>
      <c r="EI156" s="106"/>
    </row>
    <row r="157" spans="3:139" ht="15.75" customHeight="1" x14ac:dyDescent="0.25"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6"/>
      <c r="DL157" s="106"/>
      <c r="DM157" s="106"/>
      <c r="DN157" s="106"/>
      <c r="DO157" s="106"/>
      <c r="DP157" s="106"/>
      <c r="DQ157" s="106"/>
      <c r="DR157" s="106"/>
      <c r="DS157" s="106"/>
      <c r="DT157" s="106"/>
      <c r="DU157" s="106"/>
      <c r="DV157" s="106"/>
      <c r="DW157" s="106"/>
      <c r="DX157" s="106"/>
      <c r="DY157" s="106"/>
      <c r="DZ157" s="106"/>
      <c r="EA157" s="106"/>
      <c r="EB157" s="106"/>
      <c r="EC157" s="106"/>
      <c r="ED157" s="106"/>
      <c r="EE157" s="106"/>
      <c r="EF157" s="106"/>
      <c r="EG157" s="106"/>
      <c r="EH157" s="106"/>
      <c r="EI157" s="106"/>
    </row>
    <row r="158" spans="3:139" ht="15.75" customHeight="1" x14ac:dyDescent="0.25"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6"/>
      <c r="DY158" s="106"/>
      <c r="DZ158" s="106"/>
      <c r="EA158" s="106"/>
      <c r="EB158" s="106"/>
      <c r="EC158" s="106"/>
      <c r="ED158" s="106"/>
      <c r="EE158" s="106"/>
      <c r="EF158" s="106"/>
      <c r="EG158" s="106"/>
      <c r="EH158" s="106"/>
      <c r="EI158" s="106"/>
    </row>
    <row r="159" spans="3:139" ht="15.75" customHeight="1" x14ac:dyDescent="0.25"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6"/>
      <c r="DL159" s="106"/>
      <c r="DM159" s="106"/>
      <c r="DN159" s="106"/>
      <c r="DO159" s="106"/>
      <c r="DP159" s="106"/>
      <c r="DQ159" s="106"/>
      <c r="DR159" s="106"/>
      <c r="DS159" s="106"/>
      <c r="DT159" s="106"/>
      <c r="DU159" s="106"/>
      <c r="DV159" s="106"/>
      <c r="DW159" s="106"/>
      <c r="DX159" s="106"/>
      <c r="DY159" s="106"/>
      <c r="DZ159" s="106"/>
      <c r="EA159" s="106"/>
      <c r="EB159" s="106"/>
      <c r="EC159" s="106"/>
      <c r="ED159" s="106"/>
      <c r="EE159" s="106"/>
      <c r="EF159" s="106"/>
      <c r="EG159" s="106"/>
      <c r="EH159" s="106"/>
      <c r="EI159" s="106"/>
    </row>
    <row r="160" spans="3:139" ht="15.75" customHeight="1" x14ac:dyDescent="0.25"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  <c r="DF160" s="106"/>
      <c r="DG160" s="106"/>
      <c r="DH160" s="106"/>
      <c r="DI160" s="106"/>
      <c r="DJ160" s="106"/>
      <c r="DK160" s="106"/>
      <c r="DL160" s="106"/>
      <c r="DM160" s="106"/>
      <c r="DN160" s="106"/>
      <c r="DO160" s="106"/>
      <c r="DP160" s="106"/>
      <c r="DQ160" s="106"/>
      <c r="DR160" s="106"/>
      <c r="DS160" s="106"/>
      <c r="DT160" s="106"/>
      <c r="DU160" s="106"/>
      <c r="DV160" s="106"/>
      <c r="DW160" s="106"/>
      <c r="DX160" s="106"/>
      <c r="DY160" s="106"/>
      <c r="DZ160" s="106"/>
      <c r="EA160" s="106"/>
      <c r="EB160" s="106"/>
      <c r="EC160" s="106"/>
      <c r="ED160" s="106"/>
      <c r="EE160" s="106"/>
      <c r="EF160" s="106"/>
      <c r="EG160" s="106"/>
      <c r="EH160" s="106"/>
      <c r="EI160" s="106"/>
    </row>
    <row r="161" spans="3:139" ht="15.75" customHeight="1" x14ac:dyDescent="0.25"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  <c r="DF161" s="106"/>
      <c r="DG161" s="106"/>
      <c r="DH161" s="106"/>
      <c r="DI161" s="106"/>
      <c r="DJ161" s="106"/>
      <c r="DK161" s="106"/>
      <c r="DL161" s="106"/>
      <c r="DM161" s="106"/>
      <c r="DN161" s="106"/>
      <c r="DO161" s="106"/>
      <c r="DP161" s="106"/>
      <c r="DQ161" s="106"/>
      <c r="DR161" s="106"/>
      <c r="DS161" s="106"/>
      <c r="DT161" s="106"/>
      <c r="DU161" s="106"/>
      <c r="DV161" s="106"/>
      <c r="DW161" s="106"/>
      <c r="DX161" s="106"/>
      <c r="DY161" s="106"/>
      <c r="DZ161" s="106"/>
      <c r="EA161" s="106"/>
      <c r="EB161" s="106"/>
      <c r="EC161" s="106"/>
      <c r="ED161" s="106"/>
      <c r="EE161" s="106"/>
      <c r="EF161" s="106"/>
      <c r="EG161" s="106"/>
      <c r="EH161" s="106"/>
      <c r="EI161" s="106"/>
    </row>
    <row r="162" spans="3:139" ht="15.75" customHeight="1" x14ac:dyDescent="0.25"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  <c r="DF162" s="106"/>
      <c r="DG162" s="106"/>
      <c r="DH162" s="106"/>
      <c r="DI162" s="106"/>
      <c r="DJ162" s="106"/>
      <c r="DK162" s="106"/>
      <c r="DL162" s="106"/>
      <c r="DM162" s="106"/>
      <c r="DN162" s="106"/>
      <c r="DO162" s="106"/>
      <c r="DP162" s="106"/>
      <c r="DQ162" s="106"/>
      <c r="DR162" s="106"/>
      <c r="DS162" s="106"/>
      <c r="DT162" s="106"/>
      <c r="DU162" s="106"/>
      <c r="DV162" s="106"/>
      <c r="DW162" s="106"/>
      <c r="DX162" s="106"/>
      <c r="DY162" s="106"/>
      <c r="DZ162" s="106"/>
      <c r="EA162" s="106"/>
      <c r="EB162" s="106"/>
      <c r="EC162" s="106"/>
      <c r="ED162" s="106"/>
      <c r="EE162" s="106"/>
      <c r="EF162" s="106"/>
      <c r="EG162" s="106"/>
      <c r="EH162" s="106"/>
      <c r="EI162" s="106"/>
    </row>
    <row r="163" spans="3:139" ht="15.75" customHeight="1" x14ac:dyDescent="0.25"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06"/>
      <c r="DI163" s="106"/>
      <c r="DJ163" s="106"/>
      <c r="DK163" s="106"/>
      <c r="DL163" s="106"/>
      <c r="DM163" s="106"/>
      <c r="DN163" s="106"/>
      <c r="DO163" s="106"/>
      <c r="DP163" s="106"/>
      <c r="DQ163" s="106"/>
      <c r="DR163" s="106"/>
      <c r="DS163" s="106"/>
      <c r="DT163" s="106"/>
      <c r="DU163" s="106"/>
      <c r="DV163" s="106"/>
      <c r="DW163" s="106"/>
      <c r="DX163" s="106"/>
      <c r="DY163" s="106"/>
      <c r="DZ163" s="106"/>
      <c r="EA163" s="106"/>
      <c r="EB163" s="106"/>
      <c r="EC163" s="106"/>
      <c r="ED163" s="106"/>
      <c r="EE163" s="106"/>
      <c r="EF163" s="106"/>
      <c r="EG163" s="106"/>
      <c r="EH163" s="106"/>
      <c r="EI163" s="106"/>
    </row>
    <row r="164" spans="3:139" ht="15.75" customHeight="1" x14ac:dyDescent="0.25"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  <c r="CZ164" s="106"/>
      <c r="DA164" s="106"/>
      <c r="DB164" s="106"/>
      <c r="DC164" s="106"/>
      <c r="DD164" s="106"/>
      <c r="DE164" s="106"/>
      <c r="DF164" s="106"/>
      <c r="DG164" s="106"/>
      <c r="DH164" s="106"/>
      <c r="DI164" s="106"/>
      <c r="DJ164" s="106"/>
      <c r="DK164" s="106"/>
      <c r="DL164" s="106"/>
      <c r="DM164" s="106"/>
      <c r="DN164" s="106"/>
      <c r="DO164" s="106"/>
      <c r="DP164" s="106"/>
      <c r="DQ164" s="106"/>
      <c r="DR164" s="106"/>
      <c r="DS164" s="106"/>
      <c r="DT164" s="106"/>
      <c r="DU164" s="106"/>
      <c r="DV164" s="106"/>
      <c r="DW164" s="106"/>
      <c r="DX164" s="106"/>
      <c r="DY164" s="106"/>
      <c r="DZ164" s="106"/>
      <c r="EA164" s="106"/>
      <c r="EB164" s="106"/>
      <c r="EC164" s="106"/>
      <c r="ED164" s="106"/>
      <c r="EE164" s="106"/>
      <c r="EF164" s="106"/>
      <c r="EG164" s="106"/>
      <c r="EH164" s="106"/>
      <c r="EI164" s="106"/>
    </row>
    <row r="165" spans="3:139" ht="15.75" customHeight="1" x14ac:dyDescent="0.25"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  <c r="CZ165" s="106"/>
      <c r="DA165" s="106"/>
      <c r="DB165" s="106"/>
      <c r="DC165" s="106"/>
      <c r="DD165" s="106"/>
      <c r="DE165" s="106"/>
      <c r="DF165" s="106"/>
      <c r="DG165" s="106"/>
      <c r="DH165" s="106"/>
      <c r="DI165" s="106"/>
      <c r="DJ165" s="106"/>
      <c r="DK165" s="106"/>
      <c r="DL165" s="106"/>
      <c r="DM165" s="106"/>
      <c r="DN165" s="106"/>
      <c r="DO165" s="106"/>
      <c r="DP165" s="106"/>
      <c r="DQ165" s="106"/>
      <c r="DR165" s="106"/>
      <c r="DS165" s="106"/>
      <c r="DT165" s="106"/>
      <c r="DU165" s="106"/>
      <c r="DV165" s="106"/>
      <c r="DW165" s="106"/>
      <c r="DX165" s="106"/>
      <c r="DY165" s="106"/>
      <c r="DZ165" s="106"/>
      <c r="EA165" s="106"/>
      <c r="EB165" s="106"/>
      <c r="EC165" s="106"/>
      <c r="ED165" s="106"/>
      <c r="EE165" s="106"/>
      <c r="EF165" s="106"/>
      <c r="EG165" s="106"/>
      <c r="EH165" s="106"/>
      <c r="EI165" s="106"/>
    </row>
    <row r="166" spans="3:139" ht="15.75" customHeight="1" x14ac:dyDescent="0.25"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  <c r="CZ166" s="106"/>
      <c r="DA166" s="106"/>
      <c r="DB166" s="106"/>
      <c r="DC166" s="106"/>
      <c r="DD166" s="106"/>
      <c r="DE166" s="106"/>
      <c r="DF166" s="106"/>
      <c r="DG166" s="106"/>
      <c r="DH166" s="106"/>
      <c r="DI166" s="106"/>
      <c r="DJ166" s="106"/>
      <c r="DK166" s="106"/>
      <c r="DL166" s="106"/>
      <c r="DM166" s="106"/>
      <c r="DN166" s="106"/>
      <c r="DO166" s="106"/>
      <c r="DP166" s="106"/>
      <c r="DQ166" s="106"/>
      <c r="DR166" s="106"/>
      <c r="DS166" s="106"/>
      <c r="DT166" s="106"/>
      <c r="DU166" s="106"/>
      <c r="DV166" s="106"/>
      <c r="DW166" s="106"/>
      <c r="DX166" s="106"/>
      <c r="DY166" s="106"/>
      <c r="DZ166" s="106"/>
      <c r="EA166" s="106"/>
      <c r="EB166" s="106"/>
      <c r="EC166" s="106"/>
      <c r="ED166" s="106"/>
      <c r="EE166" s="106"/>
      <c r="EF166" s="106"/>
      <c r="EG166" s="106"/>
      <c r="EH166" s="106"/>
      <c r="EI166" s="106"/>
    </row>
    <row r="167" spans="3:139" ht="15.75" customHeight="1" x14ac:dyDescent="0.25"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  <c r="CZ167" s="106"/>
      <c r="DA167" s="106"/>
      <c r="DB167" s="106"/>
      <c r="DC167" s="106"/>
      <c r="DD167" s="106"/>
      <c r="DE167" s="106"/>
      <c r="DF167" s="106"/>
      <c r="DG167" s="106"/>
      <c r="DH167" s="106"/>
      <c r="DI167" s="106"/>
      <c r="DJ167" s="106"/>
      <c r="DK167" s="106"/>
      <c r="DL167" s="106"/>
      <c r="DM167" s="106"/>
      <c r="DN167" s="106"/>
      <c r="DO167" s="106"/>
      <c r="DP167" s="106"/>
      <c r="DQ167" s="106"/>
      <c r="DR167" s="106"/>
      <c r="DS167" s="106"/>
      <c r="DT167" s="106"/>
      <c r="DU167" s="106"/>
      <c r="DV167" s="106"/>
      <c r="DW167" s="106"/>
      <c r="DX167" s="106"/>
      <c r="DY167" s="106"/>
      <c r="DZ167" s="106"/>
      <c r="EA167" s="106"/>
      <c r="EB167" s="106"/>
      <c r="EC167" s="106"/>
      <c r="ED167" s="106"/>
      <c r="EE167" s="106"/>
      <c r="EF167" s="106"/>
      <c r="EG167" s="106"/>
      <c r="EH167" s="106"/>
      <c r="EI167" s="106"/>
    </row>
    <row r="168" spans="3:139" ht="15.75" customHeight="1" x14ac:dyDescent="0.25"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  <c r="CZ168" s="106"/>
      <c r="DA168" s="106"/>
      <c r="DB168" s="106"/>
      <c r="DC168" s="106"/>
      <c r="DD168" s="106"/>
      <c r="DE168" s="106"/>
      <c r="DF168" s="106"/>
      <c r="DG168" s="106"/>
      <c r="DH168" s="106"/>
      <c r="DI168" s="106"/>
      <c r="DJ168" s="106"/>
      <c r="DK168" s="106"/>
      <c r="DL168" s="106"/>
      <c r="DM168" s="106"/>
      <c r="DN168" s="106"/>
      <c r="DO168" s="106"/>
      <c r="DP168" s="106"/>
      <c r="DQ168" s="106"/>
      <c r="DR168" s="106"/>
      <c r="DS168" s="106"/>
      <c r="DT168" s="106"/>
      <c r="DU168" s="106"/>
      <c r="DV168" s="106"/>
      <c r="DW168" s="106"/>
      <c r="DX168" s="106"/>
      <c r="DY168" s="106"/>
      <c r="DZ168" s="106"/>
      <c r="EA168" s="106"/>
      <c r="EB168" s="106"/>
      <c r="EC168" s="106"/>
      <c r="ED168" s="106"/>
      <c r="EE168" s="106"/>
      <c r="EF168" s="106"/>
      <c r="EG168" s="106"/>
      <c r="EH168" s="106"/>
      <c r="EI168" s="106"/>
    </row>
    <row r="169" spans="3:139" ht="15.75" customHeight="1" x14ac:dyDescent="0.25"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  <c r="CZ169" s="106"/>
      <c r="DA169" s="106"/>
      <c r="DB169" s="106"/>
      <c r="DC169" s="106"/>
      <c r="DD169" s="106"/>
      <c r="DE169" s="106"/>
      <c r="DF169" s="106"/>
      <c r="DG169" s="106"/>
      <c r="DH169" s="106"/>
      <c r="DI169" s="106"/>
      <c r="DJ169" s="106"/>
      <c r="DK169" s="106"/>
      <c r="DL169" s="106"/>
      <c r="DM169" s="106"/>
      <c r="DN169" s="106"/>
      <c r="DO169" s="106"/>
      <c r="DP169" s="106"/>
      <c r="DQ169" s="106"/>
      <c r="DR169" s="106"/>
      <c r="DS169" s="106"/>
      <c r="DT169" s="106"/>
      <c r="DU169" s="106"/>
      <c r="DV169" s="106"/>
      <c r="DW169" s="106"/>
      <c r="DX169" s="106"/>
      <c r="DY169" s="106"/>
      <c r="DZ169" s="106"/>
      <c r="EA169" s="106"/>
      <c r="EB169" s="106"/>
      <c r="EC169" s="106"/>
      <c r="ED169" s="106"/>
      <c r="EE169" s="106"/>
      <c r="EF169" s="106"/>
      <c r="EG169" s="106"/>
      <c r="EH169" s="106"/>
      <c r="EI169" s="106"/>
    </row>
    <row r="170" spans="3:139" ht="15.75" customHeight="1" x14ac:dyDescent="0.25"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  <c r="CZ170" s="106"/>
      <c r="DA170" s="106"/>
      <c r="DB170" s="106"/>
      <c r="DC170" s="106"/>
      <c r="DD170" s="106"/>
      <c r="DE170" s="106"/>
      <c r="DF170" s="106"/>
      <c r="DG170" s="106"/>
      <c r="DH170" s="106"/>
      <c r="DI170" s="106"/>
      <c r="DJ170" s="106"/>
      <c r="DK170" s="106"/>
      <c r="DL170" s="106"/>
      <c r="DM170" s="106"/>
      <c r="DN170" s="106"/>
      <c r="DO170" s="106"/>
      <c r="DP170" s="106"/>
      <c r="DQ170" s="106"/>
      <c r="DR170" s="106"/>
      <c r="DS170" s="106"/>
      <c r="DT170" s="106"/>
      <c r="DU170" s="106"/>
      <c r="DV170" s="106"/>
      <c r="DW170" s="106"/>
      <c r="DX170" s="106"/>
      <c r="DY170" s="106"/>
      <c r="DZ170" s="106"/>
      <c r="EA170" s="106"/>
      <c r="EB170" s="106"/>
      <c r="EC170" s="106"/>
      <c r="ED170" s="106"/>
      <c r="EE170" s="106"/>
      <c r="EF170" s="106"/>
      <c r="EG170" s="106"/>
      <c r="EH170" s="106"/>
      <c r="EI170" s="106"/>
    </row>
    <row r="171" spans="3:139" ht="15.75" customHeight="1" x14ac:dyDescent="0.25"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  <c r="CZ171" s="106"/>
      <c r="DA171" s="106"/>
      <c r="DB171" s="106"/>
      <c r="DC171" s="106"/>
      <c r="DD171" s="106"/>
      <c r="DE171" s="106"/>
      <c r="DF171" s="106"/>
      <c r="DG171" s="106"/>
      <c r="DH171" s="106"/>
      <c r="DI171" s="106"/>
      <c r="DJ171" s="106"/>
      <c r="DK171" s="106"/>
      <c r="DL171" s="106"/>
      <c r="DM171" s="106"/>
      <c r="DN171" s="106"/>
      <c r="DO171" s="106"/>
      <c r="DP171" s="106"/>
      <c r="DQ171" s="106"/>
      <c r="DR171" s="106"/>
      <c r="DS171" s="106"/>
      <c r="DT171" s="106"/>
      <c r="DU171" s="106"/>
      <c r="DV171" s="106"/>
      <c r="DW171" s="106"/>
      <c r="DX171" s="106"/>
      <c r="DY171" s="106"/>
      <c r="DZ171" s="106"/>
      <c r="EA171" s="106"/>
      <c r="EB171" s="106"/>
      <c r="EC171" s="106"/>
      <c r="ED171" s="106"/>
      <c r="EE171" s="106"/>
      <c r="EF171" s="106"/>
      <c r="EG171" s="106"/>
      <c r="EH171" s="106"/>
      <c r="EI171" s="106"/>
    </row>
    <row r="172" spans="3:139" ht="15.75" customHeight="1" x14ac:dyDescent="0.25"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106"/>
      <c r="EE172" s="106"/>
      <c r="EF172" s="106"/>
      <c r="EG172" s="106"/>
      <c r="EH172" s="106"/>
      <c r="EI172" s="106"/>
    </row>
    <row r="173" spans="3:139" ht="15.75" customHeight="1" x14ac:dyDescent="0.25"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106"/>
      <c r="EE173" s="106"/>
      <c r="EF173" s="106"/>
      <c r="EG173" s="106"/>
      <c r="EH173" s="106"/>
      <c r="EI173" s="106"/>
    </row>
    <row r="174" spans="3:139" ht="15.75" customHeight="1" x14ac:dyDescent="0.25"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  <c r="CR174" s="106"/>
      <c r="CS174" s="106"/>
      <c r="CT174" s="106"/>
      <c r="CU174" s="106"/>
      <c r="CV174" s="106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106"/>
      <c r="EE174" s="106"/>
      <c r="EF174" s="106"/>
      <c r="EG174" s="106"/>
      <c r="EH174" s="106"/>
      <c r="EI174" s="106"/>
    </row>
    <row r="175" spans="3:139" ht="15.75" customHeight="1" x14ac:dyDescent="0.25"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  <c r="CR175" s="106"/>
      <c r="CS175" s="106"/>
      <c r="CT175" s="106"/>
      <c r="CU175" s="106"/>
      <c r="CV175" s="106"/>
      <c r="CW175" s="106"/>
      <c r="CX175" s="106"/>
      <c r="CY175" s="106"/>
      <c r="CZ175" s="106"/>
      <c r="DA175" s="106"/>
      <c r="DB175" s="106"/>
      <c r="DC175" s="106"/>
      <c r="DD175" s="106"/>
      <c r="DE175" s="106"/>
      <c r="DF175" s="106"/>
      <c r="DG175" s="106"/>
      <c r="DH175" s="106"/>
      <c r="DI175" s="106"/>
      <c r="DJ175" s="106"/>
      <c r="DK175" s="106"/>
      <c r="DL175" s="106"/>
      <c r="DM175" s="106"/>
      <c r="DN175" s="106"/>
      <c r="DO175" s="106"/>
      <c r="DP175" s="106"/>
      <c r="DQ175" s="106"/>
      <c r="DR175" s="106"/>
      <c r="DS175" s="106"/>
      <c r="DT175" s="106"/>
      <c r="DU175" s="106"/>
      <c r="DV175" s="106"/>
      <c r="DW175" s="106"/>
      <c r="DX175" s="106"/>
      <c r="DY175" s="106"/>
      <c r="DZ175" s="106"/>
      <c r="EA175" s="106"/>
      <c r="EB175" s="106"/>
      <c r="EC175" s="106"/>
      <c r="ED175" s="106"/>
      <c r="EE175" s="106"/>
      <c r="EF175" s="106"/>
      <c r="EG175" s="106"/>
      <c r="EH175" s="106"/>
      <c r="EI175" s="106"/>
    </row>
    <row r="176" spans="3:139" ht="15.75" customHeight="1" x14ac:dyDescent="0.25"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  <c r="CR176" s="106"/>
      <c r="CS176" s="106"/>
      <c r="CT176" s="106"/>
      <c r="CU176" s="106"/>
      <c r="CV176" s="106"/>
      <c r="CW176" s="106"/>
      <c r="CX176" s="106"/>
      <c r="CY176" s="106"/>
      <c r="CZ176" s="106"/>
      <c r="DA176" s="106"/>
      <c r="DB176" s="106"/>
      <c r="DC176" s="106"/>
      <c r="DD176" s="106"/>
      <c r="DE176" s="106"/>
      <c r="DF176" s="106"/>
      <c r="DG176" s="106"/>
      <c r="DH176" s="106"/>
      <c r="DI176" s="106"/>
      <c r="DJ176" s="106"/>
      <c r="DK176" s="106"/>
      <c r="DL176" s="106"/>
      <c r="DM176" s="106"/>
      <c r="DN176" s="106"/>
      <c r="DO176" s="106"/>
      <c r="DP176" s="106"/>
      <c r="DQ176" s="106"/>
      <c r="DR176" s="106"/>
      <c r="DS176" s="106"/>
      <c r="DT176" s="106"/>
      <c r="DU176" s="106"/>
      <c r="DV176" s="106"/>
      <c r="DW176" s="106"/>
      <c r="DX176" s="106"/>
      <c r="DY176" s="106"/>
      <c r="DZ176" s="106"/>
      <c r="EA176" s="106"/>
      <c r="EB176" s="106"/>
      <c r="EC176" s="106"/>
      <c r="ED176" s="106"/>
      <c r="EE176" s="106"/>
      <c r="EF176" s="106"/>
      <c r="EG176" s="106"/>
      <c r="EH176" s="106"/>
      <c r="EI176" s="106"/>
    </row>
    <row r="177" spans="3:139" ht="15.75" customHeight="1" x14ac:dyDescent="0.25"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  <c r="CR177" s="106"/>
      <c r="CS177" s="106"/>
      <c r="CT177" s="106"/>
      <c r="CU177" s="106"/>
      <c r="CV177" s="106"/>
      <c r="CW177" s="106"/>
      <c r="CX177" s="106"/>
      <c r="CY177" s="106"/>
      <c r="CZ177" s="106"/>
      <c r="DA177" s="106"/>
      <c r="DB177" s="106"/>
      <c r="DC177" s="106"/>
      <c r="DD177" s="106"/>
      <c r="DE177" s="106"/>
      <c r="DF177" s="106"/>
      <c r="DG177" s="106"/>
      <c r="DH177" s="106"/>
      <c r="DI177" s="106"/>
      <c r="DJ177" s="106"/>
      <c r="DK177" s="106"/>
      <c r="DL177" s="106"/>
      <c r="DM177" s="106"/>
      <c r="DN177" s="106"/>
      <c r="DO177" s="106"/>
      <c r="DP177" s="106"/>
      <c r="DQ177" s="106"/>
      <c r="DR177" s="106"/>
      <c r="DS177" s="106"/>
      <c r="DT177" s="106"/>
      <c r="DU177" s="106"/>
      <c r="DV177" s="106"/>
      <c r="DW177" s="106"/>
      <c r="DX177" s="106"/>
      <c r="DY177" s="106"/>
      <c r="DZ177" s="106"/>
      <c r="EA177" s="106"/>
      <c r="EB177" s="106"/>
      <c r="EC177" s="106"/>
      <c r="ED177" s="106"/>
      <c r="EE177" s="106"/>
      <c r="EF177" s="106"/>
      <c r="EG177" s="106"/>
      <c r="EH177" s="106"/>
      <c r="EI177" s="106"/>
    </row>
    <row r="178" spans="3:139" ht="15.75" customHeight="1" x14ac:dyDescent="0.25"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/>
      <c r="CW178" s="106"/>
      <c r="CX178" s="106"/>
      <c r="CY178" s="106"/>
      <c r="CZ178" s="106"/>
      <c r="DA178" s="106"/>
      <c r="DB178" s="106"/>
      <c r="DC178" s="106"/>
      <c r="DD178" s="106"/>
      <c r="DE178" s="106"/>
      <c r="DF178" s="106"/>
      <c r="DG178" s="106"/>
      <c r="DH178" s="106"/>
      <c r="DI178" s="106"/>
      <c r="DJ178" s="106"/>
      <c r="DK178" s="106"/>
      <c r="DL178" s="106"/>
      <c r="DM178" s="106"/>
      <c r="DN178" s="106"/>
      <c r="DO178" s="106"/>
      <c r="DP178" s="106"/>
      <c r="DQ178" s="106"/>
      <c r="DR178" s="106"/>
      <c r="DS178" s="106"/>
      <c r="DT178" s="106"/>
      <c r="DU178" s="106"/>
      <c r="DV178" s="106"/>
      <c r="DW178" s="106"/>
      <c r="DX178" s="106"/>
      <c r="DY178" s="106"/>
      <c r="DZ178" s="106"/>
      <c r="EA178" s="106"/>
      <c r="EB178" s="106"/>
      <c r="EC178" s="106"/>
      <c r="ED178" s="106"/>
      <c r="EE178" s="106"/>
      <c r="EF178" s="106"/>
      <c r="EG178" s="106"/>
      <c r="EH178" s="106"/>
      <c r="EI178" s="106"/>
    </row>
    <row r="179" spans="3:139" ht="15.75" customHeight="1" x14ac:dyDescent="0.25"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  <c r="CR179" s="106"/>
      <c r="CS179" s="106"/>
      <c r="CT179" s="106"/>
      <c r="CU179" s="106"/>
      <c r="CV179" s="106"/>
      <c r="CW179" s="106"/>
      <c r="CX179" s="106"/>
      <c r="CY179" s="106"/>
      <c r="CZ179" s="106"/>
      <c r="DA179" s="106"/>
      <c r="DB179" s="106"/>
      <c r="DC179" s="106"/>
      <c r="DD179" s="106"/>
      <c r="DE179" s="106"/>
      <c r="DF179" s="106"/>
      <c r="DG179" s="106"/>
      <c r="DH179" s="106"/>
      <c r="DI179" s="106"/>
      <c r="DJ179" s="106"/>
      <c r="DK179" s="106"/>
      <c r="DL179" s="106"/>
      <c r="DM179" s="106"/>
      <c r="DN179" s="106"/>
      <c r="DO179" s="106"/>
      <c r="DP179" s="106"/>
      <c r="DQ179" s="106"/>
      <c r="DR179" s="106"/>
      <c r="DS179" s="106"/>
      <c r="DT179" s="106"/>
      <c r="DU179" s="106"/>
      <c r="DV179" s="106"/>
      <c r="DW179" s="106"/>
      <c r="DX179" s="106"/>
      <c r="DY179" s="106"/>
      <c r="DZ179" s="106"/>
      <c r="EA179" s="106"/>
      <c r="EB179" s="106"/>
      <c r="EC179" s="106"/>
      <c r="ED179" s="106"/>
      <c r="EE179" s="106"/>
      <c r="EF179" s="106"/>
      <c r="EG179" s="106"/>
      <c r="EH179" s="106"/>
      <c r="EI179" s="106"/>
    </row>
    <row r="180" spans="3:139" ht="15.75" customHeight="1" x14ac:dyDescent="0.25"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  <c r="CR180" s="106"/>
      <c r="CS180" s="106"/>
      <c r="CT180" s="106"/>
      <c r="CU180" s="106"/>
      <c r="CV180" s="106"/>
      <c r="CW180" s="106"/>
      <c r="CX180" s="106"/>
      <c r="CY180" s="106"/>
      <c r="CZ180" s="106"/>
      <c r="DA180" s="106"/>
      <c r="DB180" s="106"/>
      <c r="DC180" s="106"/>
      <c r="DD180" s="106"/>
      <c r="DE180" s="106"/>
      <c r="DF180" s="106"/>
      <c r="DG180" s="106"/>
      <c r="DH180" s="106"/>
      <c r="DI180" s="106"/>
      <c r="DJ180" s="106"/>
      <c r="DK180" s="106"/>
      <c r="DL180" s="106"/>
      <c r="DM180" s="106"/>
      <c r="DN180" s="106"/>
      <c r="DO180" s="106"/>
      <c r="DP180" s="106"/>
      <c r="DQ180" s="106"/>
      <c r="DR180" s="106"/>
      <c r="DS180" s="106"/>
      <c r="DT180" s="106"/>
      <c r="DU180" s="106"/>
      <c r="DV180" s="106"/>
      <c r="DW180" s="106"/>
      <c r="DX180" s="106"/>
      <c r="DY180" s="106"/>
      <c r="DZ180" s="106"/>
      <c r="EA180" s="106"/>
      <c r="EB180" s="106"/>
      <c r="EC180" s="106"/>
      <c r="ED180" s="106"/>
      <c r="EE180" s="106"/>
      <c r="EF180" s="106"/>
      <c r="EG180" s="106"/>
      <c r="EH180" s="106"/>
      <c r="EI180" s="106"/>
    </row>
    <row r="181" spans="3:139" ht="15.75" customHeight="1" x14ac:dyDescent="0.25"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  <c r="CR181" s="106"/>
      <c r="CS181" s="106"/>
      <c r="CT181" s="106"/>
      <c r="CU181" s="106"/>
      <c r="CV181" s="106"/>
      <c r="CW181" s="106"/>
      <c r="CX181" s="106"/>
      <c r="CY181" s="106"/>
      <c r="CZ181" s="106"/>
      <c r="DA181" s="106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6"/>
      <c r="DL181" s="106"/>
      <c r="DM181" s="106"/>
      <c r="DN181" s="106"/>
      <c r="DO181" s="106"/>
      <c r="DP181" s="106"/>
      <c r="DQ181" s="106"/>
      <c r="DR181" s="106"/>
      <c r="DS181" s="106"/>
      <c r="DT181" s="106"/>
      <c r="DU181" s="106"/>
      <c r="DV181" s="106"/>
      <c r="DW181" s="106"/>
      <c r="DX181" s="106"/>
      <c r="DY181" s="106"/>
      <c r="DZ181" s="106"/>
      <c r="EA181" s="106"/>
      <c r="EB181" s="106"/>
      <c r="EC181" s="106"/>
      <c r="ED181" s="106"/>
      <c r="EE181" s="106"/>
      <c r="EF181" s="106"/>
      <c r="EG181" s="106"/>
      <c r="EH181" s="106"/>
      <c r="EI181" s="106"/>
    </row>
    <row r="182" spans="3:139" ht="15.75" customHeight="1" x14ac:dyDescent="0.25"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  <c r="CR182" s="106"/>
      <c r="CS182" s="106"/>
      <c r="CT182" s="106"/>
      <c r="CU182" s="106"/>
      <c r="CV182" s="106"/>
      <c r="CW182" s="106"/>
      <c r="CX182" s="106"/>
      <c r="CY182" s="106"/>
      <c r="CZ182" s="106"/>
      <c r="DA182" s="106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6"/>
      <c r="DL182" s="106"/>
      <c r="DM182" s="106"/>
      <c r="DN182" s="106"/>
      <c r="DO182" s="106"/>
      <c r="DP182" s="106"/>
      <c r="DQ182" s="106"/>
      <c r="DR182" s="106"/>
      <c r="DS182" s="106"/>
      <c r="DT182" s="106"/>
      <c r="DU182" s="106"/>
      <c r="DV182" s="106"/>
      <c r="DW182" s="106"/>
      <c r="DX182" s="106"/>
      <c r="DY182" s="106"/>
      <c r="DZ182" s="106"/>
      <c r="EA182" s="106"/>
      <c r="EB182" s="106"/>
      <c r="EC182" s="106"/>
      <c r="ED182" s="106"/>
      <c r="EE182" s="106"/>
      <c r="EF182" s="106"/>
      <c r="EG182" s="106"/>
      <c r="EH182" s="106"/>
      <c r="EI182" s="106"/>
    </row>
    <row r="183" spans="3:139" ht="15.75" customHeight="1" x14ac:dyDescent="0.25"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  <c r="CR183" s="106"/>
      <c r="CS183" s="106"/>
      <c r="CT183" s="106"/>
      <c r="CU183" s="106"/>
      <c r="CV183" s="106"/>
      <c r="CW183" s="106"/>
      <c r="CX183" s="106"/>
      <c r="CY183" s="106"/>
      <c r="CZ183" s="106"/>
      <c r="DA183" s="106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6"/>
      <c r="DL183" s="106"/>
      <c r="DM183" s="106"/>
      <c r="DN183" s="106"/>
      <c r="DO183" s="106"/>
      <c r="DP183" s="106"/>
      <c r="DQ183" s="106"/>
      <c r="DR183" s="106"/>
      <c r="DS183" s="106"/>
      <c r="DT183" s="106"/>
      <c r="DU183" s="106"/>
      <c r="DV183" s="106"/>
      <c r="DW183" s="106"/>
      <c r="DX183" s="106"/>
      <c r="DY183" s="106"/>
      <c r="DZ183" s="106"/>
      <c r="EA183" s="106"/>
      <c r="EB183" s="106"/>
      <c r="EC183" s="106"/>
      <c r="ED183" s="106"/>
      <c r="EE183" s="106"/>
      <c r="EF183" s="106"/>
      <c r="EG183" s="106"/>
      <c r="EH183" s="106"/>
      <c r="EI183" s="106"/>
    </row>
    <row r="184" spans="3:139" ht="15.75" customHeight="1" x14ac:dyDescent="0.25"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  <c r="CR184" s="106"/>
      <c r="CS184" s="106"/>
      <c r="CT184" s="106"/>
      <c r="CU184" s="106"/>
      <c r="CV184" s="106"/>
      <c r="CW184" s="106"/>
      <c r="CX184" s="106"/>
      <c r="CY184" s="106"/>
      <c r="CZ184" s="106"/>
      <c r="DA184" s="106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6"/>
      <c r="DL184" s="106"/>
      <c r="DM184" s="106"/>
      <c r="DN184" s="106"/>
      <c r="DO184" s="106"/>
      <c r="DP184" s="106"/>
      <c r="DQ184" s="106"/>
      <c r="DR184" s="106"/>
      <c r="DS184" s="106"/>
      <c r="DT184" s="106"/>
      <c r="DU184" s="106"/>
      <c r="DV184" s="106"/>
      <c r="DW184" s="106"/>
      <c r="DX184" s="106"/>
      <c r="DY184" s="106"/>
      <c r="DZ184" s="106"/>
      <c r="EA184" s="106"/>
      <c r="EB184" s="106"/>
      <c r="EC184" s="106"/>
      <c r="ED184" s="106"/>
      <c r="EE184" s="106"/>
      <c r="EF184" s="106"/>
      <c r="EG184" s="106"/>
      <c r="EH184" s="106"/>
      <c r="EI184" s="106"/>
    </row>
    <row r="185" spans="3:139" ht="15.75" customHeight="1" x14ac:dyDescent="0.25"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  <c r="CZ185" s="106"/>
      <c r="DA185" s="106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6"/>
      <c r="DL185" s="106"/>
      <c r="DM185" s="106"/>
      <c r="DN185" s="106"/>
      <c r="DO185" s="106"/>
      <c r="DP185" s="106"/>
      <c r="DQ185" s="106"/>
      <c r="DR185" s="106"/>
      <c r="DS185" s="106"/>
      <c r="DT185" s="106"/>
      <c r="DU185" s="106"/>
      <c r="DV185" s="106"/>
      <c r="DW185" s="106"/>
      <c r="DX185" s="106"/>
      <c r="DY185" s="106"/>
      <c r="DZ185" s="106"/>
      <c r="EA185" s="106"/>
      <c r="EB185" s="106"/>
      <c r="EC185" s="106"/>
      <c r="ED185" s="106"/>
      <c r="EE185" s="106"/>
      <c r="EF185" s="106"/>
      <c r="EG185" s="106"/>
      <c r="EH185" s="106"/>
      <c r="EI185" s="106"/>
    </row>
    <row r="186" spans="3:139" ht="15.75" customHeight="1" x14ac:dyDescent="0.25"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  <c r="CR186" s="106"/>
      <c r="CS186" s="106"/>
      <c r="CT186" s="106"/>
      <c r="CU186" s="106"/>
      <c r="CV186" s="106"/>
      <c r="CW186" s="106"/>
      <c r="CX186" s="106"/>
      <c r="CY186" s="106"/>
      <c r="CZ186" s="106"/>
      <c r="DA186" s="106"/>
      <c r="DB186" s="106"/>
      <c r="DC186" s="106"/>
      <c r="DD186" s="106"/>
      <c r="DE186" s="106"/>
      <c r="DF186" s="106"/>
      <c r="DG186" s="106"/>
      <c r="DH186" s="106"/>
      <c r="DI186" s="106"/>
      <c r="DJ186" s="106"/>
      <c r="DK186" s="106"/>
      <c r="DL186" s="106"/>
      <c r="DM186" s="106"/>
      <c r="DN186" s="106"/>
      <c r="DO186" s="106"/>
      <c r="DP186" s="106"/>
      <c r="DQ186" s="106"/>
      <c r="DR186" s="106"/>
      <c r="DS186" s="106"/>
      <c r="DT186" s="106"/>
      <c r="DU186" s="106"/>
      <c r="DV186" s="106"/>
      <c r="DW186" s="106"/>
      <c r="DX186" s="106"/>
      <c r="DY186" s="106"/>
      <c r="DZ186" s="106"/>
      <c r="EA186" s="106"/>
      <c r="EB186" s="106"/>
      <c r="EC186" s="106"/>
      <c r="ED186" s="106"/>
      <c r="EE186" s="106"/>
      <c r="EF186" s="106"/>
      <c r="EG186" s="106"/>
      <c r="EH186" s="106"/>
      <c r="EI186" s="106"/>
    </row>
    <row r="187" spans="3:139" ht="15.75" customHeight="1" x14ac:dyDescent="0.25"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  <c r="CR187" s="106"/>
      <c r="CS187" s="106"/>
      <c r="CT187" s="106"/>
      <c r="CU187" s="106"/>
      <c r="CV187" s="106"/>
      <c r="CW187" s="106"/>
      <c r="CX187" s="106"/>
      <c r="CY187" s="106"/>
      <c r="CZ187" s="106"/>
      <c r="DA187" s="106"/>
      <c r="DB187" s="106"/>
      <c r="DC187" s="106"/>
      <c r="DD187" s="106"/>
      <c r="DE187" s="106"/>
      <c r="DF187" s="106"/>
      <c r="DG187" s="106"/>
      <c r="DH187" s="106"/>
      <c r="DI187" s="106"/>
      <c r="DJ187" s="106"/>
      <c r="DK187" s="106"/>
      <c r="DL187" s="106"/>
      <c r="DM187" s="106"/>
      <c r="DN187" s="106"/>
      <c r="DO187" s="106"/>
      <c r="DP187" s="106"/>
      <c r="DQ187" s="106"/>
      <c r="DR187" s="106"/>
      <c r="DS187" s="106"/>
      <c r="DT187" s="106"/>
      <c r="DU187" s="106"/>
      <c r="DV187" s="106"/>
      <c r="DW187" s="106"/>
      <c r="DX187" s="106"/>
      <c r="DY187" s="106"/>
      <c r="DZ187" s="106"/>
      <c r="EA187" s="106"/>
      <c r="EB187" s="106"/>
      <c r="EC187" s="106"/>
      <c r="ED187" s="106"/>
      <c r="EE187" s="106"/>
      <c r="EF187" s="106"/>
      <c r="EG187" s="106"/>
      <c r="EH187" s="106"/>
      <c r="EI187" s="106"/>
    </row>
    <row r="188" spans="3:139" ht="15.75" customHeight="1" x14ac:dyDescent="0.25"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  <c r="CR188" s="106"/>
      <c r="CS188" s="106"/>
      <c r="CT188" s="106"/>
      <c r="CU188" s="106"/>
      <c r="CV188" s="106"/>
      <c r="CW188" s="106"/>
      <c r="CX188" s="106"/>
      <c r="CY188" s="106"/>
      <c r="CZ188" s="106"/>
      <c r="DA188" s="106"/>
      <c r="DB188" s="106"/>
      <c r="DC188" s="106"/>
      <c r="DD188" s="106"/>
      <c r="DE188" s="106"/>
      <c r="DF188" s="106"/>
      <c r="DG188" s="106"/>
      <c r="DH188" s="106"/>
      <c r="DI188" s="106"/>
      <c r="DJ188" s="106"/>
      <c r="DK188" s="106"/>
      <c r="DL188" s="106"/>
      <c r="DM188" s="106"/>
      <c r="DN188" s="106"/>
      <c r="DO188" s="106"/>
      <c r="DP188" s="106"/>
      <c r="DQ188" s="106"/>
      <c r="DR188" s="106"/>
      <c r="DS188" s="106"/>
      <c r="DT188" s="106"/>
      <c r="DU188" s="106"/>
      <c r="DV188" s="106"/>
      <c r="DW188" s="106"/>
      <c r="DX188" s="106"/>
      <c r="DY188" s="106"/>
      <c r="DZ188" s="106"/>
      <c r="EA188" s="106"/>
      <c r="EB188" s="106"/>
      <c r="EC188" s="106"/>
      <c r="ED188" s="106"/>
      <c r="EE188" s="106"/>
      <c r="EF188" s="106"/>
      <c r="EG188" s="106"/>
      <c r="EH188" s="106"/>
      <c r="EI188" s="106"/>
    </row>
    <row r="189" spans="3:139" ht="15.75" customHeight="1" x14ac:dyDescent="0.25"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  <c r="CR189" s="106"/>
      <c r="CS189" s="106"/>
      <c r="CT189" s="106"/>
      <c r="CU189" s="106"/>
      <c r="CV189" s="106"/>
      <c r="CW189" s="106"/>
      <c r="CX189" s="106"/>
      <c r="CY189" s="106"/>
      <c r="CZ189" s="106"/>
      <c r="DA189" s="106"/>
      <c r="DB189" s="106"/>
      <c r="DC189" s="106"/>
      <c r="DD189" s="106"/>
      <c r="DE189" s="106"/>
      <c r="DF189" s="106"/>
      <c r="DG189" s="106"/>
      <c r="DH189" s="106"/>
      <c r="DI189" s="106"/>
      <c r="DJ189" s="106"/>
      <c r="DK189" s="106"/>
      <c r="DL189" s="106"/>
      <c r="DM189" s="106"/>
      <c r="DN189" s="106"/>
      <c r="DO189" s="106"/>
      <c r="DP189" s="106"/>
      <c r="DQ189" s="106"/>
      <c r="DR189" s="106"/>
      <c r="DS189" s="106"/>
      <c r="DT189" s="106"/>
      <c r="DU189" s="106"/>
      <c r="DV189" s="106"/>
      <c r="DW189" s="106"/>
      <c r="DX189" s="106"/>
      <c r="DY189" s="106"/>
      <c r="DZ189" s="106"/>
      <c r="EA189" s="106"/>
      <c r="EB189" s="106"/>
      <c r="EC189" s="106"/>
      <c r="ED189" s="106"/>
      <c r="EE189" s="106"/>
      <c r="EF189" s="106"/>
      <c r="EG189" s="106"/>
      <c r="EH189" s="106"/>
      <c r="EI189" s="106"/>
    </row>
    <row r="190" spans="3:139" ht="15.75" customHeight="1" x14ac:dyDescent="0.25"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  <c r="CR190" s="106"/>
      <c r="CS190" s="106"/>
      <c r="CT190" s="106"/>
      <c r="CU190" s="106"/>
      <c r="CV190" s="106"/>
      <c r="CW190" s="106"/>
      <c r="CX190" s="106"/>
      <c r="CY190" s="106"/>
      <c r="CZ190" s="106"/>
      <c r="DA190" s="106"/>
      <c r="DB190" s="106"/>
      <c r="DC190" s="106"/>
      <c r="DD190" s="106"/>
      <c r="DE190" s="106"/>
      <c r="DF190" s="106"/>
      <c r="DG190" s="106"/>
      <c r="DH190" s="106"/>
      <c r="DI190" s="106"/>
      <c r="DJ190" s="106"/>
      <c r="DK190" s="106"/>
      <c r="DL190" s="106"/>
      <c r="DM190" s="106"/>
      <c r="DN190" s="106"/>
      <c r="DO190" s="106"/>
      <c r="DP190" s="106"/>
      <c r="DQ190" s="106"/>
      <c r="DR190" s="106"/>
      <c r="DS190" s="106"/>
      <c r="DT190" s="106"/>
      <c r="DU190" s="106"/>
      <c r="DV190" s="106"/>
      <c r="DW190" s="106"/>
      <c r="DX190" s="106"/>
      <c r="DY190" s="106"/>
      <c r="DZ190" s="106"/>
      <c r="EA190" s="106"/>
      <c r="EB190" s="106"/>
      <c r="EC190" s="106"/>
      <c r="ED190" s="106"/>
      <c r="EE190" s="106"/>
      <c r="EF190" s="106"/>
      <c r="EG190" s="106"/>
      <c r="EH190" s="106"/>
      <c r="EI190" s="106"/>
    </row>
    <row r="191" spans="3:139" ht="15.75" customHeight="1" x14ac:dyDescent="0.25"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06"/>
      <c r="CX191" s="106"/>
      <c r="CY191" s="106"/>
      <c r="CZ191" s="106"/>
      <c r="DA191" s="106"/>
      <c r="DB191" s="106"/>
      <c r="DC191" s="106"/>
      <c r="DD191" s="106"/>
      <c r="DE191" s="106"/>
      <c r="DF191" s="106"/>
      <c r="DG191" s="106"/>
      <c r="DH191" s="106"/>
      <c r="DI191" s="106"/>
      <c r="DJ191" s="106"/>
      <c r="DK191" s="106"/>
      <c r="DL191" s="106"/>
      <c r="DM191" s="106"/>
      <c r="DN191" s="106"/>
      <c r="DO191" s="106"/>
      <c r="DP191" s="106"/>
      <c r="DQ191" s="106"/>
      <c r="DR191" s="106"/>
      <c r="DS191" s="106"/>
      <c r="DT191" s="106"/>
      <c r="DU191" s="106"/>
      <c r="DV191" s="106"/>
      <c r="DW191" s="106"/>
      <c r="DX191" s="106"/>
      <c r="DY191" s="106"/>
      <c r="DZ191" s="106"/>
      <c r="EA191" s="106"/>
      <c r="EB191" s="106"/>
      <c r="EC191" s="106"/>
      <c r="ED191" s="106"/>
      <c r="EE191" s="106"/>
      <c r="EF191" s="106"/>
      <c r="EG191" s="106"/>
      <c r="EH191" s="106"/>
      <c r="EI191" s="106"/>
    </row>
    <row r="192" spans="3:139" ht="15.75" customHeight="1" x14ac:dyDescent="0.25"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06"/>
      <c r="CX192" s="106"/>
      <c r="CY192" s="106"/>
      <c r="CZ192" s="106"/>
      <c r="DA192" s="106"/>
      <c r="DB192" s="106"/>
      <c r="DC192" s="106"/>
      <c r="DD192" s="106"/>
      <c r="DE192" s="106"/>
      <c r="DF192" s="106"/>
      <c r="DG192" s="106"/>
      <c r="DH192" s="106"/>
      <c r="DI192" s="106"/>
      <c r="DJ192" s="106"/>
      <c r="DK192" s="106"/>
      <c r="DL192" s="106"/>
      <c r="DM192" s="106"/>
      <c r="DN192" s="106"/>
      <c r="DO192" s="106"/>
      <c r="DP192" s="106"/>
      <c r="DQ192" s="106"/>
      <c r="DR192" s="106"/>
      <c r="DS192" s="106"/>
      <c r="DT192" s="106"/>
      <c r="DU192" s="106"/>
      <c r="DV192" s="106"/>
      <c r="DW192" s="106"/>
      <c r="DX192" s="106"/>
      <c r="DY192" s="106"/>
      <c r="DZ192" s="106"/>
      <c r="EA192" s="106"/>
      <c r="EB192" s="106"/>
      <c r="EC192" s="106"/>
      <c r="ED192" s="106"/>
      <c r="EE192" s="106"/>
      <c r="EF192" s="106"/>
      <c r="EG192" s="106"/>
      <c r="EH192" s="106"/>
      <c r="EI192" s="106"/>
    </row>
    <row r="193" spans="3:139" ht="15.75" customHeight="1" x14ac:dyDescent="0.25"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  <c r="CR193" s="106"/>
      <c r="CS193" s="106"/>
      <c r="CT193" s="106"/>
      <c r="CU193" s="106"/>
      <c r="CV193" s="106"/>
      <c r="CW193" s="106"/>
      <c r="CX193" s="106"/>
      <c r="CY193" s="106"/>
      <c r="CZ193" s="106"/>
      <c r="DA193" s="106"/>
      <c r="DB193" s="106"/>
      <c r="DC193" s="106"/>
      <c r="DD193" s="106"/>
      <c r="DE193" s="106"/>
      <c r="DF193" s="106"/>
      <c r="DG193" s="106"/>
      <c r="DH193" s="106"/>
      <c r="DI193" s="106"/>
      <c r="DJ193" s="106"/>
      <c r="DK193" s="106"/>
      <c r="DL193" s="106"/>
      <c r="DM193" s="106"/>
      <c r="DN193" s="106"/>
      <c r="DO193" s="106"/>
      <c r="DP193" s="106"/>
      <c r="DQ193" s="106"/>
      <c r="DR193" s="106"/>
      <c r="DS193" s="106"/>
      <c r="DT193" s="106"/>
      <c r="DU193" s="106"/>
      <c r="DV193" s="106"/>
      <c r="DW193" s="106"/>
      <c r="DX193" s="106"/>
      <c r="DY193" s="106"/>
      <c r="DZ193" s="106"/>
      <c r="EA193" s="106"/>
      <c r="EB193" s="106"/>
      <c r="EC193" s="106"/>
      <c r="ED193" s="106"/>
      <c r="EE193" s="106"/>
      <c r="EF193" s="106"/>
      <c r="EG193" s="106"/>
      <c r="EH193" s="106"/>
      <c r="EI193" s="106"/>
    </row>
    <row r="194" spans="3:139" ht="15.75" customHeight="1" x14ac:dyDescent="0.25"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  <c r="CZ194" s="106"/>
      <c r="DA194" s="106"/>
      <c r="DB194" s="106"/>
      <c r="DC194" s="106"/>
      <c r="DD194" s="106"/>
      <c r="DE194" s="106"/>
      <c r="DF194" s="106"/>
      <c r="DG194" s="106"/>
      <c r="DH194" s="106"/>
      <c r="DI194" s="106"/>
      <c r="DJ194" s="106"/>
      <c r="DK194" s="106"/>
      <c r="DL194" s="106"/>
      <c r="DM194" s="106"/>
      <c r="DN194" s="106"/>
      <c r="DO194" s="106"/>
      <c r="DP194" s="106"/>
      <c r="DQ194" s="106"/>
      <c r="DR194" s="106"/>
      <c r="DS194" s="106"/>
      <c r="DT194" s="106"/>
      <c r="DU194" s="106"/>
      <c r="DV194" s="106"/>
      <c r="DW194" s="106"/>
      <c r="DX194" s="106"/>
      <c r="DY194" s="106"/>
      <c r="DZ194" s="106"/>
      <c r="EA194" s="106"/>
      <c r="EB194" s="106"/>
      <c r="EC194" s="106"/>
      <c r="ED194" s="106"/>
      <c r="EE194" s="106"/>
      <c r="EF194" s="106"/>
      <c r="EG194" s="106"/>
      <c r="EH194" s="106"/>
      <c r="EI194" s="106"/>
    </row>
    <row r="195" spans="3:139" ht="15.75" customHeight="1" x14ac:dyDescent="0.25"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  <c r="CR195" s="106"/>
      <c r="CS195" s="106"/>
      <c r="CT195" s="106"/>
      <c r="CU195" s="106"/>
      <c r="CV195" s="106"/>
      <c r="CW195" s="106"/>
      <c r="CX195" s="106"/>
      <c r="CY195" s="106"/>
      <c r="CZ195" s="106"/>
      <c r="DA195" s="106"/>
      <c r="DB195" s="106"/>
      <c r="DC195" s="106"/>
      <c r="DD195" s="106"/>
      <c r="DE195" s="106"/>
      <c r="DF195" s="106"/>
      <c r="DG195" s="106"/>
      <c r="DH195" s="106"/>
      <c r="DI195" s="106"/>
      <c r="DJ195" s="106"/>
      <c r="DK195" s="106"/>
      <c r="DL195" s="106"/>
      <c r="DM195" s="106"/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6"/>
      <c r="EC195" s="106"/>
      <c r="ED195" s="106"/>
      <c r="EE195" s="106"/>
      <c r="EF195" s="106"/>
      <c r="EG195" s="106"/>
      <c r="EH195" s="106"/>
      <c r="EI195" s="106"/>
    </row>
    <row r="196" spans="3:139" ht="15.75" customHeight="1" x14ac:dyDescent="0.25"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  <c r="CR196" s="106"/>
      <c r="CS196" s="106"/>
      <c r="CT196" s="106"/>
      <c r="CU196" s="106"/>
      <c r="CV196" s="106"/>
      <c r="CW196" s="106"/>
      <c r="CX196" s="106"/>
      <c r="CY196" s="106"/>
      <c r="CZ196" s="106"/>
      <c r="DA196" s="106"/>
      <c r="DB196" s="106"/>
      <c r="DC196" s="106"/>
      <c r="DD196" s="106"/>
      <c r="DE196" s="106"/>
      <c r="DF196" s="106"/>
      <c r="DG196" s="106"/>
      <c r="DH196" s="106"/>
      <c r="DI196" s="106"/>
      <c r="DJ196" s="106"/>
      <c r="DK196" s="106"/>
      <c r="DL196" s="106"/>
      <c r="DM196" s="106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6"/>
      <c r="EC196" s="106"/>
      <c r="ED196" s="106"/>
      <c r="EE196" s="106"/>
      <c r="EF196" s="106"/>
      <c r="EG196" s="106"/>
      <c r="EH196" s="106"/>
      <c r="EI196" s="106"/>
    </row>
    <row r="197" spans="3:139" ht="15.75" customHeight="1" x14ac:dyDescent="0.25"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  <c r="CR197" s="106"/>
      <c r="CS197" s="106"/>
      <c r="CT197" s="106"/>
      <c r="CU197" s="106"/>
      <c r="CV197" s="106"/>
      <c r="CW197" s="106"/>
      <c r="CX197" s="106"/>
      <c r="CY197" s="106"/>
      <c r="CZ197" s="106"/>
      <c r="DA197" s="106"/>
      <c r="DB197" s="106"/>
      <c r="DC197" s="106"/>
      <c r="DD197" s="106"/>
      <c r="DE197" s="106"/>
      <c r="DF197" s="106"/>
      <c r="DG197" s="106"/>
      <c r="DH197" s="106"/>
      <c r="DI197" s="106"/>
      <c r="DJ197" s="106"/>
      <c r="DK197" s="106"/>
      <c r="DL197" s="106"/>
      <c r="DM197" s="106"/>
      <c r="DN197" s="106"/>
      <c r="DO197" s="106"/>
      <c r="DP197" s="106"/>
      <c r="DQ197" s="106"/>
      <c r="DR197" s="106"/>
      <c r="DS197" s="106"/>
      <c r="DT197" s="106"/>
      <c r="DU197" s="106"/>
      <c r="DV197" s="106"/>
      <c r="DW197" s="106"/>
      <c r="DX197" s="106"/>
      <c r="DY197" s="106"/>
      <c r="DZ197" s="106"/>
      <c r="EA197" s="106"/>
      <c r="EB197" s="106"/>
      <c r="EC197" s="106"/>
      <c r="ED197" s="106"/>
      <c r="EE197" s="106"/>
      <c r="EF197" s="106"/>
      <c r="EG197" s="106"/>
      <c r="EH197" s="106"/>
      <c r="EI197" s="106"/>
    </row>
    <row r="198" spans="3:139" ht="15.75" customHeight="1" x14ac:dyDescent="0.25"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  <c r="CR198" s="106"/>
      <c r="CS198" s="106"/>
      <c r="CT198" s="106"/>
      <c r="CU198" s="106"/>
      <c r="CV198" s="106"/>
      <c r="CW198" s="106"/>
      <c r="CX198" s="106"/>
      <c r="CY198" s="106"/>
      <c r="CZ198" s="106"/>
      <c r="DA198" s="106"/>
      <c r="DB198" s="106"/>
      <c r="DC198" s="106"/>
      <c r="DD198" s="106"/>
      <c r="DE198" s="106"/>
      <c r="DF198" s="106"/>
      <c r="DG198" s="106"/>
      <c r="DH198" s="106"/>
      <c r="DI198" s="106"/>
      <c r="DJ198" s="106"/>
      <c r="DK198" s="106"/>
      <c r="DL198" s="106"/>
      <c r="DM198" s="106"/>
      <c r="DN198" s="106"/>
      <c r="DO198" s="106"/>
      <c r="DP198" s="106"/>
      <c r="DQ198" s="106"/>
      <c r="DR198" s="106"/>
      <c r="DS198" s="106"/>
      <c r="DT198" s="106"/>
      <c r="DU198" s="106"/>
      <c r="DV198" s="106"/>
      <c r="DW198" s="106"/>
      <c r="DX198" s="106"/>
      <c r="DY198" s="106"/>
      <c r="DZ198" s="106"/>
      <c r="EA198" s="106"/>
      <c r="EB198" s="106"/>
      <c r="EC198" s="106"/>
      <c r="ED198" s="106"/>
      <c r="EE198" s="106"/>
      <c r="EF198" s="106"/>
      <c r="EG198" s="106"/>
      <c r="EH198" s="106"/>
      <c r="EI198" s="106"/>
    </row>
    <row r="199" spans="3:139" ht="15.75" customHeight="1" x14ac:dyDescent="0.25"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  <c r="CR199" s="106"/>
      <c r="CS199" s="106"/>
      <c r="CT199" s="106"/>
      <c r="CU199" s="106"/>
      <c r="CV199" s="106"/>
      <c r="CW199" s="106"/>
      <c r="CX199" s="106"/>
      <c r="CY199" s="106"/>
      <c r="CZ199" s="106"/>
      <c r="DA199" s="106"/>
      <c r="DB199" s="106"/>
      <c r="DC199" s="106"/>
      <c r="DD199" s="106"/>
      <c r="DE199" s="106"/>
      <c r="DF199" s="106"/>
      <c r="DG199" s="106"/>
      <c r="DH199" s="106"/>
      <c r="DI199" s="106"/>
      <c r="DJ199" s="106"/>
      <c r="DK199" s="106"/>
      <c r="DL199" s="106"/>
      <c r="DM199" s="106"/>
      <c r="DN199" s="106"/>
      <c r="DO199" s="106"/>
      <c r="DP199" s="106"/>
      <c r="DQ199" s="106"/>
      <c r="DR199" s="106"/>
      <c r="DS199" s="106"/>
      <c r="DT199" s="106"/>
      <c r="DU199" s="106"/>
      <c r="DV199" s="106"/>
      <c r="DW199" s="106"/>
      <c r="DX199" s="106"/>
      <c r="DY199" s="106"/>
      <c r="DZ199" s="106"/>
      <c r="EA199" s="106"/>
      <c r="EB199" s="106"/>
      <c r="EC199" s="106"/>
      <c r="ED199" s="106"/>
      <c r="EE199" s="106"/>
      <c r="EF199" s="106"/>
      <c r="EG199" s="106"/>
      <c r="EH199" s="106"/>
      <c r="EI199" s="106"/>
    </row>
    <row r="200" spans="3:139" ht="15.75" customHeight="1" x14ac:dyDescent="0.25"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  <c r="CR200" s="106"/>
      <c r="CS200" s="106"/>
      <c r="CT200" s="106"/>
      <c r="CU200" s="106"/>
      <c r="CV200" s="106"/>
      <c r="CW200" s="106"/>
      <c r="CX200" s="106"/>
      <c r="CY200" s="106"/>
      <c r="CZ200" s="106"/>
      <c r="DA200" s="106"/>
      <c r="DB200" s="106"/>
      <c r="DC200" s="106"/>
      <c r="DD200" s="106"/>
      <c r="DE200" s="106"/>
      <c r="DF200" s="106"/>
      <c r="DG200" s="106"/>
      <c r="DH200" s="106"/>
      <c r="DI200" s="106"/>
      <c r="DJ200" s="106"/>
      <c r="DK200" s="106"/>
      <c r="DL200" s="106"/>
      <c r="DM200" s="106"/>
      <c r="DN200" s="106"/>
      <c r="DO200" s="106"/>
      <c r="DP200" s="106"/>
      <c r="DQ200" s="106"/>
      <c r="DR200" s="106"/>
      <c r="DS200" s="106"/>
      <c r="DT200" s="106"/>
      <c r="DU200" s="106"/>
      <c r="DV200" s="106"/>
      <c r="DW200" s="106"/>
      <c r="DX200" s="106"/>
      <c r="DY200" s="106"/>
      <c r="DZ200" s="106"/>
      <c r="EA200" s="106"/>
      <c r="EB200" s="106"/>
      <c r="EC200" s="106"/>
      <c r="ED200" s="106"/>
      <c r="EE200" s="106"/>
      <c r="EF200" s="106"/>
      <c r="EG200" s="106"/>
      <c r="EH200" s="106"/>
      <c r="EI200" s="106"/>
    </row>
    <row r="201" spans="3:139" ht="15.75" customHeight="1" x14ac:dyDescent="0.25"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  <c r="CR201" s="106"/>
      <c r="CS201" s="106"/>
      <c r="CT201" s="106"/>
      <c r="CU201" s="106"/>
      <c r="CV201" s="106"/>
      <c r="CW201" s="106"/>
      <c r="CX201" s="106"/>
      <c r="CY201" s="106"/>
      <c r="CZ201" s="106"/>
      <c r="DA201" s="106"/>
      <c r="DB201" s="106"/>
      <c r="DC201" s="106"/>
      <c r="DD201" s="106"/>
      <c r="DE201" s="106"/>
      <c r="DF201" s="106"/>
      <c r="DG201" s="106"/>
      <c r="DH201" s="106"/>
      <c r="DI201" s="106"/>
      <c r="DJ201" s="106"/>
      <c r="DK201" s="106"/>
      <c r="DL201" s="106"/>
      <c r="DM201" s="106"/>
      <c r="DN201" s="106"/>
      <c r="DO201" s="106"/>
      <c r="DP201" s="106"/>
      <c r="DQ201" s="106"/>
      <c r="DR201" s="106"/>
      <c r="DS201" s="106"/>
      <c r="DT201" s="106"/>
      <c r="DU201" s="106"/>
      <c r="DV201" s="106"/>
      <c r="DW201" s="106"/>
      <c r="DX201" s="106"/>
      <c r="DY201" s="106"/>
      <c r="DZ201" s="106"/>
      <c r="EA201" s="106"/>
      <c r="EB201" s="106"/>
      <c r="EC201" s="106"/>
      <c r="ED201" s="106"/>
      <c r="EE201" s="106"/>
      <c r="EF201" s="106"/>
      <c r="EG201" s="106"/>
      <c r="EH201" s="106"/>
      <c r="EI201" s="106"/>
    </row>
    <row r="202" spans="3:139" ht="15.75" customHeight="1" x14ac:dyDescent="0.25"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  <c r="CZ202" s="106"/>
      <c r="DA202" s="106"/>
      <c r="DB202" s="106"/>
      <c r="DC202" s="106"/>
      <c r="DD202" s="106"/>
      <c r="DE202" s="106"/>
      <c r="DF202" s="106"/>
      <c r="DG202" s="106"/>
      <c r="DH202" s="106"/>
      <c r="DI202" s="106"/>
      <c r="DJ202" s="106"/>
      <c r="DK202" s="106"/>
      <c r="DL202" s="106"/>
      <c r="DM202" s="106"/>
      <c r="DN202" s="106"/>
      <c r="DO202" s="106"/>
      <c r="DP202" s="106"/>
      <c r="DQ202" s="106"/>
      <c r="DR202" s="106"/>
      <c r="DS202" s="106"/>
      <c r="DT202" s="106"/>
      <c r="DU202" s="106"/>
      <c r="DV202" s="106"/>
      <c r="DW202" s="106"/>
      <c r="DX202" s="106"/>
      <c r="DY202" s="106"/>
      <c r="DZ202" s="106"/>
      <c r="EA202" s="106"/>
      <c r="EB202" s="106"/>
      <c r="EC202" s="106"/>
      <c r="ED202" s="106"/>
      <c r="EE202" s="106"/>
      <c r="EF202" s="106"/>
      <c r="EG202" s="106"/>
      <c r="EH202" s="106"/>
      <c r="EI202" s="106"/>
    </row>
    <row r="203" spans="3:139" ht="15.75" customHeight="1" x14ac:dyDescent="0.25"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  <c r="CZ203" s="106"/>
      <c r="DA203" s="106"/>
      <c r="DB203" s="106"/>
      <c r="DC203" s="106"/>
      <c r="DD203" s="106"/>
      <c r="DE203" s="106"/>
      <c r="DF203" s="106"/>
      <c r="DG203" s="106"/>
      <c r="DH203" s="106"/>
      <c r="DI203" s="106"/>
      <c r="DJ203" s="106"/>
      <c r="DK203" s="106"/>
      <c r="DL203" s="106"/>
      <c r="DM203" s="106"/>
      <c r="DN203" s="106"/>
      <c r="DO203" s="106"/>
      <c r="DP203" s="106"/>
      <c r="DQ203" s="106"/>
      <c r="DR203" s="106"/>
      <c r="DS203" s="106"/>
      <c r="DT203" s="106"/>
      <c r="DU203" s="106"/>
      <c r="DV203" s="106"/>
      <c r="DW203" s="106"/>
      <c r="DX203" s="106"/>
      <c r="DY203" s="106"/>
      <c r="DZ203" s="106"/>
      <c r="EA203" s="106"/>
      <c r="EB203" s="106"/>
      <c r="EC203" s="106"/>
      <c r="ED203" s="106"/>
      <c r="EE203" s="106"/>
      <c r="EF203" s="106"/>
      <c r="EG203" s="106"/>
      <c r="EH203" s="106"/>
      <c r="EI203" s="106"/>
    </row>
    <row r="204" spans="3:139" ht="15.75" customHeight="1" x14ac:dyDescent="0.25"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  <c r="CR204" s="106"/>
      <c r="CS204" s="106"/>
      <c r="CT204" s="106"/>
      <c r="CU204" s="106"/>
      <c r="CV204" s="106"/>
      <c r="CW204" s="106"/>
      <c r="CX204" s="106"/>
      <c r="CY204" s="106"/>
      <c r="CZ204" s="106"/>
      <c r="DA204" s="106"/>
      <c r="DB204" s="106"/>
      <c r="DC204" s="106"/>
      <c r="DD204" s="106"/>
      <c r="DE204" s="106"/>
      <c r="DF204" s="106"/>
      <c r="DG204" s="106"/>
      <c r="DH204" s="106"/>
      <c r="DI204" s="106"/>
      <c r="DJ204" s="106"/>
      <c r="DK204" s="106"/>
      <c r="DL204" s="106"/>
      <c r="DM204" s="106"/>
      <c r="DN204" s="106"/>
      <c r="DO204" s="106"/>
      <c r="DP204" s="106"/>
      <c r="DQ204" s="106"/>
      <c r="DR204" s="106"/>
      <c r="DS204" s="106"/>
      <c r="DT204" s="106"/>
      <c r="DU204" s="106"/>
      <c r="DV204" s="106"/>
      <c r="DW204" s="106"/>
      <c r="DX204" s="106"/>
      <c r="DY204" s="106"/>
      <c r="DZ204" s="106"/>
      <c r="EA204" s="106"/>
      <c r="EB204" s="106"/>
      <c r="EC204" s="106"/>
      <c r="ED204" s="106"/>
      <c r="EE204" s="106"/>
      <c r="EF204" s="106"/>
      <c r="EG204" s="106"/>
      <c r="EH204" s="106"/>
      <c r="EI204" s="106"/>
    </row>
    <row r="205" spans="3:139" ht="15.75" customHeight="1" x14ac:dyDescent="0.25"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  <c r="CR205" s="106"/>
      <c r="CS205" s="106"/>
      <c r="CT205" s="106"/>
      <c r="CU205" s="106"/>
      <c r="CV205" s="106"/>
      <c r="CW205" s="106"/>
      <c r="CX205" s="106"/>
      <c r="CY205" s="106"/>
      <c r="CZ205" s="106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6"/>
      <c r="DL205" s="106"/>
      <c r="DM205" s="106"/>
      <c r="DN205" s="106"/>
      <c r="DO205" s="106"/>
      <c r="DP205" s="106"/>
      <c r="DQ205" s="106"/>
      <c r="DR205" s="106"/>
      <c r="DS205" s="106"/>
      <c r="DT205" s="106"/>
      <c r="DU205" s="106"/>
      <c r="DV205" s="106"/>
      <c r="DW205" s="106"/>
      <c r="DX205" s="106"/>
      <c r="DY205" s="106"/>
      <c r="DZ205" s="106"/>
      <c r="EA205" s="106"/>
      <c r="EB205" s="106"/>
      <c r="EC205" s="106"/>
      <c r="ED205" s="106"/>
      <c r="EE205" s="106"/>
      <c r="EF205" s="106"/>
      <c r="EG205" s="106"/>
      <c r="EH205" s="106"/>
      <c r="EI205" s="106"/>
    </row>
    <row r="206" spans="3:139" ht="15.75" customHeight="1" x14ac:dyDescent="0.25"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  <c r="CR206" s="106"/>
      <c r="CS206" s="106"/>
      <c r="CT206" s="106"/>
      <c r="CU206" s="106"/>
      <c r="CV206" s="106"/>
      <c r="CW206" s="106"/>
      <c r="CX206" s="106"/>
      <c r="CY206" s="106"/>
      <c r="CZ206" s="106"/>
      <c r="DA206" s="106"/>
      <c r="DB206" s="106"/>
      <c r="DC206" s="106"/>
      <c r="DD206" s="106"/>
      <c r="DE206" s="106"/>
      <c r="DF206" s="106"/>
      <c r="DG206" s="106"/>
      <c r="DH206" s="106"/>
      <c r="DI206" s="106"/>
      <c r="DJ206" s="106"/>
      <c r="DK206" s="106"/>
      <c r="DL206" s="106"/>
      <c r="DM206" s="106"/>
      <c r="DN206" s="106"/>
      <c r="DO206" s="106"/>
      <c r="DP206" s="106"/>
      <c r="DQ206" s="106"/>
      <c r="DR206" s="106"/>
      <c r="DS206" s="106"/>
      <c r="DT206" s="106"/>
      <c r="DU206" s="106"/>
      <c r="DV206" s="106"/>
      <c r="DW206" s="106"/>
      <c r="DX206" s="106"/>
      <c r="DY206" s="106"/>
      <c r="DZ206" s="106"/>
      <c r="EA206" s="106"/>
      <c r="EB206" s="106"/>
      <c r="EC206" s="106"/>
      <c r="ED206" s="106"/>
      <c r="EE206" s="106"/>
      <c r="EF206" s="106"/>
      <c r="EG206" s="106"/>
      <c r="EH206" s="106"/>
      <c r="EI206" s="106"/>
    </row>
    <row r="207" spans="3:139" ht="15.75" customHeight="1" x14ac:dyDescent="0.25"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  <c r="CR207" s="106"/>
      <c r="CS207" s="106"/>
      <c r="CT207" s="106"/>
      <c r="CU207" s="106"/>
      <c r="CV207" s="106"/>
      <c r="CW207" s="106"/>
      <c r="CX207" s="106"/>
      <c r="CY207" s="106"/>
      <c r="CZ207" s="106"/>
      <c r="DA207" s="106"/>
      <c r="DB207" s="106"/>
      <c r="DC207" s="106"/>
      <c r="DD207" s="106"/>
      <c r="DE207" s="106"/>
      <c r="DF207" s="106"/>
      <c r="DG207" s="106"/>
      <c r="DH207" s="106"/>
      <c r="DI207" s="106"/>
      <c r="DJ207" s="106"/>
      <c r="DK207" s="106"/>
      <c r="DL207" s="106"/>
      <c r="DM207" s="106"/>
      <c r="DN207" s="106"/>
      <c r="DO207" s="106"/>
      <c r="DP207" s="106"/>
      <c r="DQ207" s="106"/>
      <c r="DR207" s="106"/>
      <c r="DS207" s="106"/>
      <c r="DT207" s="106"/>
      <c r="DU207" s="106"/>
      <c r="DV207" s="106"/>
      <c r="DW207" s="106"/>
      <c r="DX207" s="106"/>
      <c r="DY207" s="106"/>
      <c r="DZ207" s="106"/>
      <c r="EA207" s="106"/>
      <c r="EB207" s="106"/>
      <c r="EC207" s="106"/>
      <c r="ED207" s="106"/>
      <c r="EE207" s="106"/>
      <c r="EF207" s="106"/>
      <c r="EG207" s="106"/>
      <c r="EH207" s="106"/>
      <c r="EI207" s="106"/>
    </row>
    <row r="208" spans="3:139" ht="15.75" customHeight="1" x14ac:dyDescent="0.25"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  <c r="CR208" s="106"/>
      <c r="CS208" s="106"/>
      <c r="CT208" s="106"/>
      <c r="CU208" s="106"/>
      <c r="CV208" s="106"/>
      <c r="CW208" s="106"/>
      <c r="CX208" s="106"/>
      <c r="CY208" s="106"/>
      <c r="CZ208" s="106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6"/>
      <c r="DL208" s="106"/>
      <c r="DM208" s="106"/>
      <c r="DN208" s="106"/>
      <c r="DO208" s="106"/>
      <c r="DP208" s="106"/>
      <c r="DQ208" s="106"/>
      <c r="DR208" s="106"/>
      <c r="DS208" s="106"/>
      <c r="DT208" s="106"/>
      <c r="DU208" s="106"/>
      <c r="DV208" s="106"/>
      <c r="DW208" s="106"/>
      <c r="DX208" s="106"/>
      <c r="DY208" s="106"/>
      <c r="DZ208" s="106"/>
      <c r="EA208" s="106"/>
      <c r="EB208" s="106"/>
      <c r="EC208" s="106"/>
      <c r="ED208" s="106"/>
      <c r="EE208" s="106"/>
      <c r="EF208" s="106"/>
      <c r="EG208" s="106"/>
      <c r="EH208" s="106"/>
      <c r="EI208" s="106"/>
    </row>
    <row r="209" spans="3:139" ht="15.75" customHeight="1" x14ac:dyDescent="0.25"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  <c r="CZ209" s="106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6"/>
      <c r="DL209" s="106"/>
      <c r="DM209" s="106"/>
      <c r="DN209" s="106"/>
      <c r="DO209" s="106"/>
      <c r="DP209" s="106"/>
      <c r="DQ209" s="106"/>
      <c r="DR209" s="106"/>
      <c r="DS209" s="106"/>
      <c r="DT209" s="106"/>
      <c r="DU209" s="106"/>
      <c r="DV209" s="106"/>
      <c r="DW209" s="106"/>
      <c r="DX209" s="106"/>
      <c r="DY209" s="106"/>
      <c r="DZ209" s="106"/>
      <c r="EA209" s="106"/>
      <c r="EB209" s="106"/>
      <c r="EC209" s="106"/>
      <c r="ED209" s="106"/>
      <c r="EE209" s="106"/>
      <c r="EF209" s="106"/>
      <c r="EG209" s="106"/>
      <c r="EH209" s="106"/>
      <c r="EI209" s="106"/>
    </row>
    <row r="210" spans="3:139" ht="15.75" customHeight="1" x14ac:dyDescent="0.25"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  <c r="CZ210" s="106"/>
      <c r="DA210" s="106"/>
      <c r="DB210" s="106"/>
      <c r="DC210" s="106"/>
      <c r="DD210" s="106"/>
      <c r="DE210" s="106"/>
      <c r="DF210" s="106"/>
      <c r="DG210" s="106"/>
      <c r="DH210" s="106"/>
      <c r="DI210" s="106"/>
      <c r="DJ210" s="106"/>
      <c r="DK210" s="106"/>
      <c r="DL210" s="106"/>
      <c r="DM210" s="106"/>
      <c r="DN210" s="106"/>
      <c r="DO210" s="106"/>
      <c r="DP210" s="106"/>
      <c r="DQ210" s="106"/>
      <c r="DR210" s="106"/>
      <c r="DS210" s="106"/>
      <c r="DT210" s="106"/>
      <c r="DU210" s="106"/>
      <c r="DV210" s="106"/>
      <c r="DW210" s="106"/>
      <c r="DX210" s="106"/>
      <c r="DY210" s="106"/>
      <c r="DZ210" s="106"/>
      <c r="EA210" s="106"/>
      <c r="EB210" s="106"/>
      <c r="EC210" s="106"/>
      <c r="ED210" s="106"/>
      <c r="EE210" s="106"/>
      <c r="EF210" s="106"/>
      <c r="EG210" s="106"/>
      <c r="EH210" s="106"/>
      <c r="EI210" s="106"/>
    </row>
    <row r="211" spans="3:139" ht="15.75" customHeight="1" x14ac:dyDescent="0.25"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  <c r="CZ211" s="106"/>
      <c r="DA211" s="106"/>
      <c r="DB211" s="106"/>
      <c r="DC211" s="106"/>
      <c r="DD211" s="106"/>
      <c r="DE211" s="106"/>
      <c r="DF211" s="106"/>
      <c r="DG211" s="106"/>
      <c r="DH211" s="106"/>
      <c r="DI211" s="106"/>
      <c r="DJ211" s="106"/>
      <c r="DK211" s="106"/>
      <c r="DL211" s="106"/>
      <c r="DM211" s="106"/>
      <c r="DN211" s="106"/>
      <c r="DO211" s="106"/>
      <c r="DP211" s="106"/>
      <c r="DQ211" s="106"/>
      <c r="DR211" s="106"/>
      <c r="DS211" s="106"/>
      <c r="DT211" s="106"/>
      <c r="DU211" s="106"/>
      <c r="DV211" s="106"/>
      <c r="DW211" s="106"/>
      <c r="DX211" s="106"/>
      <c r="DY211" s="106"/>
      <c r="DZ211" s="106"/>
      <c r="EA211" s="106"/>
      <c r="EB211" s="106"/>
      <c r="EC211" s="106"/>
      <c r="ED211" s="106"/>
      <c r="EE211" s="106"/>
      <c r="EF211" s="106"/>
      <c r="EG211" s="106"/>
      <c r="EH211" s="106"/>
      <c r="EI211" s="106"/>
    </row>
    <row r="212" spans="3:139" ht="15.75" customHeight="1" x14ac:dyDescent="0.25"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  <c r="CR212" s="106"/>
      <c r="CS212" s="106"/>
      <c r="CT212" s="106"/>
      <c r="CU212" s="106"/>
      <c r="CV212" s="106"/>
      <c r="CW212" s="106"/>
      <c r="CX212" s="106"/>
      <c r="CY212" s="106"/>
      <c r="CZ212" s="106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6"/>
      <c r="DL212" s="106"/>
      <c r="DM212" s="106"/>
      <c r="DN212" s="106"/>
      <c r="DO212" s="106"/>
      <c r="DP212" s="106"/>
      <c r="DQ212" s="106"/>
      <c r="DR212" s="106"/>
      <c r="DS212" s="106"/>
      <c r="DT212" s="106"/>
      <c r="DU212" s="106"/>
      <c r="DV212" s="106"/>
      <c r="DW212" s="106"/>
      <c r="DX212" s="106"/>
      <c r="DY212" s="106"/>
      <c r="DZ212" s="106"/>
      <c r="EA212" s="106"/>
      <c r="EB212" s="106"/>
      <c r="EC212" s="106"/>
      <c r="ED212" s="106"/>
      <c r="EE212" s="106"/>
      <c r="EF212" s="106"/>
      <c r="EG212" s="106"/>
      <c r="EH212" s="106"/>
      <c r="EI212" s="106"/>
    </row>
    <row r="213" spans="3:139" ht="15.75" customHeight="1" x14ac:dyDescent="0.25"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  <c r="CR213" s="106"/>
      <c r="CS213" s="106"/>
      <c r="CT213" s="106"/>
      <c r="CU213" s="106"/>
      <c r="CV213" s="106"/>
      <c r="CW213" s="106"/>
      <c r="CX213" s="106"/>
      <c r="CY213" s="106"/>
      <c r="CZ213" s="106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6"/>
      <c r="DL213" s="106"/>
      <c r="DM213" s="106"/>
      <c r="DN213" s="106"/>
      <c r="DO213" s="106"/>
      <c r="DP213" s="106"/>
      <c r="DQ213" s="106"/>
      <c r="DR213" s="106"/>
      <c r="DS213" s="106"/>
      <c r="DT213" s="106"/>
      <c r="DU213" s="106"/>
      <c r="DV213" s="106"/>
      <c r="DW213" s="106"/>
      <c r="DX213" s="106"/>
      <c r="DY213" s="106"/>
      <c r="DZ213" s="106"/>
      <c r="EA213" s="106"/>
      <c r="EB213" s="106"/>
      <c r="EC213" s="106"/>
      <c r="ED213" s="106"/>
      <c r="EE213" s="106"/>
      <c r="EF213" s="106"/>
      <c r="EG213" s="106"/>
      <c r="EH213" s="106"/>
      <c r="EI213" s="106"/>
    </row>
    <row r="214" spans="3:139" ht="15.75" customHeight="1" x14ac:dyDescent="0.25"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  <c r="CZ214" s="106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6"/>
      <c r="DL214" s="106"/>
      <c r="DM214" s="106"/>
      <c r="DN214" s="106"/>
      <c r="DO214" s="106"/>
      <c r="DP214" s="106"/>
      <c r="DQ214" s="106"/>
      <c r="DR214" s="106"/>
      <c r="DS214" s="106"/>
      <c r="DT214" s="106"/>
      <c r="DU214" s="106"/>
      <c r="DV214" s="106"/>
      <c r="DW214" s="106"/>
      <c r="DX214" s="106"/>
      <c r="DY214" s="106"/>
      <c r="DZ214" s="106"/>
      <c r="EA214" s="106"/>
      <c r="EB214" s="106"/>
      <c r="EC214" s="106"/>
      <c r="ED214" s="106"/>
      <c r="EE214" s="106"/>
      <c r="EF214" s="106"/>
      <c r="EG214" s="106"/>
      <c r="EH214" s="106"/>
      <c r="EI214" s="106"/>
    </row>
    <row r="215" spans="3:139" ht="15.75" customHeight="1" x14ac:dyDescent="0.25"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  <c r="CZ215" s="106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6"/>
      <c r="DL215" s="106"/>
      <c r="DM215" s="106"/>
      <c r="DN215" s="106"/>
      <c r="DO215" s="106"/>
      <c r="DP215" s="106"/>
      <c r="DQ215" s="106"/>
      <c r="DR215" s="106"/>
      <c r="DS215" s="106"/>
      <c r="DT215" s="106"/>
      <c r="DU215" s="106"/>
      <c r="DV215" s="106"/>
      <c r="DW215" s="106"/>
      <c r="DX215" s="106"/>
      <c r="DY215" s="106"/>
      <c r="DZ215" s="106"/>
      <c r="EA215" s="106"/>
      <c r="EB215" s="106"/>
      <c r="EC215" s="106"/>
      <c r="ED215" s="106"/>
      <c r="EE215" s="106"/>
      <c r="EF215" s="106"/>
      <c r="EG215" s="106"/>
      <c r="EH215" s="106"/>
      <c r="EI215" s="106"/>
    </row>
    <row r="216" spans="3:139" ht="15.75" customHeight="1" x14ac:dyDescent="0.25"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  <c r="CZ216" s="106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6"/>
      <c r="DL216" s="106"/>
      <c r="DM216" s="106"/>
      <c r="DN216" s="106"/>
      <c r="DO216" s="106"/>
      <c r="DP216" s="106"/>
      <c r="DQ216" s="106"/>
      <c r="DR216" s="106"/>
      <c r="DS216" s="106"/>
      <c r="DT216" s="106"/>
      <c r="DU216" s="106"/>
      <c r="DV216" s="106"/>
      <c r="DW216" s="106"/>
      <c r="DX216" s="106"/>
      <c r="DY216" s="106"/>
      <c r="DZ216" s="106"/>
      <c r="EA216" s="106"/>
      <c r="EB216" s="106"/>
      <c r="EC216" s="106"/>
      <c r="ED216" s="106"/>
      <c r="EE216" s="106"/>
      <c r="EF216" s="106"/>
      <c r="EG216" s="106"/>
      <c r="EH216" s="106"/>
      <c r="EI216" s="106"/>
    </row>
    <row r="217" spans="3:139" ht="15.75" customHeight="1" x14ac:dyDescent="0.25"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  <c r="DF217" s="106"/>
      <c r="DG217" s="106"/>
      <c r="DH217" s="106"/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S217" s="106"/>
      <c r="DT217" s="106"/>
      <c r="DU217" s="106"/>
      <c r="DV217" s="106"/>
      <c r="DW217" s="106"/>
      <c r="DX217" s="106"/>
      <c r="DY217" s="106"/>
      <c r="DZ217" s="106"/>
      <c r="EA217" s="106"/>
      <c r="EB217" s="106"/>
      <c r="EC217" s="106"/>
      <c r="ED217" s="106"/>
      <c r="EE217" s="106"/>
      <c r="EF217" s="106"/>
      <c r="EG217" s="106"/>
      <c r="EH217" s="106"/>
      <c r="EI217" s="106"/>
    </row>
    <row r="218" spans="3:139" ht="15.75" customHeight="1" x14ac:dyDescent="0.25"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  <c r="CZ218" s="106"/>
      <c r="DA218" s="106"/>
      <c r="DB218" s="106"/>
      <c r="DC218" s="106"/>
      <c r="DD218" s="106"/>
      <c r="DE218" s="106"/>
      <c r="DF218" s="106"/>
      <c r="DG218" s="106"/>
      <c r="DH218" s="106"/>
      <c r="DI218" s="106"/>
      <c r="DJ218" s="106"/>
      <c r="DK218" s="106"/>
      <c r="DL218" s="106"/>
      <c r="DM218" s="106"/>
      <c r="DN218" s="106"/>
      <c r="DO218" s="106"/>
      <c r="DP218" s="106"/>
      <c r="DQ218" s="106"/>
      <c r="DR218" s="106"/>
      <c r="DS218" s="106"/>
      <c r="DT218" s="106"/>
      <c r="DU218" s="106"/>
      <c r="DV218" s="106"/>
      <c r="DW218" s="106"/>
      <c r="DX218" s="106"/>
      <c r="DY218" s="106"/>
      <c r="DZ218" s="106"/>
      <c r="EA218" s="106"/>
      <c r="EB218" s="106"/>
      <c r="EC218" s="106"/>
      <c r="ED218" s="106"/>
      <c r="EE218" s="106"/>
      <c r="EF218" s="106"/>
      <c r="EG218" s="106"/>
      <c r="EH218" s="106"/>
      <c r="EI218" s="106"/>
    </row>
    <row r="219" spans="3:139" ht="15.75" customHeight="1" x14ac:dyDescent="0.25"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  <c r="CZ219" s="106"/>
      <c r="DA219" s="106"/>
      <c r="DB219" s="106"/>
      <c r="DC219" s="106"/>
      <c r="DD219" s="106"/>
      <c r="DE219" s="106"/>
      <c r="DF219" s="106"/>
      <c r="DG219" s="106"/>
      <c r="DH219" s="106"/>
      <c r="DI219" s="106"/>
      <c r="DJ219" s="106"/>
      <c r="DK219" s="106"/>
      <c r="DL219" s="106"/>
      <c r="DM219" s="106"/>
      <c r="DN219" s="106"/>
      <c r="DO219" s="106"/>
      <c r="DP219" s="106"/>
      <c r="DQ219" s="106"/>
      <c r="DR219" s="106"/>
      <c r="DS219" s="106"/>
      <c r="DT219" s="106"/>
      <c r="DU219" s="106"/>
      <c r="DV219" s="106"/>
      <c r="DW219" s="106"/>
      <c r="DX219" s="106"/>
      <c r="DY219" s="106"/>
      <c r="DZ219" s="106"/>
      <c r="EA219" s="106"/>
      <c r="EB219" s="106"/>
      <c r="EC219" s="106"/>
      <c r="ED219" s="106"/>
      <c r="EE219" s="106"/>
      <c r="EF219" s="106"/>
      <c r="EG219" s="106"/>
      <c r="EH219" s="106"/>
      <c r="EI219" s="106"/>
    </row>
    <row r="220" spans="3:139" ht="15.75" customHeight="1" x14ac:dyDescent="0.25"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  <c r="CZ220" s="106"/>
      <c r="DA220" s="106"/>
      <c r="DB220" s="106"/>
      <c r="DC220" s="106"/>
      <c r="DD220" s="106"/>
      <c r="DE220" s="106"/>
      <c r="DF220" s="106"/>
      <c r="DG220" s="106"/>
      <c r="DH220" s="106"/>
      <c r="DI220" s="106"/>
      <c r="DJ220" s="106"/>
      <c r="DK220" s="106"/>
      <c r="DL220" s="106"/>
      <c r="DM220" s="106"/>
      <c r="DN220" s="106"/>
      <c r="DO220" s="106"/>
      <c r="DP220" s="106"/>
      <c r="DQ220" s="106"/>
      <c r="DR220" s="106"/>
      <c r="DS220" s="106"/>
      <c r="DT220" s="106"/>
      <c r="DU220" s="106"/>
      <c r="DV220" s="106"/>
      <c r="DW220" s="106"/>
      <c r="DX220" s="106"/>
      <c r="DY220" s="106"/>
      <c r="DZ220" s="106"/>
      <c r="EA220" s="106"/>
      <c r="EB220" s="106"/>
      <c r="EC220" s="106"/>
      <c r="ED220" s="106"/>
      <c r="EE220" s="106"/>
      <c r="EF220" s="106"/>
      <c r="EG220" s="106"/>
      <c r="EH220" s="106"/>
      <c r="EI220" s="106"/>
    </row>
    <row r="221" spans="3:139" ht="15.75" customHeight="1" x14ac:dyDescent="0.25"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  <c r="CZ221" s="106"/>
      <c r="DA221" s="106"/>
      <c r="DB221" s="106"/>
      <c r="DC221" s="106"/>
      <c r="DD221" s="106"/>
      <c r="DE221" s="106"/>
      <c r="DF221" s="106"/>
      <c r="DG221" s="106"/>
      <c r="DH221" s="106"/>
      <c r="DI221" s="106"/>
      <c r="DJ221" s="106"/>
      <c r="DK221" s="106"/>
      <c r="DL221" s="106"/>
      <c r="DM221" s="106"/>
      <c r="DN221" s="106"/>
      <c r="DO221" s="106"/>
      <c r="DP221" s="106"/>
      <c r="DQ221" s="106"/>
      <c r="DR221" s="106"/>
      <c r="DS221" s="106"/>
      <c r="DT221" s="106"/>
      <c r="DU221" s="106"/>
      <c r="DV221" s="106"/>
      <c r="DW221" s="106"/>
      <c r="DX221" s="106"/>
      <c r="DY221" s="106"/>
      <c r="DZ221" s="106"/>
      <c r="EA221" s="106"/>
      <c r="EB221" s="106"/>
      <c r="EC221" s="106"/>
      <c r="ED221" s="106"/>
      <c r="EE221" s="106"/>
      <c r="EF221" s="106"/>
      <c r="EG221" s="106"/>
      <c r="EH221" s="106"/>
      <c r="EI221" s="106"/>
    </row>
    <row r="222" spans="3:139" ht="15.75" customHeight="1" x14ac:dyDescent="0.25"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  <c r="CZ222" s="106"/>
      <c r="DA222" s="106"/>
      <c r="DB222" s="106"/>
      <c r="DC222" s="106"/>
      <c r="DD222" s="106"/>
      <c r="DE222" s="106"/>
      <c r="DF222" s="106"/>
      <c r="DG222" s="106"/>
      <c r="DH222" s="106"/>
      <c r="DI222" s="106"/>
      <c r="DJ222" s="106"/>
      <c r="DK222" s="106"/>
      <c r="DL222" s="106"/>
      <c r="DM222" s="106"/>
      <c r="DN222" s="106"/>
      <c r="DO222" s="106"/>
      <c r="DP222" s="106"/>
      <c r="DQ222" s="106"/>
      <c r="DR222" s="106"/>
      <c r="DS222" s="106"/>
      <c r="DT222" s="106"/>
      <c r="DU222" s="106"/>
      <c r="DV222" s="106"/>
      <c r="DW222" s="106"/>
      <c r="DX222" s="106"/>
      <c r="DY222" s="106"/>
      <c r="DZ222" s="106"/>
      <c r="EA222" s="106"/>
      <c r="EB222" s="106"/>
      <c r="EC222" s="106"/>
      <c r="ED222" s="106"/>
      <c r="EE222" s="106"/>
      <c r="EF222" s="106"/>
      <c r="EG222" s="106"/>
      <c r="EH222" s="106"/>
      <c r="EI222" s="106"/>
    </row>
    <row r="223" spans="3:139" ht="15.75" customHeight="1" x14ac:dyDescent="0.25"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  <c r="CZ223" s="106"/>
      <c r="DA223" s="106"/>
      <c r="DB223" s="106"/>
      <c r="DC223" s="106"/>
      <c r="DD223" s="106"/>
      <c r="DE223" s="106"/>
      <c r="DF223" s="106"/>
      <c r="DG223" s="106"/>
      <c r="DH223" s="106"/>
      <c r="DI223" s="106"/>
      <c r="DJ223" s="106"/>
      <c r="DK223" s="106"/>
      <c r="DL223" s="106"/>
      <c r="DM223" s="106"/>
      <c r="DN223" s="106"/>
      <c r="DO223" s="106"/>
      <c r="DP223" s="106"/>
      <c r="DQ223" s="106"/>
      <c r="DR223" s="106"/>
      <c r="DS223" s="106"/>
      <c r="DT223" s="106"/>
      <c r="DU223" s="106"/>
      <c r="DV223" s="106"/>
      <c r="DW223" s="106"/>
      <c r="DX223" s="106"/>
      <c r="DY223" s="106"/>
      <c r="DZ223" s="106"/>
      <c r="EA223" s="106"/>
      <c r="EB223" s="106"/>
      <c r="EC223" s="106"/>
      <c r="ED223" s="106"/>
      <c r="EE223" s="106"/>
      <c r="EF223" s="106"/>
      <c r="EG223" s="106"/>
      <c r="EH223" s="106"/>
      <c r="EI223" s="106"/>
    </row>
    <row r="224" spans="3:139" ht="15.75" customHeight="1" x14ac:dyDescent="0.25"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  <c r="CZ224" s="106"/>
      <c r="DA224" s="106"/>
      <c r="DB224" s="106"/>
      <c r="DC224" s="106"/>
      <c r="DD224" s="106"/>
      <c r="DE224" s="106"/>
      <c r="DF224" s="106"/>
      <c r="DG224" s="106"/>
      <c r="DH224" s="106"/>
      <c r="DI224" s="106"/>
      <c r="DJ224" s="106"/>
      <c r="DK224" s="106"/>
      <c r="DL224" s="106"/>
      <c r="DM224" s="106"/>
      <c r="DN224" s="106"/>
      <c r="DO224" s="106"/>
      <c r="DP224" s="106"/>
      <c r="DQ224" s="106"/>
      <c r="DR224" s="106"/>
      <c r="DS224" s="106"/>
      <c r="DT224" s="106"/>
      <c r="DU224" s="106"/>
      <c r="DV224" s="106"/>
      <c r="DW224" s="106"/>
      <c r="DX224" s="106"/>
      <c r="DY224" s="106"/>
      <c r="DZ224" s="106"/>
      <c r="EA224" s="106"/>
      <c r="EB224" s="106"/>
      <c r="EC224" s="106"/>
      <c r="ED224" s="106"/>
      <c r="EE224" s="106"/>
      <c r="EF224" s="106"/>
      <c r="EG224" s="106"/>
      <c r="EH224" s="106"/>
      <c r="EI224" s="106"/>
    </row>
    <row r="225" spans="3:139" ht="15.75" customHeight="1" x14ac:dyDescent="0.25"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  <c r="CZ225" s="106"/>
      <c r="DA225" s="106"/>
      <c r="DB225" s="106"/>
      <c r="DC225" s="106"/>
      <c r="DD225" s="106"/>
      <c r="DE225" s="106"/>
      <c r="DF225" s="106"/>
      <c r="DG225" s="106"/>
      <c r="DH225" s="106"/>
      <c r="DI225" s="106"/>
      <c r="DJ225" s="106"/>
      <c r="DK225" s="106"/>
      <c r="DL225" s="106"/>
      <c r="DM225" s="106"/>
      <c r="DN225" s="106"/>
      <c r="DO225" s="106"/>
      <c r="DP225" s="106"/>
      <c r="DQ225" s="106"/>
      <c r="DR225" s="106"/>
      <c r="DS225" s="106"/>
      <c r="DT225" s="106"/>
      <c r="DU225" s="106"/>
      <c r="DV225" s="106"/>
      <c r="DW225" s="106"/>
      <c r="DX225" s="106"/>
      <c r="DY225" s="106"/>
      <c r="DZ225" s="106"/>
      <c r="EA225" s="106"/>
      <c r="EB225" s="106"/>
      <c r="EC225" s="106"/>
      <c r="ED225" s="106"/>
      <c r="EE225" s="106"/>
      <c r="EF225" s="106"/>
      <c r="EG225" s="106"/>
      <c r="EH225" s="106"/>
      <c r="EI225" s="106"/>
    </row>
    <row r="226" spans="3:139" ht="15.75" customHeight="1" x14ac:dyDescent="0.25"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  <c r="CZ226" s="106"/>
      <c r="DA226" s="106"/>
      <c r="DB226" s="106"/>
      <c r="DC226" s="106"/>
      <c r="DD226" s="106"/>
      <c r="DE226" s="106"/>
      <c r="DF226" s="106"/>
      <c r="DG226" s="106"/>
      <c r="DH226" s="106"/>
      <c r="DI226" s="106"/>
      <c r="DJ226" s="106"/>
      <c r="DK226" s="106"/>
      <c r="DL226" s="106"/>
      <c r="DM226" s="106"/>
      <c r="DN226" s="106"/>
      <c r="DO226" s="106"/>
      <c r="DP226" s="106"/>
      <c r="DQ226" s="106"/>
      <c r="DR226" s="106"/>
      <c r="DS226" s="106"/>
      <c r="DT226" s="106"/>
      <c r="DU226" s="106"/>
      <c r="DV226" s="106"/>
      <c r="DW226" s="106"/>
      <c r="DX226" s="106"/>
      <c r="DY226" s="106"/>
      <c r="DZ226" s="106"/>
      <c r="EA226" s="106"/>
      <c r="EB226" s="106"/>
      <c r="EC226" s="106"/>
      <c r="ED226" s="106"/>
      <c r="EE226" s="106"/>
      <c r="EF226" s="106"/>
      <c r="EG226" s="106"/>
      <c r="EH226" s="106"/>
      <c r="EI226" s="106"/>
    </row>
    <row r="227" spans="3:139" ht="15.75" customHeight="1" x14ac:dyDescent="0.25"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  <c r="CZ227" s="106"/>
      <c r="DA227" s="106"/>
      <c r="DB227" s="106"/>
      <c r="DC227" s="106"/>
      <c r="DD227" s="106"/>
      <c r="DE227" s="106"/>
      <c r="DF227" s="106"/>
      <c r="DG227" s="106"/>
      <c r="DH227" s="106"/>
      <c r="DI227" s="106"/>
      <c r="DJ227" s="106"/>
      <c r="DK227" s="106"/>
      <c r="DL227" s="106"/>
      <c r="DM227" s="106"/>
      <c r="DN227" s="106"/>
      <c r="DO227" s="106"/>
      <c r="DP227" s="106"/>
      <c r="DQ227" s="106"/>
      <c r="DR227" s="106"/>
      <c r="DS227" s="106"/>
      <c r="DT227" s="106"/>
      <c r="DU227" s="106"/>
      <c r="DV227" s="106"/>
      <c r="DW227" s="106"/>
      <c r="DX227" s="106"/>
      <c r="DY227" s="106"/>
      <c r="DZ227" s="106"/>
      <c r="EA227" s="106"/>
      <c r="EB227" s="106"/>
      <c r="EC227" s="106"/>
      <c r="ED227" s="106"/>
      <c r="EE227" s="106"/>
      <c r="EF227" s="106"/>
      <c r="EG227" s="106"/>
      <c r="EH227" s="106"/>
      <c r="EI227" s="106"/>
    </row>
    <row r="228" spans="3:139" ht="15.75" customHeight="1" x14ac:dyDescent="0.25"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  <c r="CZ228" s="106"/>
      <c r="DA228" s="106"/>
      <c r="DB228" s="106"/>
      <c r="DC228" s="106"/>
      <c r="DD228" s="106"/>
      <c r="DE228" s="106"/>
      <c r="DF228" s="106"/>
      <c r="DG228" s="106"/>
      <c r="DH228" s="106"/>
      <c r="DI228" s="106"/>
      <c r="DJ228" s="106"/>
      <c r="DK228" s="106"/>
      <c r="DL228" s="106"/>
      <c r="DM228" s="106"/>
      <c r="DN228" s="106"/>
      <c r="DO228" s="106"/>
      <c r="DP228" s="106"/>
      <c r="DQ228" s="106"/>
      <c r="DR228" s="106"/>
      <c r="DS228" s="106"/>
      <c r="DT228" s="106"/>
      <c r="DU228" s="106"/>
      <c r="DV228" s="106"/>
      <c r="DW228" s="106"/>
      <c r="DX228" s="106"/>
      <c r="DY228" s="106"/>
      <c r="DZ228" s="106"/>
      <c r="EA228" s="106"/>
      <c r="EB228" s="106"/>
      <c r="EC228" s="106"/>
      <c r="ED228" s="106"/>
      <c r="EE228" s="106"/>
      <c r="EF228" s="106"/>
      <c r="EG228" s="106"/>
      <c r="EH228" s="106"/>
      <c r="EI228" s="106"/>
    </row>
    <row r="229" spans="3:139" ht="15.75" customHeight="1" x14ac:dyDescent="0.25"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  <c r="CZ229" s="106"/>
      <c r="DA229" s="106"/>
      <c r="DB229" s="106"/>
      <c r="DC229" s="106"/>
      <c r="DD229" s="106"/>
      <c r="DE229" s="106"/>
      <c r="DF229" s="106"/>
      <c r="DG229" s="106"/>
      <c r="DH229" s="106"/>
      <c r="DI229" s="106"/>
      <c r="DJ229" s="106"/>
      <c r="DK229" s="106"/>
      <c r="DL229" s="106"/>
      <c r="DM229" s="106"/>
      <c r="DN229" s="106"/>
      <c r="DO229" s="106"/>
      <c r="DP229" s="106"/>
      <c r="DQ229" s="106"/>
      <c r="DR229" s="106"/>
      <c r="DS229" s="106"/>
      <c r="DT229" s="106"/>
      <c r="DU229" s="106"/>
      <c r="DV229" s="106"/>
      <c r="DW229" s="106"/>
      <c r="DX229" s="106"/>
      <c r="DY229" s="106"/>
      <c r="DZ229" s="106"/>
      <c r="EA229" s="106"/>
      <c r="EB229" s="106"/>
      <c r="EC229" s="106"/>
      <c r="ED229" s="106"/>
      <c r="EE229" s="106"/>
      <c r="EF229" s="106"/>
      <c r="EG229" s="106"/>
      <c r="EH229" s="106"/>
      <c r="EI229" s="106"/>
    </row>
    <row r="230" spans="3:139" ht="15.75" customHeight="1" x14ac:dyDescent="0.25"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  <c r="CZ230" s="106"/>
      <c r="DA230" s="106"/>
      <c r="DB230" s="106"/>
      <c r="DC230" s="106"/>
      <c r="DD230" s="106"/>
      <c r="DE230" s="106"/>
      <c r="DF230" s="106"/>
      <c r="DG230" s="106"/>
      <c r="DH230" s="106"/>
      <c r="DI230" s="106"/>
      <c r="DJ230" s="106"/>
      <c r="DK230" s="106"/>
      <c r="DL230" s="106"/>
      <c r="DM230" s="106"/>
      <c r="DN230" s="106"/>
      <c r="DO230" s="106"/>
      <c r="DP230" s="106"/>
      <c r="DQ230" s="106"/>
      <c r="DR230" s="106"/>
      <c r="DS230" s="106"/>
      <c r="DT230" s="106"/>
      <c r="DU230" s="106"/>
      <c r="DV230" s="106"/>
      <c r="DW230" s="106"/>
      <c r="DX230" s="106"/>
      <c r="DY230" s="106"/>
      <c r="DZ230" s="106"/>
      <c r="EA230" s="106"/>
      <c r="EB230" s="106"/>
      <c r="EC230" s="106"/>
      <c r="ED230" s="106"/>
      <c r="EE230" s="106"/>
      <c r="EF230" s="106"/>
      <c r="EG230" s="106"/>
      <c r="EH230" s="106"/>
      <c r="EI230" s="106"/>
    </row>
    <row r="231" spans="3:139" ht="15.75" customHeight="1" x14ac:dyDescent="0.25"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  <c r="CZ231" s="106"/>
      <c r="DA231" s="106"/>
      <c r="DB231" s="106"/>
      <c r="DC231" s="106"/>
      <c r="DD231" s="106"/>
      <c r="DE231" s="106"/>
      <c r="DF231" s="106"/>
      <c r="DG231" s="106"/>
      <c r="DH231" s="106"/>
      <c r="DI231" s="106"/>
      <c r="DJ231" s="106"/>
      <c r="DK231" s="106"/>
      <c r="DL231" s="106"/>
      <c r="DM231" s="106"/>
      <c r="DN231" s="106"/>
      <c r="DO231" s="106"/>
      <c r="DP231" s="106"/>
      <c r="DQ231" s="106"/>
      <c r="DR231" s="106"/>
      <c r="DS231" s="106"/>
      <c r="DT231" s="106"/>
      <c r="DU231" s="106"/>
      <c r="DV231" s="106"/>
      <c r="DW231" s="106"/>
      <c r="DX231" s="106"/>
      <c r="DY231" s="106"/>
      <c r="DZ231" s="106"/>
      <c r="EA231" s="106"/>
      <c r="EB231" s="106"/>
      <c r="EC231" s="106"/>
      <c r="ED231" s="106"/>
      <c r="EE231" s="106"/>
      <c r="EF231" s="106"/>
      <c r="EG231" s="106"/>
      <c r="EH231" s="106"/>
      <c r="EI231" s="106"/>
    </row>
    <row r="232" spans="3:139" ht="15.75" customHeight="1" x14ac:dyDescent="0.25"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  <c r="DF232" s="106"/>
      <c r="DG232" s="106"/>
      <c r="DH232" s="106"/>
      <c r="DI232" s="106"/>
      <c r="DJ232" s="106"/>
      <c r="DK232" s="106"/>
      <c r="DL232" s="106"/>
      <c r="DM232" s="106"/>
      <c r="DN232" s="106"/>
      <c r="DO232" s="106"/>
      <c r="DP232" s="106"/>
      <c r="DQ232" s="106"/>
      <c r="DR232" s="106"/>
      <c r="DS232" s="106"/>
      <c r="DT232" s="106"/>
      <c r="DU232" s="106"/>
      <c r="DV232" s="106"/>
      <c r="DW232" s="106"/>
      <c r="DX232" s="106"/>
      <c r="DY232" s="106"/>
      <c r="DZ232" s="106"/>
      <c r="EA232" s="106"/>
      <c r="EB232" s="106"/>
      <c r="EC232" s="106"/>
      <c r="ED232" s="106"/>
      <c r="EE232" s="106"/>
      <c r="EF232" s="106"/>
      <c r="EG232" s="106"/>
      <c r="EH232" s="106"/>
      <c r="EI232" s="106"/>
    </row>
    <row r="233" spans="3:139" ht="15.75" customHeight="1" x14ac:dyDescent="0.25"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  <c r="CZ233" s="106"/>
      <c r="DA233" s="106"/>
      <c r="DB233" s="106"/>
      <c r="DC233" s="106"/>
      <c r="DD233" s="106"/>
      <c r="DE233" s="106"/>
      <c r="DF233" s="106"/>
      <c r="DG233" s="106"/>
      <c r="DH233" s="106"/>
      <c r="DI233" s="106"/>
      <c r="DJ233" s="106"/>
      <c r="DK233" s="106"/>
      <c r="DL233" s="106"/>
      <c r="DM233" s="106"/>
      <c r="DN233" s="106"/>
      <c r="DO233" s="106"/>
      <c r="DP233" s="106"/>
      <c r="DQ233" s="106"/>
      <c r="DR233" s="106"/>
      <c r="DS233" s="106"/>
      <c r="DT233" s="106"/>
      <c r="DU233" s="106"/>
      <c r="DV233" s="106"/>
      <c r="DW233" s="106"/>
      <c r="DX233" s="106"/>
      <c r="DY233" s="106"/>
      <c r="DZ233" s="106"/>
      <c r="EA233" s="106"/>
      <c r="EB233" s="106"/>
      <c r="EC233" s="106"/>
      <c r="ED233" s="106"/>
      <c r="EE233" s="106"/>
      <c r="EF233" s="106"/>
      <c r="EG233" s="106"/>
      <c r="EH233" s="106"/>
      <c r="EI233" s="106"/>
    </row>
    <row r="234" spans="3:139" ht="15.75" customHeight="1" x14ac:dyDescent="0.25"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  <c r="CZ234" s="106"/>
      <c r="DA234" s="106"/>
      <c r="DB234" s="106"/>
      <c r="DC234" s="106"/>
      <c r="DD234" s="106"/>
      <c r="DE234" s="106"/>
      <c r="DF234" s="106"/>
      <c r="DG234" s="106"/>
      <c r="DH234" s="106"/>
      <c r="DI234" s="106"/>
      <c r="DJ234" s="106"/>
      <c r="DK234" s="106"/>
      <c r="DL234" s="106"/>
      <c r="DM234" s="106"/>
      <c r="DN234" s="106"/>
      <c r="DO234" s="106"/>
      <c r="DP234" s="106"/>
      <c r="DQ234" s="106"/>
      <c r="DR234" s="106"/>
      <c r="DS234" s="106"/>
      <c r="DT234" s="106"/>
      <c r="DU234" s="106"/>
      <c r="DV234" s="106"/>
      <c r="DW234" s="106"/>
      <c r="DX234" s="106"/>
      <c r="DY234" s="106"/>
      <c r="DZ234" s="106"/>
      <c r="EA234" s="106"/>
      <c r="EB234" s="106"/>
      <c r="EC234" s="106"/>
      <c r="ED234" s="106"/>
      <c r="EE234" s="106"/>
      <c r="EF234" s="106"/>
      <c r="EG234" s="106"/>
      <c r="EH234" s="106"/>
      <c r="EI234" s="106"/>
    </row>
    <row r="235" spans="3:139" ht="15.75" customHeight="1" x14ac:dyDescent="0.25"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06"/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S235" s="106"/>
      <c r="DT235" s="106"/>
      <c r="DU235" s="106"/>
      <c r="DV235" s="106"/>
      <c r="DW235" s="106"/>
      <c r="DX235" s="106"/>
      <c r="DY235" s="106"/>
      <c r="DZ235" s="106"/>
      <c r="EA235" s="106"/>
      <c r="EB235" s="106"/>
      <c r="EC235" s="106"/>
      <c r="ED235" s="106"/>
      <c r="EE235" s="106"/>
      <c r="EF235" s="106"/>
      <c r="EG235" s="106"/>
      <c r="EH235" s="106"/>
      <c r="EI235" s="106"/>
    </row>
    <row r="236" spans="3:139" ht="15.75" customHeight="1" x14ac:dyDescent="0.25"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  <c r="CZ236" s="106"/>
      <c r="DA236" s="106"/>
      <c r="DB236" s="106"/>
      <c r="DC236" s="106"/>
      <c r="DD236" s="106"/>
      <c r="DE236" s="106"/>
      <c r="DF236" s="106"/>
      <c r="DG236" s="106"/>
      <c r="DH236" s="106"/>
      <c r="DI236" s="106"/>
      <c r="DJ236" s="106"/>
      <c r="DK236" s="106"/>
      <c r="DL236" s="106"/>
      <c r="DM236" s="106"/>
      <c r="DN236" s="106"/>
      <c r="DO236" s="106"/>
      <c r="DP236" s="106"/>
      <c r="DQ236" s="106"/>
      <c r="DR236" s="106"/>
      <c r="DS236" s="106"/>
      <c r="DT236" s="106"/>
      <c r="DU236" s="106"/>
      <c r="DV236" s="106"/>
      <c r="DW236" s="106"/>
      <c r="DX236" s="106"/>
      <c r="DY236" s="106"/>
      <c r="DZ236" s="106"/>
      <c r="EA236" s="106"/>
      <c r="EB236" s="106"/>
      <c r="EC236" s="106"/>
      <c r="ED236" s="106"/>
      <c r="EE236" s="106"/>
      <c r="EF236" s="106"/>
      <c r="EG236" s="106"/>
      <c r="EH236" s="106"/>
      <c r="EI236" s="106"/>
    </row>
    <row r="237" spans="3:139" ht="15.75" customHeight="1" x14ac:dyDescent="0.25"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  <c r="CZ237" s="106"/>
      <c r="DA237" s="106"/>
      <c r="DB237" s="106"/>
      <c r="DC237" s="106"/>
      <c r="DD237" s="106"/>
      <c r="DE237" s="106"/>
      <c r="DF237" s="106"/>
      <c r="DG237" s="106"/>
      <c r="DH237" s="106"/>
      <c r="DI237" s="106"/>
      <c r="DJ237" s="106"/>
      <c r="DK237" s="106"/>
      <c r="DL237" s="106"/>
      <c r="DM237" s="106"/>
      <c r="DN237" s="106"/>
      <c r="DO237" s="106"/>
      <c r="DP237" s="106"/>
      <c r="DQ237" s="106"/>
      <c r="DR237" s="106"/>
      <c r="DS237" s="106"/>
      <c r="DT237" s="106"/>
      <c r="DU237" s="106"/>
      <c r="DV237" s="106"/>
      <c r="DW237" s="106"/>
      <c r="DX237" s="106"/>
      <c r="DY237" s="106"/>
      <c r="DZ237" s="106"/>
      <c r="EA237" s="106"/>
      <c r="EB237" s="106"/>
      <c r="EC237" s="106"/>
      <c r="ED237" s="106"/>
      <c r="EE237" s="106"/>
      <c r="EF237" s="106"/>
      <c r="EG237" s="106"/>
      <c r="EH237" s="106"/>
      <c r="EI237" s="106"/>
    </row>
    <row r="238" spans="3:139" ht="15.75" customHeight="1" x14ac:dyDescent="0.25"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  <c r="CZ238" s="106"/>
      <c r="DA238" s="106"/>
      <c r="DB238" s="106"/>
      <c r="DC238" s="106"/>
      <c r="DD238" s="106"/>
      <c r="DE238" s="106"/>
      <c r="DF238" s="106"/>
      <c r="DG238" s="106"/>
      <c r="DH238" s="106"/>
      <c r="DI238" s="106"/>
      <c r="DJ238" s="106"/>
      <c r="DK238" s="106"/>
      <c r="DL238" s="106"/>
      <c r="DM238" s="106"/>
      <c r="DN238" s="106"/>
      <c r="DO238" s="106"/>
      <c r="DP238" s="106"/>
      <c r="DQ238" s="106"/>
      <c r="DR238" s="106"/>
      <c r="DS238" s="106"/>
      <c r="DT238" s="106"/>
      <c r="DU238" s="106"/>
      <c r="DV238" s="106"/>
      <c r="DW238" s="106"/>
      <c r="DX238" s="106"/>
      <c r="DY238" s="106"/>
      <c r="DZ238" s="106"/>
      <c r="EA238" s="106"/>
      <c r="EB238" s="106"/>
      <c r="EC238" s="106"/>
      <c r="ED238" s="106"/>
      <c r="EE238" s="106"/>
      <c r="EF238" s="106"/>
      <c r="EG238" s="106"/>
      <c r="EH238" s="106"/>
      <c r="EI238" s="106"/>
    </row>
    <row r="239" spans="3:139" ht="15.75" customHeight="1" x14ac:dyDescent="0.25"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  <c r="CZ239" s="106"/>
      <c r="DA239" s="106"/>
      <c r="DB239" s="106"/>
      <c r="DC239" s="106"/>
      <c r="DD239" s="106"/>
      <c r="DE239" s="106"/>
      <c r="DF239" s="106"/>
      <c r="DG239" s="106"/>
      <c r="DH239" s="106"/>
      <c r="DI239" s="106"/>
      <c r="DJ239" s="106"/>
      <c r="DK239" s="106"/>
      <c r="DL239" s="106"/>
      <c r="DM239" s="106"/>
      <c r="DN239" s="106"/>
      <c r="DO239" s="106"/>
      <c r="DP239" s="106"/>
      <c r="DQ239" s="106"/>
      <c r="DR239" s="106"/>
      <c r="DS239" s="106"/>
      <c r="DT239" s="106"/>
      <c r="DU239" s="106"/>
      <c r="DV239" s="106"/>
      <c r="DW239" s="106"/>
      <c r="DX239" s="106"/>
      <c r="DY239" s="106"/>
      <c r="DZ239" s="106"/>
      <c r="EA239" s="106"/>
      <c r="EB239" s="106"/>
      <c r="EC239" s="106"/>
      <c r="ED239" s="106"/>
      <c r="EE239" s="106"/>
      <c r="EF239" s="106"/>
      <c r="EG239" s="106"/>
      <c r="EH239" s="106"/>
      <c r="EI239" s="106"/>
    </row>
    <row r="240" spans="3:139" ht="15.75" customHeight="1" x14ac:dyDescent="0.25"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  <c r="DF240" s="106"/>
      <c r="DG240" s="106"/>
      <c r="DH240" s="106"/>
      <c r="DI240" s="106"/>
      <c r="DJ240" s="106"/>
      <c r="DK240" s="106"/>
      <c r="DL240" s="106"/>
      <c r="DM240" s="106"/>
      <c r="DN240" s="106"/>
      <c r="DO240" s="106"/>
      <c r="DP240" s="106"/>
      <c r="DQ240" s="106"/>
      <c r="DR240" s="106"/>
      <c r="DS240" s="106"/>
      <c r="DT240" s="106"/>
      <c r="DU240" s="106"/>
      <c r="DV240" s="106"/>
      <c r="DW240" s="106"/>
      <c r="DX240" s="106"/>
      <c r="DY240" s="106"/>
      <c r="DZ240" s="106"/>
      <c r="EA240" s="106"/>
      <c r="EB240" s="106"/>
      <c r="EC240" s="106"/>
      <c r="ED240" s="106"/>
      <c r="EE240" s="106"/>
      <c r="EF240" s="106"/>
      <c r="EG240" s="106"/>
      <c r="EH240" s="106"/>
      <c r="EI240" s="106"/>
    </row>
    <row r="241" spans="3:139" ht="15.75" customHeight="1" x14ac:dyDescent="0.25"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  <c r="CZ241" s="106"/>
      <c r="DA241" s="106"/>
      <c r="DB241" s="106"/>
      <c r="DC241" s="106"/>
      <c r="DD241" s="106"/>
      <c r="DE241" s="106"/>
      <c r="DF241" s="106"/>
      <c r="DG241" s="106"/>
      <c r="DH241" s="106"/>
      <c r="DI241" s="106"/>
      <c r="DJ241" s="106"/>
      <c r="DK241" s="106"/>
      <c r="DL241" s="106"/>
      <c r="DM241" s="106"/>
      <c r="DN241" s="106"/>
      <c r="DO241" s="106"/>
      <c r="DP241" s="106"/>
      <c r="DQ241" s="106"/>
      <c r="DR241" s="106"/>
      <c r="DS241" s="106"/>
      <c r="DT241" s="106"/>
      <c r="DU241" s="106"/>
      <c r="DV241" s="106"/>
      <c r="DW241" s="106"/>
      <c r="DX241" s="106"/>
      <c r="DY241" s="106"/>
      <c r="DZ241" s="106"/>
      <c r="EA241" s="106"/>
      <c r="EB241" s="106"/>
      <c r="EC241" s="106"/>
      <c r="ED241" s="106"/>
      <c r="EE241" s="106"/>
      <c r="EF241" s="106"/>
      <c r="EG241" s="106"/>
      <c r="EH241" s="106"/>
      <c r="EI241" s="106"/>
    </row>
    <row r="242" spans="3:139" ht="15.75" customHeight="1" x14ac:dyDescent="0.25"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  <c r="CZ242" s="106"/>
      <c r="DA242" s="106"/>
      <c r="DB242" s="106"/>
      <c r="DC242" s="106"/>
      <c r="DD242" s="106"/>
      <c r="DE242" s="106"/>
      <c r="DF242" s="106"/>
      <c r="DG242" s="106"/>
      <c r="DH242" s="106"/>
      <c r="DI242" s="106"/>
      <c r="DJ242" s="106"/>
      <c r="DK242" s="106"/>
      <c r="DL242" s="106"/>
      <c r="DM242" s="106"/>
      <c r="DN242" s="106"/>
      <c r="DO242" s="106"/>
      <c r="DP242" s="106"/>
      <c r="DQ242" s="106"/>
      <c r="DR242" s="106"/>
      <c r="DS242" s="106"/>
      <c r="DT242" s="106"/>
      <c r="DU242" s="106"/>
      <c r="DV242" s="106"/>
      <c r="DW242" s="106"/>
      <c r="DX242" s="106"/>
      <c r="DY242" s="106"/>
      <c r="DZ242" s="106"/>
      <c r="EA242" s="106"/>
      <c r="EB242" s="106"/>
      <c r="EC242" s="106"/>
      <c r="ED242" s="106"/>
      <c r="EE242" s="106"/>
      <c r="EF242" s="106"/>
      <c r="EG242" s="106"/>
      <c r="EH242" s="106"/>
      <c r="EI242" s="106"/>
    </row>
    <row r="243" spans="3:139" ht="15.75" customHeight="1" x14ac:dyDescent="0.25"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  <c r="CZ243" s="106"/>
      <c r="DA243" s="106"/>
      <c r="DB243" s="106"/>
      <c r="DC243" s="106"/>
      <c r="DD243" s="106"/>
      <c r="DE243" s="106"/>
      <c r="DF243" s="106"/>
      <c r="DG243" s="106"/>
      <c r="DH243" s="106"/>
      <c r="DI243" s="106"/>
      <c r="DJ243" s="106"/>
      <c r="DK243" s="106"/>
      <c r="DL243" s="106"/>
      <c r="DM243" s="106"/>
      <c r="DN243" s="106"/>
      <c r="DO243" s="106"/>
      <c r="DP243" s="106"/>
      <c r="DQ243" s="106"/>
      <c r="DR243" s="106"/>
      <c r="DS243" s="106"/>
      <c r="DT243" s="106"/>
      <c r="DU243" s="106"/>
      <c r="DV243" s="106"/>
      <c r="DW243" s="106"/>
      <c r="DX243" s="106"/>
      <c r="DY243" s="106"/>
      <c r="DZ243" s="106"/>
      <c r="EA243" s="106"/>
      <c r="EB243" s="106"/>
      <c r="EC243" s="106"/>
      <c r="ED243" s="106"/>
      <c r="EE243" s="106"/>
      <c r="EF243" s="106"/>
      <c r="EG243" s="106"/>
      <c r="EH243" s="106"/>
      <c r="EI243" s="106"/>
    </row>
    <row r="244" spans="3:139" ht="15.75" customHeight="1" x14ac:dyDescent="0.25"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  <c r="CZ244" s="106"/>
      <c r="DA244" s="106"/>
      <c r="DB244" s="106"/>
      <c r="DC244" s="106"/>
      <c r="DD244" s="106"/>
      <c r="DE244" s="106"/>
      <c r="DF244" s="106"/>
      <c r="DG244" s="106"/>
      <c r="DH244" s="106"/>
      <c r="DI244" s="106"/>
      <c r="DJ244" s="106"/>
      <c r="DK244" s="106"/>
      <c r="DL244" s="106"/>
      <c r="DM244" s="106"/>
      <c r="DN244" s="106"/>
      <c r="DO244" s="106"/>
      <c r="DP244" s="106"/>
      <c r="DQ244" s="106"/>
      <c r="DR244" s="106"/>
      <c r="DS244" s="106"/>
      <c r="DT244" s="106"/>
      <c r="DU244" s="106"/>
      <c r="DV244" s="106"/>
      <c r="DW244" s="106"/>
      <c r="DX244" s="106"/>
      <c r="DY244" s="106"/>
      <c r="DZ244" s="106"/>
      <c r="EA244" s="106"/>
      <c r="EB244" s="106"/>
      <c r="EC244" s="106"/>
      <c r="ED244" s="106"/>
      <c r="EE244" s="106"/>
      <c r="EF244" s="106"/>
      <c r="EG244" s="106"/>
      <c r="EH244" s="106"/>
      <c r="EI244" s="106"/>
    </row>
    <row r="245" spans="3:139" ht="15.75" customHeight="1" x14ac:dyDescent="0.25"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  <c r="CZ245" s="106"/>
      <c r="DA245" s="106"/>
      <c r="DB245" s="106"/>
      <c r="DC245" s="106"/>
      <c r="DD245" s="106"/>
      <c r="DE245" s="106"/>
      <c r="DF245" s="106"/>
      <c r="DG245" s="106"/>
      <c r="DH245" s="106"/>
      <c r="DI245" s="106"/>
      <c r="DJ245" s="106"/>
      <c r="DK245" s="106"/>
      <c r="DL245" s="106"/>
      <c r="DM245" s="106"/>
      <c r="DN245" s="106"/>
      <c r="DO245" s="106"/>
      <c r="DP245" s="106"/>
      <c r="DQ245" s="106"/>
      <c r="DR245" s="106"/>
      <c r="DS245" s="106"/>
      <c r="DT245" s="106"/>
      <c r="DU245" s="106"/>
      <c r="DV245" s="106"/>
      <c r="DW245" s="106"/>
      <c r="DX245" s="106"/>
      <c r="DY245" s="106"/>
      <c r="DZ245" s="106"/>
      <c r="EA245" s="106"/>
      <c r="EB245" s="106"/>
      <c r="EC245" s="106"/>
      <c r="ED245" s="106"/>
      <c r="EE245" s="106"/>
      <c r="EF245" s="106"/>
      <c r="EG245" s="106"/>
      <c r="EH245" s="106"/>
      <c r="EI245" s="106"/>
    </row>
    <row r="246" spans="3:139" ht="15.75" customHeight="1" x14ac:dyDescent="0.25"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  <c r="CZ246" s="106"/>
      <c r="DA246" s="106"/>
      <c r="DB246" s="106"/>
      <c r="DC246" s="106"/>
      <c r="DD246" s="106"/>
      <c r="DE246" s="106"/>
      <c r="DF246" s="106"/>
      <c r="DG246" s="106"/>
      <c r="DH246" s="106"/>
      <c r="DI246" s="106"/>
      <c r="DJ246" s="106"/>
      <c r="DK246" s="106"/>
      <c r="DL246" s="106"/>
      <c r="DM246" s="106"/>
      <c r="DN246" s="106"/>
      <c r="DO246" s="106"/>
      <c r="DP246" s="106"/>
      <c r="DQ246" s="106"/>
      <c r="DR246" s="106"/>
      <c r="DS246" s="106"/>
      <c r="DT246" s="106"/>
      <c r="DU246" s="106"/>
      <c r="DV246" s="106"/>
      <c r="DW246" s="106"/>
      <c r="DX246" s="106"/>
      <c r="DY246" s="106"/>
      <c r="DZ246" s="106"/>
      <c r="EA246" s="106"/>
      <c r="EB246" s="106"/>
      <c r="EC246" s="106"/>
      <c r="ED246" s="106"/>
      <c r="EE246" s="106"/>
      <c r="EF246" s="106"/>
      <c r="EG246" s="106"/>
      <c r="EH246" s="106"/>
      <c r="EI246" s="106"/>
    </row>
    <row r="247" spans="3:139" ht="15.75" customHeight="1" x14ac:dyDescent="0.25"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  <c r="CZ247" s="106"/>
      <c r="DA247" s="106"/>
      <c r="DB247" s="106"/>
      <c r="DC247" s="106"/>
      <c r="DD247" s="106"/>
      <c r="DE247" s="106"/>
      <c r="DF247" s="106"/>
      <c r="DG247" s="106"/>
      <c r="DH247" s="106"/>
      <c r="DI247" s="106"/>
      <c r="DJ247" s="106"/>
      <c r="DK247" s="106"/>
      <c r="DL247" s="106"/>
      <c r="DM247" s="106"/>
      <c r="DN247" s="106"/>
      <c r="DO247" s="106"/>
      <c r="DP247" s="106"/>
      <c r="DQ247" s="106"/>
      <c r="DR247" s="106"/>
      <c r="DS247" s="106"/>
      <c r="DT247" s="106"/>
      <c r="DU247" s="106"/>
      <c r="DV247" s="106"/>
      <c r="DW247" s="106"/>
      <c r="DX247" s="106"/>
      <c r="DY247" s="106"/>
      <c r="DZ247" s="106"/>
      <c r="EA247" s="106"/>
      <c r="EB247" s="106"/>
      <c r="EC247" s="106"/>
      <c r="ED247" s="106"/>
      <c r="EE247" s="106"/>
      <c r="EF247" s="106"/>
      <c r="EG247" s="106"/>
      <c r="EH247" s="106"/>
      <c r="EI247" s="106"/>
    </row>
    <row r="248" spans="3:139" ht="15.75" customHeight="1" x14ac:dyDescent="0.25"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  <c r="DF248" s="106"/>
      <c r="DG248" s="106"/>
      <c r="DH248" s="106"/>
      <c r="DI248" s="106"/>
      <c r="DJ248" s="106"/>
      <c r="DK248" s="106"/>
      <c r="DL248" s="106"/>
      <c r="DM248" s="106"/>
      <c r="DN248" s="106"/>
      <c r="DO248" s="106"/>
      <c r="DP248" s="106"/>
      <c r="DQ248" s="106"/>
      <c r="DR248" s="106"/>
      <c r="DS248" s="106"/>
      <c r="DT248" s="106"/>
      <c r="DU248" s="106"/>
      <c r="DV248" s="106"/>
      <c r="DW248" s="106"/>
      <c r="DX248" s="106"/>
      <c r="DY248" s="106"/>
      <c r="DZ248" s="106"/>
      <c r="EA248" s="106"/>
      <c r="EB248" s="106"/>
      <c r="EC248" s="106"/>
      <c r="ED248" s="106"/>
      <c r="EE248" s="106"/>
      <c r="EF248" s="106"/>
      <c r="EG248" s="106"/>
      <c r="EH248" s="106"/>
      <c r="EI248" s="106"/>
    </row>
    <row r="249" spans="3:139" ht="15.75" customHeight="1" x14ac:dyDescent="0.25"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  <c r="CZ249" s="106"/>
      <c r="DA249" s="106"/>
      <c r="DB249" s="106"/>
      <c r="DC249" s="106"/>
      <c r="DD249" s="106"/>
      <c r="DE249" s="106"/>
      <c r="DF249" s="106"/>
      <c r="DG249" s="106"/>
      <c r="DH249" s="106"/>
      <c r="DI249" s="106"/>
      <c r="DJ249" s="106"/>
      <c r="DK249" s="106"/>
      <c r="DL249" s="106"/>
      <c r="DM249" s="106"/>
      <c r="DN249" s="106"/>
      <c r="DO249" s="106"/>
      <c r="DP249" s="106"/>
      <c r="DQ249" s="106"/>
      <c r="DR249" s="106"/>
      <c r="DS249" s="106"/>
      <c r="DT249" s="106"/>
      <c r="DU249" s="106"/>
      <c r="DV249" s="106"/>
      <c r="DW249" s="106"/>
      <c r="DX249" s="106"/>
      <c r="DY249" s="106"/>
      <c r="DZ249" s="106"/>
      <c r="EA249" s="106"/>
      <c r="EB249" s="106"/>
      <c r="EC249" s="106"/>
      <c r="ED249" s="106"/>
      <c r="EE249" s="106"/>
      <c r="EF249" s="106"/>
      <c r="EG249" s="106"/>
      <c r="EH249" s="106"/>
      <c r="EI249" s="106"/>
    </row>
    <row r="250" spans="3:139" ht="15.75" customHeight="1" x14ac:dyDescent="0.25"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  <c r="CZ250" s="106"/>
      <c r="DA250" s="106"/>
      <c r="DB250" s="106"/>
      <c r="DC250" s="106"/>
      <c r="DD250" s="106"/>
      <c r="DE250" s="106"/>
      <c r="DF250" s="106"/>
      <c r="DG250" s="106"/>
      <c r="DH250" s="106"/>
      <c r="DI250" s="106"/>
      <c r="DJ250" s="106"/>
      <c r="DK250" s="106"/>
      <c r="DL250" s="106"/>
      <c r="DM250" s="106"/>
      <c r="DN250" s="106"/>
      <c r="DO250" s="106"/>
      <c r="DP250" s="106"/>
      <c r="DQ250" s="106"/>
      <c r="DR250" s="106"/>
      <c r="DS250" s="106"/>
      <c r="DT250" s="106"/>
      <c r="DU250" s="106"/>
      <c r="DV250" s="106"/>
      <c r="DW250" s="106"/>
      <c r="DX250" s="106"/>
      <c r="DY250" s="106"/>
      <c r="DZ250" s="106"/>
      <c r="EA250" s="106"/>
      <c r="EB250" s="106"/>
      <c r="EC250" s="106"/>
      <c r="ED250" s="106"/>
      <c r="EE250" s="106"/>
      <c r="EF250" s="106"/>
      <c r="EG250" s="106"/>
      <c r="EH250" s="106"/>
      <c r="EI250" s="106"/>
    </row>
    <row r="251" spans="3:139" ht="15.75" customHeight="1" x14ac:dyDescent="0.25"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  <c r="CZ251" s="106"/>
      <c r="DA251" s="106"/>
      <c r="DB251" s="106"/>
      <c r="DC251" s="106"/>
      <c r="DD251" s="106"/>
      <c r="DE251" s="106"/>
      <c r="DF251" s="106"/>
      <c r="DG251" s="106"/>
      <c r="DH251" s="106"/>
      <c r="DI251" s="106"/>
      <c r="DJ251" s="106"/>
      <c r="DK251" s="106"/>
      <c r="DL251" s="106"/>
      <c r="DM251" s="106"/>
      <c r="DN251" s="106"/>
      <c r="DO251" s="106"/>
      <c r="DP251" s="106"/>
      <c r="DQ251" s="106"/>
      <c r="DR251" s="106"/>
      <c r="DS251" s="106"/>
      <c r="DT251" s="106"/>
      <c r="DU251" s="106"/>
      <c r="DV251" s="106"/>
      <c r="DW251" s="106"/>
      <c r="DX251" s="106"/>
      <c r="DY251" s="106"/>
      <c r="DZ251" s="106"/>
      <c r="EA251" s="106"/>
      <c r="EB251" s="106"/>
      <c r="EC251" s="106"/>
      <c r="ED251" s="106"/>
      <c r="EE251" s="106"/>
      <c r="EF251" s="106"/>
      <c r="EG251" s="106"/>
      <c r="EH251" s="106"/>
      <c r="EI251" s="106"/>
    </row>
    <row r="252" spans="3:139" ht="15.75" customHeight="1" x14ac:dyDescent="0.25"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  <c r="CZ252" s="106"/>
      <c r="DA252" s="106"/>
      <c r="DB252" s="106"/>
      <c r="DC252" s="106"/>
      <c r="DD252" s="106"/>
      <c r="DE252" s="106"/>
      <c r="DF252" s="106"/>
      <c r="DG252" s="106"/>
      <c r="DH252" s="106"/>
      <c r="DI252" s="106"/>
      <c r="DJ252" s="106"/>
      <c r="DK252" s="106"/>
      <c r="DL252" s="106"/>
      <c r="DM252" s="106"/>
      <c r="DN252" s="106"/>
      <c r="DO252" s="106"/>
      <c r="DP252" s="106"/>
      <c r="DQ252" s="106"/>
      <c r="DR252" s="106"/>
      <c r="DS252" s="106"/>
      <c r="DT252" s="106"/>
      <c r="DU252" s="106"/>
      <c r="DV252" s="106"/>
      <c r="DW252" s="106"/>
      <c r="DX252" s="106"/>
      <c r="DY252" s="106"/>
      <c r="DZ252" s="106"/>
      <c r="EA252" s="106"/>
      <c r="EB252" s="106"/>
      <c r="EC252" s="106"/>
      <c r="ED252" s="106"/>
      <c r="EE252" s="106"/>
      <c r="EF252" s="106"/>
      <c r="EG252" s="106"/>
      <c r="EH252" s="106"/>
      <c r="EI252" s="106"/>
    </row>
    <row r="253" spans="3:139" ht="15.75" customHeight="1" x14ac:dyDescent="0.25"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  <c r="CZ253" s="106"/>
      <c r="DA253" s="106"/>
      <c r="DB253" s="106"/>
      <c r="DC253" s="106"/>
      <c r="DD253" s="106"/>
      <c r="DE253" s="106"/>
      <c r="DF253" s="106"/>
      <c r="DG253" s="106"/>
      <c r="DH253" s="106"/>
      <c r="DI253" s="106"/>
      <c r="DJ253" s="106"/>
      <c r="DK253" s="106"/>
      <c r="DL253" s="106"/>
      <c r="DM253" s="106"/>
      <c r="DN253" s="106"/>
      <c r="DO253" s="106"/>
      <c r="DP253" s="106"/>
      <c r="DQ253" s="106"/>
      <c r="DR253" s="106"/>
      <c r="DS253" s="106"/>
      <c r="DT253" s="106"/>
      <c r="DU253" s="106"/>
      <c r="DV253" s="106"/>
      <c r="DW253" s="106"/>
      <c r="DX253" s="106"/>
      <c r="DY253" s="106"/>
      <c r="DZ253" s="106"/>
      <c r="EA253" s="106"/>
      <c r="EB253" s="106"/>
      <c r="EC253" s="106"/>
      <c r="ED253" s="106"/>
      <c r="EE253" s="106"/>
      <c r="EF253" s="106"/>
      <c r="EG253" s="106"/>
      <c r="EH253" s="106"/>
      <c r="EI253" s="106"/>
    </row>
    <row r="254" spans="3:139" ht="15.75" customHeight="1" x14ac:dyDescent="0.25"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  <c r="CZ254" s="106"/>
      <c r="DA254" s="106"/>
      <c r="DB254" s="106"/>
      <c r="DC254" s="106"/>
      <c r="DD254" s="106"/>
      <c r="DE254" s="106"/>
      <c r="DF254" s="106"/>
      <c r="DG254" s="106"/>
      <c r="DH254" s="106"/>
      <c r="DI254" s="106"/>
      <c r="DJ254" s="106"/>
      <c r="DK254" s="106"/>
      <c r="DL254" s="106"/>
      <c r="DM254" s="106"/>
      <c r="DN254" s="106"/>
      <c r="DO254" s="106"/>
      <c r="DP254" s="106"/>
      <c r="DQ254" s="106"/>
      <c r="DR254" s="106"/>
      <c r="DS254" s="106"/>
      <c r="DT254" s="106"/>
      <c r="DU254" s="106"/>
      <c r="DV254" s="106"/>
      <c r="DW254" s="106"/>
      <c r="DX254" s="106"/>
      <c r="DY254" s="106"/>
      <c r="DZ254" s="106"/>
      <c r="EA254" s="106"/>
      <c r="EB254" s="106"/>
      <c r="EC254" s="106"/>
      <c r="ED254" s="106"/>
      <c r="EE254" s="106"/>
      <c r="EF254" s="106"/>
      <c r="EG254" s="106"/>
      <c r="EH254" s="106"/>
      <c r="EI254" s="106"/>
    </row>
    <row r="255" spans="3:139" ht="15.75" customHeight="1" x14ac:dyDescent="0.25"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  <c r="CZ255" s="106"/>
      <c r="DA255" s="106"/>
      <c r="DB255" s="106"/>
      <c r="DC255" s="106"/>
      <c r="DD255" s="106"/>
      <c r="DE255" s="106"/>
      <c r="DF255" s="106"/>
      <c r="DG255" s="106"/>
      <c r="DH255" s="106"/>
      <c r="DI255" s="106"/>
      <c r="DJ255" s="106"/>
      <c r="DK255" s="106"/>
      <c r="DL255" s="106"/>
      <c r="DM255" s="106"/>
      <c r="DN255" s="106"/>
      <c r="DO255" s="106"/>
      <c r="DP255" s="106"/>
      <c r="DQ255" s="106"/>
      <c r="DR255" s="106"/>
      <c r="DS255" s="106"/>
      <c r="DT255" s="106"/>
      <c r="DU255" s="106"/>
      <c r="DV255" s="106"/>
      <c r="DW255" s="106"/>
      <c r="DX255" s="106"/>
      <c r="DY255" s="106"/>
      <c r="DZ255" s="106"/>
      <c r="EA255" s="106"/>
      <c r="EB255" s="106"/>
      <c r="EC255" s="106"/>
      <c r="ED255" s="106"/>
      <c r="EE255" s="106"/>
      <c r="EF255" s="106"/>
      <c r="EG255" s="106"/>
      <c r="EH255" s="106"/>
      <c r="EI255" s="106"/>
    </row>
    <row r="256" spans="3:139" ht="15.75" customHeight="1" x14ac:dyDescent="0.25"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  <c r="CZ256" s="106"/>
      <c r="DA256" s="106"/>
      <c r="DB256" s="106"/>
      <c r="DC256" s="106"/>
      <c r="DD256" s="106"/>
      <c r="DE256" s="106"/>
      <c r="DF256" s="106"/>
      <c r="DG256" s="106"/>
      <c r="DH256" s="106"/>
      <c r="DI256" s="106"/>
      <c r="DJ256" s="106"/>
      <c r="DK256" s="106"/>
      <c r="DL256" s="106"/>
      <c r="DM256" s="106"/>
      <c r="DN256" s="106"/>
      <c r="DO256" s="106"/>
      <c r="DP256" s="106"/>
      <c r="DQ256" s="106"/>
      <c r="DR256" s="106"/>
      <c r="DS256" s="106"/>
      <c r="DT256" s="106"/>
      <c r="DU256" s="106"/>
      <c r="DV256" s="106"/>
      <c r="DW256" s="106"/>
      <c r="DX256" s="106"/>
      <c r="DY256" s="106"/>
      <c r="DZ256" s="106"/>
      <c r="EA256" s="106"/>
      <c r="EB256" s="106"/>
      <c r="EC256" s="106"/>
      <c r="ED256" s="106"/>
      <c r="EE256" s="106"/>
      <c r="EF256" s="106"/>
      <c r="EG256" s="106"/>
      <c r="EH256" s="106"/>
      <c r="EI256" s="106"/>
    </row>
    <row r="257" spans="3:139" ht="15.75" customHeight="1" x14ac:dyDescent="0.25"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  <c r="CZ257" s="106"/>
      <c r="DA257" s="106"/>
      <c r="DB257" s="106"/>
      <c r="DC257" s="106"/>
      <c r="DD257" s="106"/>
      <c r="DE257" s="106"/>
      <c r="DF257" s="106"/>
      <c r="DG257" s="106"/>
      <c r="DH257" s="106"/>
      <c r="DI257" s="106"/>
      <c r="DJ257" s="106"/>
      <c r="DK257" s="106"/>
      <c r="DL257" s="106"/>
      <c r="DM257" s="106"/>
      <c r="DN257" s="106"/>
      <c r="DO257" s="106"/>
      <c r="DP257" s="106"/>
      <c r="DQ257" s="106"/>
      <c r="DR257" s="106"/>
      <c r="DS257" s="106"/>
      <c r="DT257" s="106"/>
      <c r="DU257" s="106"/>
      <c r="DV257" s="106"/>
      <c r="DW257" s="106"/>
      <c r="DX257" s="106"/>
      <c r="DY257" s="106"/>
      <c r="DZ257" s="106"/>
      <c r="EA257" s="106"/>
      <c r="EB257" s="106"/>
      <c r="EC257" s="106"/>
      <c r="ED257" s="106"/>
      <c r="EE257" s="106"/>
      <c r="EF257" s="106"/>
      <c r="EG257" s="106"/>
      <c r="EH257" s="106"/>
      <c r="EI257" s="106"/>
    </row>
    <row r="258" spans="3:139" ht="15.75" customHeight="1" x14ac:dyDescent="0.25"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  <c r="CZ258" s="106"/>
      <c r="DA258" s="106"/>
      <c r="DB258" s="106"/>
      <c r="DC258" s="106"/>
      <c r="DD258" s="106"/>
      <c r="DE258" s="106"/>
      <c r="DF258" s="106"/>
      <c r="DG258" s="106"/>
      <c r="DH258" s="106"/>
      <c r="DI258" s="106"/>
      <c r="DJ258" s="106"/>
      <c r="DK258" s="106"/>
      <c r="DL258" s="106"/>
      <c r="DM258" s="106"/>
      <c r="DN258" s="106"/>
      <c r="DO258" s="106"/>
      <c r="DP258" s="106"/>
      <c r="DQ258" s="106"/>
      <c r="DR258" s="106"/>
      <c r="DS258" s="106"/>
      <c r="DT258" s="106"/>
      <c r="DU258" s="106"/>
      <c r="DV258" s="106"/>
      <c r="DW258" s="106"/>
      <c r="DX258" s="106"/>
      <c r="DY258" s="106"/>
      <c r="DZ258" s="106"/>
      <c r="EA258" s="106"/>
      <c r="EB258" s="106"/>
      <c r="EC258" s="106"/>
      <c r="ED258" s="106"/>
      <c r="EE258" s="106"/>
      <c r="EF258" s="106"/>
      <c r="EG258" s="106"/>
      <c r="EH258" s="106"/>
      <c r="EI258" s="106"/>
    </row>
    <row r="259" spans="3:139" ht="15.75" customHeight="1" x14ac:dyDescent="0.25"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  <c r="CZ259" s="106"/>
      <c r="DA259" s="106"/>
      <c r="DB259" s="106"/>
      <c r="DC259" s="106"/>
      <c r="DD259" s="106"/>
      <c r="DE259" s="106"/>
      <c r="DF259" s="106"/>
      <c r="DG259" s="106"/>
      <c r="DH259" s="106"/>
      <c r="DI259" s="106"/>
      <c r="DJ259" s="106"/>
      <c r="DK259" s="106"/>
      <c r="DL259" s="106"/>
      <c r="DM259" s="106"/>
      <c r="DN259" s="106"/>
      <c r="DO259" s="106"/>
      <c r="DP259" s="106"/>
      <c r="DQ259" s="106"/>
      <c r="DR259" s="106"/>
      <c r="DS259" s="106"/>
      <c r="DT259" s="106"/>
      <c r="DU259" s="106"/>
      <c r="DV259" s="106"/>
      <c r="DW259" s="106"/>
      <c r="DX259" s="106"/>
      <c r="DY259" s="106"/>
      <c r="DZ259" s="106"/>
      <c r="EA259" s="106"/>
      <c r="EB259" s="106"/>
      <c r="EC259" s="106"/>
      <c r="ED259" s="106"/>
      <c r="EE259" s="106"/>
      <c r="EF259" s="106"/>
      <c r="EG259" s="106"/>
      <c r="EH259" s="106"/>
      <c r="EI259" s="106"/>
    </row>
    <row r="260" spans="3:139" ht="15.75" customHeight="1" x14ac:dyDescent="0.25"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  <c r="CZ260" s="106"/>
      <c r="DA260" s="106"/>
      <c r="DB260" s="106"/>
      <c r="DC260" s="106"/>
      <c r="DD260" s="106"/>
      <c r="DE260" s="106"/>
      <c r="DF260" s="106"/>
      <c r="DG260" s="106"/>
      <c r="DH260" s="106"/>
      <c r="DI260" s="106"/>
      <c r="DJ260" s="106"/>
      <c r="DK260" s="106"/>
      <c r="DL260" s="106"/>
      <c r="DM260" s="106"/>
      <c r="DN260" s="106"/>
      <c r="DO260" s="106"/>
      <c r="DP260" s="106"/>
      <c r="DQ260" s="106"/>
      <c r="DR260" s="106"/>
      <c r="DS260" s="106"/>
      <c r="DT260" s="106"/>
      <c r="DU260" s="106"/>
      <c r="DV260" s="106"/>
      <c r="DW260" s="106"/>
      <c r="DX260" s="106"/>
      <c r="DY260" s="106"/>
      <c r="DZ260" s="106"/>
      <c r="EA260" s="106"/>
      <c r="EB260" s="106"/>
      <c r="EC260" s="106"/>
      <c r="ED260" s="106"/>
      <c r="EE260" s="106"/>
      <c r="EF260" s="106"/>
      <c r="EG260" s="106"/>
      <c r="EH260" s="106"/>
      <c r="EI260" s="106"/>
    </row>
    <row r="261" spans="3:139" ht="15.75" customHeight="1" x14ac:dyDescent="0.25"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  <c r="CR261" s="106"/>
      <c r="CS261" s="106"/>
      <c r="CT261" s="106"/>
      <c r="CU261" s="106"/>
      <c r="CV261" s="106"/>
      <c r="CW261" s="106"/>
      <c r="CX261" s="106"/>
      <c r="CY261" s="106"/>
      <c r="CZ261" s="106"/>
      <c r="DA261" s="106"/>
      <c r="DB261" s="106"/>
      <c r="DC261" s="106"/>
      <c r="DD261" s="106"/>
      <c r="DE261" s="106"/>
      <c r="DF261" s="106"/>
      <c r="DG261" s="106"/>
      <c r="DH261" s="106"/>
      <c r="DI261" s="106"/>
      <c r="DJ261" s="106"/>
      <c r="DK261" s="106"/>
      <c r="DL261" s="106"/>
      <c r="DM261" s="106"/>
      <c r="DN261" s="106"/>
      <c r="DO261" s="106"/>
      <c r="DP261" s="106"/>
      <c r="DQ261" s="106"/>
      <c r="DR261" s="106"/>
      <c r="DS261" s="106"/>
      <c r="DT261" s="106"/>
      <c r="DU261" s="106"/>
      <c r="DV261" s="106"/>
      <c r="DW261" s="106"/>
      <c r="DX261" s="106"/>
      <c r="DY261" s="106"/>
      <c r="DZ261" s="106"/>
      <c r="EA261" s="106"/>
      <c r="EB261" s="106"/>
      <c r="EC261" s="106"/>
      <c r="ED261" s="106"/>
      <c r="EE261" s="106"/>
      <c r="EF261" s="106"/>
      <c r="EG261" s="106"/>
      <c r="EH261" s="106"/>
      <c r="EI261" s="106"/>
    </row>
    <row r="262" spans="3:139" ht="15.75" customHeight="1" x14ac:dyDescent="0.25"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  <c r="CR262" s="106"/>
      <c r="CS262" s="106"/>
      <c r="CT262" s="106"/>
      <c r="CU262" s="106"/>
      <c r="CV262" s="106"/>
      <c r="CW262" s="106"/>
      <c r="CX262" s="106"/>
      <c r="CY262" s="106"/>
      <c r="CZ262" s="106"/>
      <c r="DA262" s="106"/>
      <c r="DB262" s="106"/>
      <c r="DC262" s="106"/>
      <c r="DD262" s="106"/>
      <c r="DE262" s="106"/>
      <c r="DF262" s="106"/>
      <c r="DG262" s="106"/>
      <c r="DH262" s="106"/>
      <c r="DI262" s="106"/>
      <c r="DJ262" s="106"/>
      <c r="DK262" s="106"/>
      <c r="DL262" s="106"/>
      <c r="DM262" s="106"/>
      <c r="DN262" s="106"/>
      <c r="DO262" s="106"/>
      <c r="DP262" s="106"/>
      <c r="DQ262" s="106"/>
      <c r="DR262" s="106"/>
      <c r="DS262" s="106"/>
      <c r="DT262" s="106"/>
      <c r="DU262" s="106"/>
      <c r="DV262" s="106"/>
      <c r="DW262" s="106"/>
      <c r="DX262" s="106"/>
      <c r="DY262" s="106"/>
      <c r="DZ262" s="106"/>
      <c r="EA262" s="106"/>
      <c r="EB262" s="106"/>
      <c r="EC262" s="106"/>
      <c r="ED262" s="106"/>
      <c r="EE262" s="106"/>
      <c r="EF262" s="106"/>
      <c r="EG262" s="106"/>
      <c r="EH262" s="106"/>
      <c r="EI262" s="106"/>
    </row>
    <row r="263" spans="3:139" ht="15.75" customHeight="1" x14ac:dyDescent="0.25"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  <c r="CR263" s="106"/>
      <c r="CS263" s="106"/>
      <c r="CT263" s="106"/>
      <c r="CU263" s="106"/>
      <c r="CV263" s="106"/>
      <c r="CW263" s="106"/>
      <c r="CX263" s="106"/>
      <c r="CY263" s="106"/>
      <c r="CZ263" s="106"/>
      <c r="DA263" s="106"/>
      <c r="DB263" s="106"/>
      <c r="DC263" s="106"/>
      <c r="DD263" s="106"/>
      <c r="DE263" s="106"/>
      <c r="DF263" s="106"/>
      <c r="DG263" s="106"/>
      <c r="DH263" s="106"/>
      <c r="DI263" s="106"/>
      <c r="DJ263" s="106"/>
      <c r="DK263" s="106"/>
      <c r="DL263" s="106"/>
      <c r="DM263" s="106"/>
      <c r="DN263" s="106"/>
      <c r="DO263" s="106"/>
      <c r="DP263" s="106"/>
      <c r="DQ263" s="106"/>
      <c r="DR263" s="106"/>
      <c r="DS263" s="106"/>
      <c r="DT263" s="106"/>
      <c r="DU263" s="106"/>
      <c r="DV263" s="106"/>
      <c r="DW263" s="106"/>
      <c r="DX263" s="106"/>
      <c r="DY263" s="106"/>
      <c r="DZ263" s="106"/>
      <c r="EA263" s="106"/>
      <c r="EB263" s="106"/>
      <c r="EC263" s="106"/>
      <c r="ED263" s="106"/>
      <c r="EE263" s="106"/>
      <c r="EF263" s="106"/>
      <c r="EG263" s="106"/>
      <c r="EH263" s="106"/>
      <c r="EI263" s="106"/>
    </row>
    <row r="264" spans="3:139" ht="15.75" customHeight="1" x14ac:dyDescent="0.25"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  <c r="CR264" s="106"/>
      <c r="CS264" s="106"/>
      <c r="CT264" s="106"/>
      <c r="CU264" s="106"/>
      <c r="CV264" s="106"/>
      <c r="CW264" s="106"/>
      <c r="CX264" s="106"/>
      <c r="CY264" s="106"/>
      <c r="CZ264" s="106"/>
      <c r="DA264" s="106"/>
      <c r="DB264" s="106"/>
      <c r="DC264" s="106"/>
      <c r="DD264" s="106"/>
      <c r="DE264" s="106"/>
      <c r="DF264" s="106"/>
      <c r="DG264" s="106"/>
      <c r="DH264" s="106"/>
      <c r="DI264" s="106"/>
      <c r="DJ264" s="106"/>
      <c r="DK264" s="106"/>
      <c r="DL264" s="106"/>
      <c r="DM264" s="106"/>
      <c r="DN264" s="106"/>
      <c r="DO264" s="106"/>
      <c r="DP264" s="106"/>
      <c r="DQ264" s="106"/>
      <c r="DR264" s="106"/>
      <c r="DS264" s="106"/>
      <c r="DT264" s="106"/>
      <c r="DU264" s="106"/>
      <c r="DV264" s="106"/>
      <c r="DW264" s="106"/>
      <c r="DX264" s="106"/>
      <c r="DY264" s="106"/>
      <c r="DZ264" s="106"/>
      <c r="EA264" s="106"/>
      <c r="EB264" s="106"/>
      <c r="EC264" s="106"/>
      <c r="ED264" s="106"/>
      <c r="EE264" s="106"/>
      <c r="EF264" s="106"/>
      <c r="EG264" s="106"/>
      <c r="EH264" s="106"/>
      <c r="EI264" s="106"/>
    </row>
    <row r="265" spans="3:139" ht="15.75" customHeight="1" x14ac:dyDescent="0.25"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  <c r="CR265" s="106"/>
      <c r="CS265" s="106"/>
      <c r="CT265" s="106"/>
      <c r="CU265" s="106"/>
      <c r="CV265" s="106"/>
      <c r="CW265" s="106"/>
      <c r="CX265" s="106"/>
      <c r="CY265" s="106"/>
      <c r="CZ265" s="106"/>
      <c r="DA265" s="106"/>
      <c r="DB265" s="106"/>
      <c r="DC265" s="106"/>
      <c r="DD265" s="106"/>
      <c r="DE265" s="106"/>
      <c r="DF265" s="106"/>
      <c r="DG265" s="106"/>
      <c r="DH265" s="106"/>
      <c r="DI265" s="106"/>
      <c r="DJ265" s="106"/>
      <c r="DK265" s="106"/>
      <c r="DL265" s="106"/>
      <c r="DM265" s="106"/>
      <c r="DN265" s="106"/>
      <c r="DO265" s="106"/>
      <c r="DP265" s="106"/>
      <c r="DQ265" s="106"/>
      <c r="DR265" s="106"/>
      <c r="DS265" s="106"/>
      <c r="DT265" s="106"/>
      <c r="DU265" s="106"/>
      <c r="DV265" s="106"/>
      <c r="DW265" s="106"/>
      <c r="DX265" s="106"/>
      <c r="DY265" s="106"/>
      <c r="DZ265" s="106"/>
      <c r="EA265" s="106"/>
      <c r="EB265" s="106"/>
      <c r="EC265" s="106"/>
      <c r="ED265" s="106"/>
      <c r="EE265" s="106"/>
      <c r="EF265" s="106"/>
      <c r="EG265" s="106"/>
      <c r="EH265" s="106"/>
      <c r="EI265" s="106"/>
    </row>
    <row r="266" spans="3:139" ht="15.75" customHeight="1" x14ac:dyDescent="0.25"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  <c r="CR266" s="106"/>
      <c r="CS266" s="106"/>
      <c r="CT266" s="106"/>
      <c r="CU266" s="106"/>
      <c r="CV266" s="106"/>
      <c r="CW266" s="106"/>
      <c r="CX266" s="106"/>
      <c r="CY266" s="106"/>
      <c r="CZ266" s="106"/>
      <c r="DA266" s="106"/>
      <c r="DB266" s="106"/>
      <c r="DC266" s="106"/>
      <c r="DD266" s="106"/>
      <c r="DE266" s="106"/>
      <c r="DF266" s="106"/>
      <c r="DG266" s="106"/>
      <c r="DH266" s="106"/>
      <c r="DI266" s="106"/>
      <c r="DJ266" s="106"/>
      <c r="DK266" s="106"/>
      <c r="DL266" s="106"/>
      <c r="DM266" s="106"/>
      <c r="DN266" s="106"/>
      <c r="DO266" s="106"/>
      <c r="DP266" s="106"/>
      <c r="DQ266" s="106"/>
      <c r="DR266" s="106"/>
      <c r="DS266" s="106"/>
      <c r="DT266" s="106"/>
      <c r="DU266" s="106"/>
      <c r="DV266" s="106"/>
      <c r="DW266" s="106"/>
      <c r="DX266" s="106"/>
      <c r="DY266" s="106"/>
      <c r="DZ266" s="106"/>
      <c r="EA266" s="106"/>
      <c r="EB266" s="106"/>
      <c r="EC266" s="106"/>
      <c r="ED266" s="106"/>
      <c r="EE266" s="106"/>
      <c r="EF266" s="106"/>
      <c r="EG266" s="106"/>
      <c r="EH266" s="106"/>
      <c r="EI266" s="106"/>
    </row>
    <row r="267" spans="3:139" ht="15.75" customHeight="1" x14ac:dyDescent="0.25"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  <c r="CR267" s="106"/>
      <c r="CS267" s="106"/>
      <c r="CT267" s="106"/>
      <c r="CU267" s="106"/>
      <c r="CV267" s="106"/>
      <c r="CW267" s="106"/>
      <c r="CX267" s="106"/>
      <c r="CY267" s="106"/>
      <c r="CZ267" s="106"/>
      <c r="DA267" s="106"/>
      <c r="DB267" s="106"/>
      <c r="DC267" s="106"/>
      <c r="DD267" s="106"/>
      <c r="DE267" s="106"/>
      <c r="DF267" s="106"/>
      <c r="DG267" s="106"/>
      <c r="DH267" s="106"/>
      <c r="DI267" s="106"/>
      <c r="DJ267" s="106"/>
      <c r="DK267" s="106"/>
      <c r="DL267" s="106"/>
      <c r="DM267" s="106"/>
      <c r="DN267" s="106"/>
      <c r="DO267" s="106"/>
      <c r="DP267" s="106"/>
      <c r="DQ267" s="106"/>
      <c r="DR267" s="106"/>
      <c r="DS267" s="106"/>
      <c r="DT267" s="106"/>
      <c r="DU267" s="106"/>
      <c r="DV267" s="106"/>
      <c r="DW267" s="106"/>
      <c r="DX267" s="106"/>
      <c r="DY267" s="106"/>
      <c r="DZ267" s="106"/>
      <c r="EA267" s="106"/>
      <c r="EB267" s="106"/>
      <c r="EC267" s="106"/>
      <c r="ED267" s="106"/>
      <c r="EE267" s="106"/>
      <c r="EF267" s="106"/>
      <c r="EG267" s="106"/>
      <c r="EH267" s="106"/>
      <c r="EI267" s="106"/>
    </row>
    <row r="268" spans="3:139" ht="15.75" customHeight="1" x14ac:dyDescent="0.25"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  <c r="CR268" s="106"/>
      <c r="CS268" s="106"/>
      <c r="CT268" s="106"/>
      <c r="CU268" s="106"/>
      <c r="CV268" s="106"/>
      <c r="CW268" s="106"/>
      <c r="CX268" s="106"/>
      <c r="CY268" s="106"/>
      <c r="CZ268" s="106"/>
      <c r="DA268" s="106"/>
      <c r="DB268" s="106"/>
      <c r="DC268" s="106"/>
      <c r="DD268" s="106"/>
      <c r="DE268" s="106"/>
      <c r="DF268" s="106"/>
      <c r="DG268" s="106"/>
      <c r="DH268" s="106"/>
      <c r="DI268" s="106"/>
      <c r="DJ268" s="106"/>
      <c r="DK268" s="106"/>
      <c r="DL268" s="106"/>
      <c r="DM268" s="106"/>
      <c r="DN268" s="106"/>
      <c r="DO268" s="106"/>
      <c r="DP268" s="106"/>
      <c r="DQ268" s="106"/>
      <c r="DR268" s="106"/>
      <c r="DS268" s="106"/>
      <c r="DT268" s="106"/>
      <c r="DU268" s="106"/>
      <c r="DV268" s="106"/>
      <c r="DW268" s="106"/>
      <c r="DX268" s="106"/>
      <c r="DY268" s="106"/>
      <c r="DZ268" s="106"/>
      <c r="EA268" s="106"/>
      <c r="EB268" s="106"/>
      <c r="EC268" s="106"/>
      <c r="ED268" s="106"/>
      <c r="EE268" s="106"/>
      <c r="EF268" s="106"/>
      <c r="EG268" s="106"/>
      <c r="EH268" s="106"/>
      <c r="EI268" s="106"/>
    </row>
    <row r="269" spans="3:139" ht="15.75" customHeight="1" x14ac:dyDescent="0.25"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  <c r="CR269" s="106"/>
      <c r="CS269" s="106"/>
      <c r="CT269" s="106"/>
      <c r="CU269" s="106"/>
      <c r="CV269" s="106"/>
      <c r="CW269" s="106"/>
      <c r="CX269" s="106"/>
      <c r="CY269" s="106"/>
      <c r="CZ269" s="106"/>
      <c r="DA269" s="106"/>
      <c r="DB269" s="106"/>
      <c r="DC269" s="106"/>
      <c r="DD269" s="106"/>
      <c r="DE269" s="106"/>
      <c r="DF269" s="106"/>
      <c r="DG269" s="106"/>
      <c r="DH269" s="106"/>
      <c r="DI269" s="106"/>
      <c r="DJ269" s="106"/>
      <c r="DK269" s="106"/>
      <c r="DL269" s="106"/>
      <c r="DM269" s="106"/>
      <c r="DN269" s="106"/>
      <c r="DO269" s="106"/>
      <c r="DP269" s="106"/>
      <c r="DQ269" s="106"/>
      <c r="DR269" s="106"/>
      <c r="DS269" s="106"/>
      <c r="DT269" s="106"/>
      <c r="DU269" s="106"/>
      <c r="DV269" s="106"/>
      <c r="DW269" s="106"/>
      <c r="DX269" s="106"/>
      <c r="DY269" s="106"/>
      <c r="DZ269" s="106"/>
      <c r="EA269" s="106"/>
      <c r="EB269" s="106"/>
      <c r="EC269" s="106"/>
      <c r="ED269" s="106"/>
      <c r="EE269" s="106"/>
      <c r="EF269" s="106"/>
      <c r="EG269" s="106"/>
      <c r="EH269" s="106"/>
      <c r="EI269" s="106"/>
    </row>
    <row r="270" spans="3:139" ht="15.75" customHeight="1" x14ac:dyDescent="0.25"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  <c r="CZ270" s="106"/>
      <c r="DA270" s="106"/>
      <c r="DB270" s="106"/>
      <c r="DC270" s="106"/>
      <c r="DD270" s="106"/>
      <c r="DE270" s="106"/>
      <c r="DF270" s="106"/>
      <c r="DG270" s="106"/>
      <c r="DH270" s="106"/>
      <c r="DI270" s="106"/>
      <c r="DJ270" s="106"/>
      <c r="DK270" s="106"/>
      <c r="DL270" s="106"/>
      <c r="DM270" s="106"/>
      <c r="DN270" s="106"/>
      <c r="DO270" s="106"/>
      <c r="DP270" s="106"/>
      <c r="DQ270" s="106"/>
      <c r="DR270" s="106"/>
      <c r="DS270" s="106"/>
      <c r="DT270" s="106"/>
      <c r="DU270" s="106"/>
      <c r="DV270" s="106"/>
      <c r="DW270" s="106"/>
      <c r="DX270" s="106"/>
      <c r="DY270" s="106"/>
      <c r="DZ270" s="106"/>
      <c r="EA270" s="106"/>
      <c r="EB270" s="106"/>
      <c r="EC270" s="106"/>
      <c r="ED270" s="106"/>
      <c r="EE270" s="106"/>
      <c r="EF270" s="106"/>
      <c r="EG270" s="106"/>
      <c r="EH270" s="106"/>
      <c r="EI270" s="106"/>
    </row>
    <row r="271" spans="3:139" ht="15.75" customHeight="1" x14ac:dyDescent="0.25"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  <c r="CW271" s="106"/>
      <c r="CX271" s="106"/>
      <c r="CY271" s="106"/>
      <c r="CZ271" s="106"/>
      <c r="DA271" s="106"/>
      <c r="DB271" s="106"/>
      <c r="DC271" s="106"/>
      <c r="DD271" s="106"/>
      <c r="DE271" s="106"/>
      <c r="DF271" s="106"/>
      <c r="DG271" s="106"/>
      <c r="DH271" s="106"/>
      <c r="DI271" s="106"/>
      <c r="DJ271" s="106"/>
      <c r="DK271" s="106"/>
      <c r="DL271" s="106"/>
      <c r="DM271" s="106"/>
      <c r="DN271" s="106"/>
      <c r="DO271" s="106"/>
      <c r="DP271" s="106"/>
      <c r="DQ271" s="106"/>
      <c r="DR271" s="106"/>
      <c r="DS271" s="106"/>
      <c r="DT271" s="106"/>
      <c r="DU271" s="106"/>
      <c r="DV271" s="106"/>
      <c r="DW271" s="106"/>
      <c r="DX271" s="106"/>
      <c r="DY271" s="106"/>
      <c r="DZ271" s="106"/>
      <c r="EA271" s="106"/>
      <c r="EB271" s="106"/>
      <c r="EC271" s="106"/>
      <c r="ED271" s="106"/>
      <c r="EE271" s="106"/>
      <c r="EF271" s="106"/>
      <c r="EG271" s="106"/>
      <c r="EH271" s="106"/>
      <c r="EI271" s="106"/>
    </row>
    <row r="272" spans="3:139" ht="15.75" customHeight="1" x14ac:dyDescent="0.25"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  <c r="CR272" s="106"/>
      <c r="CS272" s="106"/>
      <c r="CT272" s="106"/>
      <c r="CU272" s="106"/>
      <c r="CV272" s="106"/>
      <c r="CW272" s="106"/>
      <c r="CX272" s="106"/>
      <c r="CY272" s="106"/>
      <c r="CZ272" s="106"/>
      <c r="DA272" s="106"/>
      <c r="DB272" s="106"/>
      <c r="DC272" s="106"/>
      <c r="DD272" s="106"/>
      <c r="DE272" s="106"/>
      <c r="DF272" s="106"/>
      <c r="DG272" s="106"/>
      <c r="DH272" s="106"/>
      <c r="DI272" s="106"/>
      <c r="DJ272" s="106"/>
      <c r="DK272" s="106"/>
      <c r="DL272" s="106"/>
      <c r="DM272" s="106"/>
      <c r="DN272" s="106"/>
      <c r="DO272" s="106"/>
      <c r="DP272" s="106"/>
      <c r="DQ272" s="106"/>
      <c r="DR272" s="106"/>
      <c r="DS272" s="106"/>
      <c r="DT272" s="106"/>
      <c r="DU272" s="106"/>
      <c r="DV272" s="106"/>
      <c r="DW272" s="106"/>
      <c r="DX272" s="106"/>
      <c r="DY272" s="106"/>
      <c r="DZ272" s="106"/>
      <c r="EA272" s="106"/>
      <c r="EB272" s="106"/>
      <c r="EC272" s="106"/>
      <c r="ED272" s="106"/>
      <c r="EE272" s="106"/>
      <c r="EF272" s="106"/>
      <c r="EG272" s="106"/>
      <c r="EH272" s="106"/>
      <c r="EI272" s="106"/>
    </row>
    <row r="273" spans="3:139" ht="15.75" customHeight="1" x14ac:dyDescent="0.25"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  <c r="CR273" s="106"/>
      <c r="CS273" s="106"/>
      <c r="CT273" s="106"/>
      <c r="CU273" s="106"/>
      <c r="CV273" s="106"/>
      <c r="CW273" s="106"/>
      <c r="CX273" s="106"/>
      <c r="CY273" s="106"/>
      <c r="CZ273" s="106"/>
      <c r="DA273" s="106"/>
      <c r="DB273" s="106"/>
      <c r="DC273" s="106"/>
      <c r="DD273" s="106"/>
      <c r="DE273" s="106"/>
      <c r="DF273" s="106"/>
      <c r="DG273" s="106"/>
      <c r="DH273" s="106"/>
      <c r="DI273" s="106"/>
      <c r="DJ273" s="106"/>
      <c r="DK273" s="106"/>
      <c r="DL273" s="106"/>
      <c r="DM273" s="106"/>
      <c r="DN273" s="106"/>
      <c r="DO273" s="106"/>
      <c r="DP273" s="106"/>
      <c r="DQ273" s="106"/>
      <c r="DR273" s="106"/>
      <c r="DS273" s="106"/>
      <c r="DT273" s="106"/>
      <c r="DU273" s="106"/>
      <c r="DV273" s="106"/>
      <c r="DW273" s="106"/>
      <c r="DX273" s="106"/>
      <c r="DY273" s="106"/>
      <c r="DZ273" s="106"/>
      <c r="EA273" s="106"/>
      <c r="EB273" s="106"/>
      <c r="EC273" s="106"/>
      <c r="ED273" s="106"/>
      <c r="EE273" s="106"/>
      <c r="EF273" s="106"/>
      <c r="EG273" s="106"/>
      <c r="EH273" s="106"/>
      <c r="EI273" s="106"/>
    </row>
    <row r="274" spans="3:139" ht="15.75" customHeight="1" x14ac:dyDescent="0.25"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  <c r="CR274" s="106"/>
      <c r="CS274" s="106"/>
      <c r="CT274" s="106"/>
      <c r="CU274" s="106"/>
      <c r="CV274" s="106"/>
      <c r="CW274" s="106"/>
      <c r="CX274" s="106"/>
      <c r="CY274" s="106"/>
      <c r="CZ274" s="106"/>
      <c r="DA274" s="106"/>
      <c r="DB274" s="106"/>
      <c r="DC274" s="106"/>
      <c r="DD274" s="106"/>
      <c r="DE274" s="106"/>
      <c r="DF274" s="106"/>
      <c r="DG274" s="106"/>
      <c r="DH274" s="106"/>
      <c r="DI274" s="106"/>
      <c r="DJ274" s="106"/>
      <c r="DK274" s="106"/>
      <c r="DL274" s="106"/>
      <c r="DM274" s="106"/>
      <c r="DN274" s="106"/>
      <c r="DO274" s="106"/>
      <c r="DP274" s="106"/>
      <c r="DQ274" s="106"/>
      <c r="DR274" s="106"/>
      <c r="DS274" s="106"/>
      <c r="DT274" s="106"/>
      <c r="DU274" s="106"/>
      <c r="DV274" s="106"/>
      <c r="DW274" s="106"/>
      <c r="DX274" s="106"/>
      <c r="DY274" s="106"/>
      <c r="DZ274" s="106"/>
      <c r="EA274" s="106"/>
      <c r="EB274" s="106"/>
      <c r="EC274" s="106"/>
      <c r="ED274" s="106"/>
      <c r="EE274" s="106"/>
      <c r="EF274" s="106"/>
      <c r="EG274" s="106"/>
      <c r="EH274" s="106"/>
      <c r="EI274" s="106"/>
    </row>
    <row r="275" spans="3:139" ht="15.75" customHeight="1" x14ac:dyDescent="0.25"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  <c r="CR275" s="106"/>
      <c r="CS275" s="106"/>
      <c r="CT275" s="106"/>
      <c r="CU275" s="106"/>
      <c r="CV275" s="106"/>
      <c r="CW275" s="106"/>
      <c r="CX275" s="106"/>
      <c r="CY275" s="106"/>
      <c r="CZ275" s="106"/>
      <c r="DA275" s="106"/>
      <c r="DB275" s="106"/>
      <c r="DC275" s="106"/>
      <c r="DD275" s="106"/>
      <c r="DE275" s="106"/>
      <c r="DF275" s="106"/>
      <c r="DG275" s="106"/>
      <c r="DH275" s="106"/>
      <c r="DI275" s="106"/>
      <c r="DJ275" s="106"/>
      <c r="DK275" s="106"/>
      <c r="DL275" s="106"/>
      <c r="DM275" s="106"/>
      <c r="DN275" s="106"/>
      <c r="DO275" s="106"/>
      <c r="DP275" s="106"/>
      <c r="DQ275" s="106"/>
      <c r="DR275" s="106"/>
      <c r="DS275" s="106"/>
      <c r="DT275" s="106"/>
      <c r="DU275" s="106"/>
      <c r="DV275" s="106"/>
      <c r="DW275" s="106"/>
      <c r="DX275" s="106"/>
      <c r="DY275" s="106"/>
      <c r="DZ275" s="106"/>
      <c r="EA275" s="106"/>
      <c r="EB275" s="106"/>
      <c r="EC275" s="106"/>
      <c r="ED275" s="106"/>
      <c r="EE275" s="106"/>
      <c r="EF275" s="106"/>
      <c r="EG275" s="106"/>
      <c r="EH275" s="106"/>
      <c r="EI275" s="106"/>
    </row>
    <row r="276" spans="3:139" ht="15.75" customHeight="1" x14ac:dyDescent="0.25"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  <c r="CR276" s="106"/>
      <c r="CS276" s="106"/>
      <c r="CT276" s="106"/>
      <c r="CU276" s="106"/>
      <c r="CV276" s="106"/>
      <c r="CW276" s="106"/>
      <c r="CX276" s="106"/>
      <c r="CY276" s="106"/>
      <c r="CZ276" s="106"/>
      <c r="DA276" s="106"/>
      <c r="DB276" s="106"/>
      <c r="DC276" s="106"/>
      <c r="DD276" s="106"/>
      <c r="DE276" s="106"/>
      <c r="DF276" s="106"/>
      <c r="DG276" s="106"/>
      <c r="DH276" s="106"/>
      <c r="DI276" s="106"/>
      <c r="DJ276" s="106"/>
      <c r="DK276" s="106"/>
      <c r="DL276" s="106"/>
      <c r="DM276" s="106"/>
      <c r="DN276" s="106"/>
      <c r="DO276" s="106"/>
      <c r="DP276" s="106"/>
      <c r="DQ276" s="106"/>
      <c r="DR276" s="106"/>
      <c r="DS276" s="106"/>
      <c r="DT276" s="106"/>
      <c r="DU276" s="106"/>
      <c r="DV276" s="106"/>
      <c r="DW276" s="106"/>
      <c r="DX276" s="106"/>
      <c r="DY276" s="106"/>
      <c r="DZ276" s="106"/>
      <c r="EA276" s="106"/>
      <c r="EB276" s="106"/>
      <c r="EC276" s="106"/>
      <c r="ED276" s="106"/>
      <c r="EE276" s="106"/>
      <c r="EF276" s="106"/>
      <c r="EG276" s="106"/>
      <c r="EH276" s="106"/>
      <c r="EI276" s="106"/>
    </row>
    <row r="277" spans="3:139" ht="15.75" customHeight="1" x14ac:dyDescent="0.25"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  <c r="CR277" s="106"/>
      <c r="CS277" s="106"/>
      <c r="CT277" s="106"/>
      <c r="CU277" s="106"/>
      <c r="CV277" s="106"/>
      <c r="CW277" s="106"/>
      <c r="CX277" s="106"/>
      <c r="CY277" s="106"/>
      <c r="CZ277" s="106"/>
      <c r="DA277" s="106"/>
      <c r="DB277" s="106"/>
      <c r="DC277" s="106"/>
      <c r="DD277" s="106"/>
      <c r="DE277" s="106"/>
      <c r="DF277" s="106"/>
      <c r="DG277" s="106"/>
      <c r="DH277" s="106"/>
      <c r="DI277" s="106"/>
      <c r="DJ277" s="106"/>
      <c r="DK277" s="106"/>
      <c r="DL277" s="106"/>
      <c r="DM277" s="106"/>
      <c r="DN277" s="106"/>
      <c r="DO277" s="106"/>
      <c r="DP277" s="106"/>
      <c r="DQ277" s="106"/>
      <c r="DR277" s="106"/>
      <c r="DS277" s="106"/>
      <c r="DT277" s="106"/>
      <c r="DU277" s="106"/>
      <c r="DV277" s="106"/>
      <c r="DW277" s="106"/>
      <c r="DX277" s="106"/>
      <c r="DY277" s="106"/>
      <c r="DZ277" s="106"/>
      <c r="EA277" s="106"/>
      <c r="EB277" s="106"/>
      <c r="EC277" s="106"/>
      <c r="ED277" s="106"/>
      <c r="EE277" s="106"/>
      <c r="EF277" s="106"/>
      <c r="EG277" s="106"/>
      <c r="EH277" s="106"/>
      <c r="EI277" s="106"/>
    </row>
    <row r="278" spans="3:139" ht="15.75" customHeight="1" x14ac:dyDescent="0.25"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  <c r="CR278" s="106"/>
      <c r="CS278" s="106"/>
      <c r="CT278" s="106"/>
      <c r="CU278" s="106"/>
      <c r="CV278" s="106"/>
      <c r="CW278" s="106"/>
      <c r="CX278" s="106"/>
      <c r="CY278" s="106"/>
      <c r="CZ278" s="106"/>
      <c r="DA278" s="106"/>
      <c r="DB278" s="106"/>
      <c r="DC278" s="106"/>
      <c r="DD278" s="106"/>
      <c r="DE278" s="106"/>
      <c r="DF278" s="106"/>
      <c r="DG278" s="106"/>
      <c r="DH278" s="106"/>
      <c r="DI278" s="106"/>
      <c r="DJ278" s="106"/>
      <c r="DK278" s="106"/>
      <c r="DL278" s="106"/>
      <c r="DM278" s="106"/>
      <c r="DN278" s="106"/>
      <c r="DO278" s="106"/>
      <c r="DP278" s="106"/>
      <c r="DQ278" s="106"/>
      <c r="DR278" s="106"/>
      <c r="DS278" s="106"/>
      <c r="DT278" s="106"/>
      <c r="DU278" s="106"/>
      <c r="DV278" s="106"/>
      <c r="DW278" s="106"/>
      <c r="DX278" s="106"/>
      <c r="DY278" s="106"/>
      <c r="DZ278" s="106"/>
      <c r="EA278" s="106"/>
      <c r="EB278" s="106"/>
      <c r="EC278" s="106"/>
      <c r="ED278" s="106"/>
      <c r="EE278" s="106"/>
      <c r="EF278" s="106"/>
      <c r="EG278" s="106"/>
      <c r="EH278" s="106"/>
      <c r="EI278" s="106"/>
    </row>
    <row r="279" spans="3:139" ht="15.75" customHeight="1" x14ac:dyDescent="0.25"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  <c r="CR279" s="106"/>
      <c r="CS279" s="106"/>
      <c r="CT279" s="106"/>
      <c r="CU279" s="106"/>
      <c r="CV279" s="106"/>
      <c r="CW279" s="106"/>
      <c r="CX279" s="106"/>
      <c r="CY279" s="106"/>
      <c r="CZ279" s="106"/>
      <c r="DA279" s="106"/>
      <c r="DB279" s="106"/>
      <c r="DC279" s="106"/>
      <c r="DD279" s="106"/>
      <c r="DE279" s="106"/>
      <c r="DF279" s="106"/>
      <c r="DG279" s="106"/>
      <c r="DH279" s="106"/>
      <c r="DI279" s="106"/>
      <c r="DJ279" s="106"/>
      <c r="DK279" s="106"/>
      <c r="DL279" s="106"/>
      <c r="DM279" s="106"/>
      <c r="DN279" s="106"/>
      <c r="DO279" s="106"/>
      <c r="DP279" s="106"/>
      <c r="DQ279" s="106"/>
      <c r="DR279" s="106"/>
      <c r="DS279" s="106"/>
      <c r="DT279" s="106"/>
      <c r="DU279" s="106"/>
      <c r="DV279" s="106"/>
      <c r="DW279" s="106"/>
      <c r="DX279" s="106"/>
      <c r="DY279" s="106"/>
      <c r="DZ279" s="106"/>
      <c r="EA279" s="106"/>
      <c r="EB279" s="106"/>
      <c r="EC279" s="106"/>
      <c r="ED279" s="106"/>
      <c r="EE279" s="106"/>
      <c r="EF279" s="106"/>
      <c r="EG279" s="106"/>
      <c r="EH279" s="106"/>
      <c r="EI279" s="106"/>
    </row>
    <row r="280" spans="3:139" ht="15.75" customHeight="1" x14ac:dyDescent="0.25"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  <c r="CR280" s="106"/>
      <c r="CS280" s="106"/>
      <c r="CT280" s="106"/>
      <c r="CU280" s="106"/>
      <c r="CV280" s="106"/>
      <c r="CW280" s="106"/>
      <c r="CX280" s="106"/>
      <c r="CY280" s="106"/>
      <c r="CZ280" s="106"/>
      <c r="DA280" s="106"/>
      <c r="DB280" s="106"/>
      <c r="DC280" s="106"/>
      <c r="DD280" s="106"/>
      <c r="DE280" s="106"/>
      <c r="DF280" s="106"/>
      <c r="DG280" s="106"/>
      <c r="DH280" s="106"/>
      <c r="DI280" s="106"/>
      <c r="DJ280" s="106"/>
      <c r="DK280" s="106"/>
      <c r="DL280" s="106"/>
      <c r="DM280" s="106"/>
      <c r="DN280" s="106"/>
      <c r="DO280" s="106"/>
      <c r="DP280" s="106"/>
      <c r="DQ280" s="106"/>
      <c r="DR280" s="106"/>
      <c r="DS280" s="106"/>
      <c r="DT280" s="106"/>
      <c r="DU280" s="106"/>
      <c r="DV280" s="106"/>
      <c r="DW280" s="106"/>
      <c r="DX280" s="106"/>
      <c r="DY280" s="106"/>
      <c r="DZ280" s="106"/>
      <c r="EA280" s="106"/>
      <c r="EB280" s="106"/>
      <c r="EC280" s="106"/>
      <c r="ED280" s="106"/>
      <c r="EE280" s="106"/>
      <c r="EF280" s="106"/>
      <c r="EG280" s="106"/>
      <c r="EH280" s="106"/>
      <c r="EI280" s="106"/>
    </row>
    <row r="281" spans="3:139" ht="15.75" customHeight="1" x14ac:dyDescent="0.25"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  <c r="CR281" s="106"/>
      <c r="CS281" s="106"/>
      <c r="CT281" s="106"/>
      <c r="CU281" s="106"/>
      <c r="CV281" s="106"/>
      <c r="CW281" s="106"/>
      <c r="CX281" s="106"/>
      <c r="CY281" s="106"/>
      <c r="CZ281" s="106"/>
      <c r="DA281" s="106"/>
      <c r="DB281" s="106"/>
      <c r="DC281" s="106"/>
      <c r="DD281" s="106"/>
      <c r="DE281" s="106"/>
      <c r="DF281" s="106"/>
      <c r="DG281" s="106"/>
      <c r="DH281" s="106"/>
      <c r="DI281" s="106"/>
      <c r="DJ281" s="106"/>
      <c r="DK281" s="106"/>
      <c r="DL281" s="106"/>
      <c r="DM281" s="106"/>
      <c r="DN281" s="106"/>
      <c r="DO281" s="106"/>
      <c r="DP281" s="106"/>
      <c r="DQ281" s="106"/>
      <c r="DR281" s="106"/>
      <c r="DS281" s="106"/>
      <c r="DT281" s="106"/>
      <c r="DU281" s="106"/>
      <c r="DV281" s="106"/>
      <c r="DW281" s="106"/>
      <c r="DX281" s="106"/>
      <c r="DY281" s="106"/>
      <c r="DZ281" s="106"/>
      <c r="EA281" s="106"/>
      <c r="EB281" s="106"/>
      <c r="EC281" s="106"/>
      <c r="ED281" s="106"/>
      <c r="EE281" s="106"/>
      <c r="EF281" s="106"/>
      <c r="EG281" s="106"/>
      <c r="EH281" s="106"/>
      <c r="EI281" s="106"/>
    </row>
    <row r="282" spans="3:139" ht="15.75" customHeight="1" x14ac:dyDescent="0.25"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  <c r="CR282" s="106"/>
      <c r="CS282" s="106"/>
      <c r="CT282" s="106"/>
      <c r="CU282" s="106"/>
      <c r="CV282" s="106"/>
      <c r="CW282" s="106"/>
      <c r="CX282" s="106"/>
      <c r="CY282" s="106"/>
      <c r="CZ282" s="106"/>
      <c r="DA282" s="106"/>
      <c r="DB282" s="106"/>
      <c r="DC282" s="106"/>
      <c r="DD282" s="106"/>
      <c r="DE282" s="106"/>
      <c r="DF282" s="106"/>
      <c r="DG282" s="106"/>
      <c r="DH282" s="106"/>
      <c r="DI282" s="106"/>
      <c r="DJ282" s="106"/>
      <c r="DK282" s="106"/>
      <c r="DL282" s="106"/>
      <c r="DM282" s="106"/>
      <c r="DN282" s="106"/>
      <c r="DO282" s="106"/>
      <c r="DP282" s="106"/>
      <c r="DQ282" s="106"/>
      <c r="DR282" s="106"/>
      <c r="DS282" s="106"/>
      <c r="DT282" s="106"/>
      <c r="DU282" s="106"/>
      <c r="DV282" s="106"/>
      <c r="DW282" s="106"/>
      <c r="DX282" s="106"/>
      <c r="DY282" s="106"/>
      <c r="DZ282" s="106"/>
      <c r="EA282" s="106"/>
      <c r="EB282" s="106"/>
      <c r="EC282" s="106"/>
      <c r="ED282" s="106"/>
      <c r="EE282" s="106"/>
      <c r="EF282" s="106"/>
      <c r="EG282" s="106"/>
      <c r="EH282" s="106"/>
      <c r="EI282" s="106"/>
    </row>
    <row r="283" spans="3:139" ht="15.75" customHeight="1" x14ac:dyDescent="0.25"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  <c r="CR283" s="106"/>
      <c r="CS283" s="106"/>
      <c r="CT283" s="106"/>
      <c r="CU283" s="106"/>
      <c r="CV283" s="106"/>
      <c r="CW283" s="106"/>
      <c r="CX283" s="106"/>
      <c r="CY283" s="106"/>
      <c r="CZ283" s="106"/>
      <c r="DA283" s="106"/>
      <c r="DB283" s="106"/>
      <c r="DC283" s="106"/>
      <c r="DD283" s="106"/>
      <c r="DE283" s="106"/>
      <c r="DF283" s="106"/>
      <c r="DG283" s="106"/>
      <c r="DH283" s="106"/>
      <c r="DI283" s="106"/>
      <c r="DJ283" s="106"/>
      <c r="DK283" s="106"/>
      <c r="DL283" s="106"/>
      <c r="DM283" s="106"/>
      <c r="DN283" s="106"/>
      <c r="DO283" s="106"/>
      <c r="DP283" s="106"/>
      <c r="DQ283" s="106"/>
      <c r="DR283" s="106"/>
      <c r="DS283" s="106"/>
      <c r="DT283" s="106"/>
      <c r="DU283" s="106"/>
      <c r="DV283" s="106"/>
      <c r="DW283" s="106"/>
      <c r="DX283" s="106"/>
      <c r="DY283" s="106"/>
      <c r="DZ283" s="106"/>
      <c r="EA283" s="106"/>
      <c r="EB283" s="106"/>
      <c r="EC283" s="106"/>
      <c r="ED283" s="106"/>
      <c r="EE283" s="106"/>
      <c r="EF283" s="106"/>
      <c r="EG283" s="106"/>
      <c r="EH283" s="106"/>
      <c r="EI283" s="106"/>
    </row>
    <row r="284" spans="3:139" ht="15.75" customHeight="1" x14ac:dyDescent="0.25"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  <c r="CR284" s="106"/>
      <c r="CS284" s="106"/>
      <c r="CT284" s="106"/>
      <c r="CU284" s="106"/>
      <c r="CV284" s="106"/>
      <c r="CW284" s="106"/>
      <c r="CX284" s="106"/>
      <c r="CY284" s="106"/>
      <c r="CZ284" s="106"/>
      <c r="DA284" s="106"/>
      <c r="DB284" s="106"/>
      <c r="DC284" s="106"/>
      <c r="DD284" s="106"/>
      <c r="DE284" s="106"/>
      <c r="DF284" s="106"/>
      <c r="DG284" s="106"/>
      <c r="DH284" s="106"/>
      <c r="DI284" s="106"/>
      <c r="DJ284" s="106"/>
      <c r="DK284" s="106"/>
      <c r="DL284" s="106"/>
      <c r="DM284" s="106"/>
      <c r="DN284" s="106"/>
      <c r="DO284" s="106"/>
      <c r="DP284" s="106"/>
      <c r="DQ284" s="106"/>
      <c r="DR284" s="106"/>
      <c r="DS284" s="106"/>
      <c r="DT284" s="106"/>
      <c r="DU284" s="106"/>
      <c r="DV284" s="106"/>
      <c r="DW284" s="106"/>
      <c r="DX284" s="106"/>
      <c r="DY284" s="106"/>
      <c r="DZ284" s="106"/>
      <c r="EA284" s="106"/>
      <c r="EB284" s="106"/>
      <c r="EC284" s="106"/>
      <c r="ED284" s="106"/>
      <c r="EE284" s="106"/>
      <c r="EF284" s="106"/>
      <c r="EG284" s="106"/>
      <c r="EH284" s="106"/>
      <c r="EI284" s="106"/>
    </row>
    <row r="285" spans="3:139" ht="15.75" customHeight="1" x14ac:dyDescent="0.25"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  <c r="CR285" s="106"/>
      <c r="CS285" s="106"/>
      <c r="CT285" s="106"/>
      <c r="CU285" s="106"/>
      <c r="CV285" s="106"/>
      <c r="CW285" s="106"/>
      <c r="CX285" s="106"/>
      <c r="CY285" s="106"/>
      <c r="CZ285" s="106"/>
      <c r="DA285" s="106"/>
      <c r="DB285" s="106"/>
      <c r="DC285" s="106"/>
      <c r="DD285" s="106"/>
      <c r="DE285" s="106"/>
      <c r="DF285" s="106"/>
      <c r="DG285" s="106"/>
      <c r="DH285" s="106"/>
      <c r="DI285" s="106"/>
      <c r="DJ285" s="106"/>
      <c r="DK285" s="106"/>
      <c r="DL285" s="106"/>
      <c r="DM285" s="106"/>
      <c r="DN285" s="106"/>
      <c r="DO285" s="106"/>
      <c r="DP285" s="106"/>
      <c r="DQ285" s="106"/>
      <c r="DR285" s="106"/>
      <c r="DS285" s="106"/>
      <c r="DT285" s="106"/>
      <c r="DU285" s="106"/>
      <c r="DV285" s="106"/>
      <c r="DW285" s="106"/>
      <c r="DX285" s="106"/>
      <c r="DY285" s="106"/>
      <c r="DZ285" s="106"/>
      <c r="EA285" s="106"/>
      <c r="EB285" s="106"/>
      <c r="EC285" s="106"/>
      <c r="ED285" s="106"/>
      <c r="EE285" s="106"/>
      <c r="EF285" s="106"/>
      <c r="EG285" s="106"/>
      <c r="EH285" s="106"/>
      <c r="EI285" s="106"/>
    </row>
    <row r="286" spans="3:139" ht="15.75" customHeight="1" x14ac:dyDescent="0.25"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  <c r="CZ286" s="106"/>
      <c r="DA286" s="106"/>
      <c r="DB286" s="106"/>
      <c r="DC286" s="106"/>
      <c r="DD286" s="106"/>
      <c r="DE286" s="106"/>
      <c r="DF286" s="106"/>
      <c r="DG286" s="106"/>
      <c r="DH286" s="106"/>
      <c r="DI286" s="106"/>
      <c r="DJ286" s="106"/>
      <c r="DK286" s="106"/>
      <c r="DL286" s="106"/>
      <c r="DM286" s="106"/>
      <c r="DN286" s="106"/>
      <c r="DO286" s="106"/>
      <c r="DP286" s="106"/>
      <c r="DQ286" s="106"/>
      <c r="DR286" s="106"/>
      <c r="DS286" s="106"/>
      <c r="DT286" s="106"/>
      <c r="DU286" s="106"/>
      <c r="DV286" s="106"/>
      <c r="DW286" s="106"/>
      <c r="DX286" s="106"/>
      <c r="DY286" s="106"/>
      <c r="DZ286" s="106"/>
      <c r="EA286" s="106"/>
      <c r="EB286" s="106"/>
      <c r="EC286" s="106"/>
      <c r="ED286" s="106"/>
      <c r="EE286" s="106"/>
      <c r="EF286" s="106"/>
      <c r="EG286" s="106"/>
      <c r="EH286" s="106"/>
      <c r="EI286" s="106"/>
    </row>
    <row r="287" spans="3:139" ht="15.75" customHeight="1" x14ac:dyDescent="0.25"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  <c r="CR287" s="106"/>
      <c r="CS287" s="106"/>
      <c r="CT287" s="106"/>
      <c r="CU287" s="106"/>
      <c r="CV287" s="106"/>
      <c r="CW287" s="106"/>
      <c r="CX287" s="106"/>
      <c r="CY287" s="106"/>
      <c r="CZ287" s="106"/>
      <c r="DA287" s="106"/>
      <c r="DB287" s="106"/>
      <c r="DC287" s="106"/>
      <c r="DD287" s="106"/>
      <c r="DE287" s="106"/>
      <c r="DF287" s="106"/>
      <c r="DG287" s="106"/>
      <c r="DH287" s="106"/>
      <c r="DI287" s="106"/>
      <c r="DJ287" s="106"/>
      <c r="DK287" s="106"/>
      <c r="DL287" s="106"/>
      <c r="DM287" s="106"/>
      <c r="DN287" s="106"/>
      <c r="DO287" s="106"/>
      <c r="DP287" s="106"/>
      <c r="DQ287" s="106"/>
      <c r="DR287" s="106"/>
      <c r="DS287" s="106"/>
      <c r="DT287" s="106"/>
      <c r="DU287" s="106"/>
      <c r="DV287" s="106"/>
      <c r="DW287" s="106"/>
      <c r="DX287" s="106"/>
      <c r="DY287" s="106"/>
      <c r="DZ287" s="106"/>
      <c r="EA287" s="106"/>
      <c r="EB287" s="106"/>
      <c r="EC287" s="106"/>
      <c r="ED287" s="106"/>
      <c r="EE287" s="106"/>
      <c r="EF287" s="106"/>
      <c r="EG287" s="106"/>
      <c r="EH287" s="106"/>
      <c r="EI287" s="106"/>
    </row>
    <row r="288" spans="3:139" ht="15.75" customHeight="1" x14ac:dyDescent="0.25"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  <c r="CZ288" s="106"/>
      <c r="DA288" s="106"/>
      <c r="DB288" s="106"/>
      <c r="DC288" s="106"/>
      <c r="DD288" s="106"/>
      <c r="DE288" s="106"/>
      <c r="DF288" s="106"/>
      <c r="DG288" s="106"/>
      <c r="DH288" s="106"/>
      <c r="DI288" s="106"/>
      <c r="DJ288" s="106"/>
      <c r="DK288" s="106"/>
      <c r="DL288" s="106"/>
      <c r="DM288" s="106"/>
      <c r="DN288" s="106"/>
      <c r="DO288" s="106"/>
      <c r="DP288" s="106"/>
      <c r="DQ288" s="106"/>
      <c r="DR288" s="106"/>
      <c r="DS288" s="106"/>
      <c r="DT288" s="106"/>
      <c r="DU288" s="106"/>
      <c r="DV288" s="106"/>
      <c r="DW288" s="106"/>
      <c r="DX288" s="106"/>
      <c r="DY288" s="106"/>
      <c r="DZ288" s="106"/>
      <c r="EA288" s="106"/>
      <c r="EB288" s="106"/>
      <c r="EC288" s="106"/>
      <c r="ED288" s="106"/>
      <c r="EE288" s="106"/>
      <c r="EF288" s="106"/>
      <c r="EG288" s="106"/>
      <c r="EH288" s="106"/>
      <c r="EI288" s="106"/>
    </row>
    <row r="289" spans="3:139" ht="15.75" customHeight="1" x14ac:dyDescent="0.25"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  <c r="CR289" s="106"/>
      <c r="CS289" s="106"/>
      <c r="CT289" s="106"/>
      <c r="CU289" s="106"/>
      <c r="CV289" s="106"/>
      <c r="CW289" s="106"/>
      <c r="CX289" s="106"/>
      <c r="CY289" s="106"/>
      <c r="CZ289" s="106"/>
      <c r="DA289" s="106"/>
      <c r="DB289" s="106"/>
      <c r="DC289" s="106"/>
      <c r="DD289" s="106"/>
      <c r="DE289" s="106"/>
      <c r="DF289" s="106"/>
      <c r="DG289" s="106"/>
      <c r="DH289" s="106"/>
      <c r="DI289" s="106"/>
      <c r="DJ289" s="106"/>
      <c r="DK289" s="106"/>
      <c r="DL289" s="106"/>
      <c r="DM289" s="106"/>
      <c r="DN289" s="106"/>
      <c r="DO289" s="106"/>
      <c r="DP289" s="106"/>
      <c r="DQ289" s="106"/>
      <c r="DR289" s="106"/>
      <c r="DS289" s="106"/>
      <c r="DT289" s="106"/>
      <c r="DU289" s="106"/>
      <c r="DV289" s="106"/>
      <c r="DW289" s="106"/>
      <c r="DX289" s="106"/>
      <c r="DY289" s="106"/>
      <c r="DZ289" s="106"/>
      <c r="EA289" s="106"/>
      <c r="EB289" s="106"/>
      <c r="EC289" s="106"/>
      <c r="ED289" s="106"/>
      <c r="EE289" s="106"/>
      <c r="EF289" s="106"/>
      <c r="EG289" s="106"/>
      <c r="EH289" s="106"/>
      <c r="EI289" s="106"/>
    </row>
    <row r="290" spans="3:139" ht="15.75" customHeight="1" x14ac:dyDescent="0.25"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  <c r="CR290" s="106"/>
      <c r="CS290" s="106"/>
      <c r="CT290" s="106"/>
      <c r="CU290" s="106"/>
      <c r="CV290" s="106"/>
      <c r="CW290" s="106"/>
      <c r="CX290" s="106"/>
      <c r="CY290" s="106"/>
      <c r="CZ290" s="106"/>
      <c r="DA290" s="106"/>
      <c r="DB290" s="106"/>
      <c r="DC290" s="106"/>
      <c r="DD290" s="106"/>
      <c r="DE290" s="106"/>
      <c r="DF290" s="106"/>
      <c r="DG290" s="106"/>
      <c r="DH290" s="106"/>
      <c r="DI290" s="106"/>
      <c r="DJ290" s="106"/>
      <c r="DK290" s="106"/>
      <c r="DL290" s="106"/>
      <c r="DM290" s="106"/>
      <c r="DN290" s="106"/>
      <c r="DO290" s="106"/>
      <c r="DP290" s="106"/>
      <c r="DQ290" s="106"/>
      <c r="DR290" s="106"/>
      <c r="DS290" s="106"/>
      <c r="DT290" s="106"/>
      <c r="DU290" s="106"/>
      <c r="DV290" s="106"/>
      <c r="DW290" s="106"/>
      <c r="DX290" s="106"/>
      <c r="DY290" s="106"/>
      <c r="DZ290" s="106"/>
      <c r="EA290" s="106"/>
      <c r="EB290" s="106"/>
      <c r="EC290" s="106"/>
      <c r="ED290" s="106"/>
      <c r="EE290" s="106"/>
      <c r="EF290" s="106"/>
      <c r="EG290" s="106"/>
      <c r="EH290" s="106"/>
      <c r="EI290" s="106"/>
    </row>
    <row r="291" spans="3:139" ht="15.75" customHeight="1" x14ac:dyDescent="0.25"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  <c r="CR291" s="106"/>
      <c r="CS291" s="106"/>
      <c r="CT291" s="106"/>
      <c r="CU291" s="106"/>
      <c r="CV291" s="106"/>
      <c r="CW291" s="106"/>
      <c r="CX291" s="106"/>
      <c r="CY291" s="106"/>
      <c r="CZ291" s="106"/>
      <c r="DA291" s="106"/>
      <c r="DB291" s="106"/>
      <c r="DC291" s="106"/>
      <c r="DD291" s="106"/>
      <c r="DE291" s="106"/>
      <c r="DF291" s="106"/>
      <c r="DG291" s="106"/>
      <c r="DH291" s="106"/>
      <c r="DI291" s="106"/>
      <c r="DJ291" s="106"/>
      <c r="DK291" s="106"/>
      <c r="DL291" s="106"/>
      <c r="DM291" s="106"/>
      <c r="DN291" s="106"/>
      <c r="DO291" s="106"/>
      <c r="DP291" s="106"/>
      <c r="DQ291" s="106"/>
      <c r="DR291" s="106"/>
      <c r="DS291" s="106"/>
      <c r="DT291" s="106"/>
      <c r="DU291" s="106"/>
      <c r="DV291" s="106"/>
      <c r="DW291" s="106"/>
      <c r="DX291" s="106"/>
      <c r="DY291" s="106"/>
      <c r="DZ291" s="106"/>
      <c r="EA291" s="106"/>
      <c r="EB291" s="106"/>
      <c r="EC291" s="106"/>
      <c r="ED291" s="106"/>
      <c r="EE291" s="106"/>
      <c r="EF291" s="106"/>
      <c r="EG291" s="106"/>
      <c r="EH291" s="106"/>
      <c r="EI291" s="106"/>
    </row>
    <row r="292" spans="3:139" ht="15.75" customHeight="1" x14ac:dyDescent="0.25"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  <c r="CR292" s="106"/>
      <c r="CS292" s="106"/>
      <c r="CT292" s="106"/>
      <c r="CU292" s="106"/>
      <c r="CV292" s="106"/>
      <c r="CW292" s="106"/>
      <c r="CX292" s="106"/>
      <c r="CY292" s="106"/>
      <c r="CZ292" s="106"/>
      <c r="DA292" s="106"/>
      <c r="DB292" s="106"/>
      <c r="DC292" s="106"/>
      <c r="DD292" s="106"/>
      <c r="DE292" s="106"/>
      <c r="DF292" s="106"/>
      <c r="DG292" s="106"/>
      <c r="DH292" s="106"/>
      <c r="DI292" s="106"/>
      <c r="DJ292" s="106"/>
      <c r="DK292" s="106"/>
      <c r="DL292" s="106"/>
      <c r="DM292" s="106"/>
      <c r="DN292" s="106"/>
      <c r="DO292" s="106"/>
      <c r="DP292" s="106"/>
      <c r="DQ292" s="106"/>
      <c r="DR292" s="106"/>
      <c r="DS292" s="106"/>
      <c r="DT292" s="106"/>
      <c r="DU292" s="106"/>
      <c r="DV292" s="106"/>
      <c r="DW292" s="106"/>
      <c r="DX292" s="106"/>
      <c r="DY292" s="106"/>
      <c r="DZ292" s="106"/>
      <c r="EA292" s="106"/>
      <c r="EB292" s="106"/>
      <c r="EC292" s="106"/>
      <c r="ED292" s="106"/>
      <c r="EE292" s="106"/>
      <c r="EF292" s="106"/>
      <c r="EG292" s="106"/>
      <c r="EH292" s="106"/>
      <c r="EI292" s="106"/>
    </row>
    <row r="293" spans="3:139" ht="15.75" customHeight="1" x14ac:dyDescent="0.25"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  <c r="CR293" s="106"/>
      <c r="CS293" s="106"/>
      <c r="CT293" s="106"/>
      <c r="CU293" s="106"/>
      <c r="CV293" s="106"/>
      <c r="CW293" s="106"/>
      <c r="CX293" s="106"/>
      <c r="CY293" s="106"/>
      <c r="CZ293" s="106"/>
      <c r="DA293" s="106"/>
      <c r="DB293" s="106"/>
      <c r="DC293" s="106"/>
      <c r="DD293" s="106"/>
      <c r="DE293" s="106"/>
      <c r="DF293" s="106"/>
      <c r="DG293" s="106"/>
      <c r="DH293" s="106"/>
      <c r="DI293" s="106"/>
      <c r="DJ293" s="106"/>
      <c r="DK293" s="106"/>
      <c r="DL293" s="106"/>
      <c r="DM293" s="106"/>
      <c r="DN293" s="106"/>
      <c r="DO293" s="106"/>
      <c r="DP293" s="106"/>
      <c r="DQ293" s="106"/>
      <c r="DR293" s="106"/>
      <c r="DS293" s="106"/>
      <c r="DT293" s="106"/>
      <c r="DU293" s="106"/>
      <c r="DV293" s="106"/>
      <c r="DW293" s="106"/>
      <c r="DX293" s="106"/>
      <c r="DY293" s="106"/>
      <c r="DZ293" s="106"/>
      <c r="EA293" s="106"/>
      <c r="EB293" s="106"/>
      <c r="EC293" s="106"/>
      <c r="ED293" s="106"/>
      <c r="EE293" s="106"/>
      <c r="EF293" s="106"/>
      <c r="EG293" s="106"/>
      <c r="EH293" s="106"/>
      <c r="EI293" s="106"/>
    </row>
    <row r="294" spans="3:139" ht="15.75" customHeight="1" x14ac:dyDescent="0.25"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  <c r="CR294" s="106"/>
      <c r="CS294" s="106"/>
      <c r="CT294" s="106"/>
      <c r="CU294" s="106"/>
      <c r="CV294" s="106"/>
      <c r="CW294" s="106"/>
      <c r="CX294" s="106"/>
      <c r="CY294" s="106"/>
      <c r="CZ294" s="106"/>
      <c r="DA294" s="106"/>
      <c r="DB294" s="106"/>
      <c r="DC294" s="106"/>
      <c r="DD294" s="106"/>
      <c r="DE294" s="106"/>
      <c r="DF294" s="106"/>
      <c r="DG294" s="106"/>
      <c r="DH294" s="106"/>
      <c r="DI294" s="106"/>
      <c r="DJ294" s="106"/>
      <c r="DK294" s="106"/>
      <c r="DL294" s="106"/>
      <c r="DM294" s="106"/>
      <c r="DN294" s="106"/>
      <c r="DO294" s="106"/>
      <c r="DP294" s="106"/>
      <c r="DQ294" s="106"/>
      <c r="DR294" s="106"/>
      <c r="DS294" s="106"/>
      <c r="DT294" s="106"/>
      <c r="DU294" s="106"/>
      <c r="DV294" s="106"/>
      <c r="DW294" s="106"/>
      <c r="DX294" s="106"/>
      <c r="DY294" s="106"/>
      <c r="DZ294" s="106"/>
      <c r="EA294" s="106"/>
      <c r="EB294" s="106"/>
      <c r="EC294" s="106"/>
      <c r="ED294" s="106"/>
      <c r="EE294" s="106"/>
      <c r="EF294" s="106"/>
      <c r="EG294" s="106"/>
      <c r="EH294" s="106"/>
      <c r="EI294" s="106"/>
    </row>
    <row r="295" spans="3:139" ht="15.75" customHeight="1" x14ac:dyDescent="0.25"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  <c r="CR295" s="106"/>
      <c r="CS295" s="106"/>
      <c r="CT295" s="106"/>
      <c r="CU295" s="106"/>
      <c r="CV295" s="106"/>
      <c r="CW295" s="106"/>
      <c r="CX295" s="106"/>
      <c r="CY295" s="106"/>
      <c r="CZ295" s="106"/>
      <c r="DA295" s="106"/>
      <c r="DB295" s="106"/>
      <c r="DC295" s="106"/>
      <c r="DD295" s="106"/>
      <c r="DE295" s="106"/>
      <c r="DF295" s="106"/>
      <c r="DG295" s="106"/>
      <c r="DH295" s="106"/>
      <c r="DI295" s="106"/>
      <c r="DJ295" s="106"/>
      <c r="DK295" s="106"/>
      <c r="DL295" s="106"/>
      <c r="DM295" s="106"/>
      <c r="DN295" s="106"/>
      <c r="DO295" s="106"/>
      <c r="DP295" s="106"/>
      <c r="DQ295" s="106"/>
      <c r="DR295" s="106"/>
      <c r="DS295" s="106"/>
      <c r="DT295" s="106"/>
      <c r="DU295" s="106"/>
      <c r="DV295" s="106"/>
      <c r="DW295" s="106"/>
      <c r="DX295" s="106"/>
      <c r="DY295" s="106"/>
      <c r="DZ295" s="106"/>
      <c r="EA295" s="106"/>
      <c r="EB295" s="106"/>
      <c r="EC295" s="106"/>
      <c r="ED295" s="106"/>
      <c r="EE295" s="106"/>
      <c r="EF295" s="106"/>
      <c r="EG295" s="106"/>
      <c r="EH295" s="106"/>
      <c r="EI295" s="106"/>
    </row>
    <row r="296" spans="3:139" ht="15.75" customHeight="1" x14ac:dyDescent="0.25"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  <c r="CR296" s="106"/>
      <c r="CS296" s="106"/>
      <c r="CT296" s="106"/>
      <c r="CU296" s="106"/>
      <c r="CV296" s="106"/>
      <c r="CW296" s="106"/>
      <c r="CX296" s="106"/>
      <c r="CY296" s="106"/>
      <c r="CZ296" s="106"/>
      <c r="DA296" s="106"/>
      <c r="DB296" s="106"/>
      <c r="DC296" s="106"/>
      <c r="DD296" s="106"/>
      <c r="DE296" s="106"/>
      <c r="DF296" s="106"/>
      <c r="DG296" s="106"/>
      <c r="DH296" s="106"/>
      <c r="DI296" s="106"/>
      <c r="DJ296" s="106"/>
      <c r="DK296" s="106"/>
      <c r="DL296" s="106"/>
      <c r="DM296" s="106"/>
      <c r="DN296" s="106"/>
      <c r="DO296" s="106"/>
      <c r="DP296" s="106"/>
      <c r="DQ296" s="106"/>
      <c r="DR296" s="106"/>
      <c r="DS296" s="106"/>
      <c r="DT296" s="106"/>
      <c r="DU296" s="106"/>
      <c r="DV296" s="106"/>
      <c r="DW296" s="106"/>
      <c r="DX296" s="106"/>
      <c r="DY296" s="106"/>
      <c r="DZ296" s="106"/>
      <c r="EA296" s="106"/>
      <c r="EB296" s="106"/>
      <c r="EC296" s="106"/>
      <c r="ED296" s="106"/>
      <c r="EE296" s="106"/>
      <c r="EF296" s="106"/>
      <c r="EG296" s="106"/>
      <c r="EH296" s="106"/>
      <c r="EI296" s="106"/>
    </row>
    <row r="297" spans="3:139" ht="15.75" customHeight="1" x14ac:dyDescent="0.25"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  <c r="CR297" s="106"/>
      <c r="CS297" s="106"/>
      <c r="CT297" s="106"/>
      <c r="CU297" s="106"/>
      <c r="CV297" s="106"/>
      <c r="CW297" s="106"/>
      <c r="CX297" s="106"/>
      <c r="CY297" s="106"/>
      <c r="CZ297" s="106"/>
      <c r="DA297" s="106"/>
      <c r="DB297" s="106"/>
      <c r="DC297" s="106"/>
      <c r="DD297" s="106"/>
      <c r="DE297" s="106"/>
      <c r="DF297" s="106"/>
      <c r="DG297" s="106"/>
      <c r="DH297" s="106"/>
      <c r="DI297" s="106"/>
      <c r="DJ297" s="106"/>
      <c r="DK297" s="106"/>
      <c r="DL297" s="106"/>
      <c r="DM297" s="106"/>
      <c r="DN297" s="106"/>
      <c r="DO297" s="106"/>
      <c r="DP297" s="106"/>
      <c r="DQ297" s="106"/>
      <c r="DR297" s="106"/>
      <c r="DS297" s="106"/>
      <c r="DT297" s="106"/>
      <c r="DU297" s="106"/>
      <c r="DV297" s="106"/>
      <c r="DW297" s="106"/>
      <c r="DX297" s="106"/>
      <c r="DY297" s="106"/>
      <c r="DZ297" s="106"/>
      <c r="EA297" s="106"/>
      <c r="EB297" s="106"/>
      <c r="EC297" s="106"/>
      <c r="ED297" s="106"/>
      <c r="EE297" s="106"/>
      <c r="EF297" s="106"/>
      <c r="EG297" s="106"/>
      <c r="EH297" s="106"/>
      <c r="EI297" s="106"/>
    </row>
    <row r="298" spans="3:139" ht="15.75" customHeight="1" x14ac:dyDescent="0.25"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  <c r="CR298" s="106"/>
      <c r="CS298" s="106"/>
      <c r="CT298" s="106"/>
      <c r="CU298" s="106"/>
      <c r="CV298" s="106"/>
      <c r="CW298" s="106"/>
      <c r="CX298" s="106"/>
      <c r="CY298" s="106"/>
      <c r="CZ298" s="106"/>
      <c r="DA298" s="106"/>
      <c r="DB298" s="106"/>
      <c r="DC298" s="106"/>
      <c r="DD298" s="106"/>
      <c r="DE298" s="106"/>
      <c r="DF298" s="106"/>
      <c r="DG298" s="106"/>
      <c r="DH298" s="106"/>
      <c r="DI298" s="106"/>
      <c r="DJ298" s="106"/>
      <c r="DK298" s="106"/>
      <c r="DL298" s="106"/>
      <c r="DM298" s="106"/>
      <c r="DN298" s="106"/>
      <c r="DO298" s="106"/>
      <c r="DP298" s="106"/>
      <c r="DQ298" s="106"/>
      <c r="DR298" s="106"/>
      <c r="DS298" s="106"/>
      <c r="DT298" s="106"/>
      <c r="DU298" s="106"/>
      <c r="DV298" s="106"/>
      <c r="DW298" s="106"/>
      <c r="DX298" s="106"/>
      <c r="DY298" s="106"/>
      <c r="DZ298" s="106"/>
      <c r="EA298" s="106"/>
      <c r="EB298" s="106"/>
      <c r="EC298" s="106"/>
      <c r="ED298" s="106"/>
      <c r="EE298" s="106"/>
      <c r="EF298" s="106"/>
      <c r="EG298" s="106"/>
      <c r="EH298" s="106"/>
      <c r="EI298" s="106"/>
    </row>
    <row r="299" spans="3:139" ht="15.75" customHeight="1" x14ac:dyDescent="0.25"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  <c r="CR299" s="106"/>
      <c r="CS299" s="106"/>
      <c r="CT299" s="106"/>
      <c r="CU299" s="106"/>
      <c r="CV299" s="106"/>
      <c r="CW299" s="106"/>
      <c r="CX299" s="106"/>
      <c r="CY299" s="106"/>
      <c r="CZ299" s="106"/>
      <c r="DA299" s="106"/>
      <c r="DB299" s="106"/>
      <c r="DC299" s="106"/>
      <c r="DD299" s="106"/>
      <c r="DE299" s="106"/>
      <c r="DF299" s="106"/>
      <c r="DG299" s="106"/>
      <c r="DH299" s="106"/>
      <c r="DI299" s="106"/>
      <c r="DJ299" s="106"/>
      <c r="DK299" s="106"/>
      <c r="DL299" s="106"/>
      <c r="DM299" s="106"/>
      <c r="DN299" s="106"/>
      <c r="DO299" s="106"/>
      <c r="DP299" s="106"/>
      <c r="DQ299" s="106"/>
      <c r="DR299" s="106"/>
      <c r="DS299" s="106"/>
      <c r="DT299" s="106"/>
      <c r="DU299" s="106"/>
      <c r="DV299" s="106"/>
      <c r="DW299" s="106"/>
      <c r="DX299" s="106"/>
      <c r="DY299" s="106"/>
      <c r="DZ299" s="106"/>
      <c r="EA299" s="106"/>
      <c r="EB299" s="106"/>
      <c r="EC299" s="106"/>
      <c r="ED299" s="106"/>
      <c r="EE299" s="106"/>
      <c r="EF299" s="106"/>
      <c r="EG299" s="106"/>
      <c r="EH299" s="106"/>
      <c r="EI299" s="106"/>
    </row>
    <row r="300" spans="3:139" ht="15.75" customHeight="1" x14ac:dyDescent="0.25"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  <c r="CR300" s="106"/>
      <c r="CS300" s="106"/>
      <c r="CT300" s="106"/>
      <c r="CU300" s="106"/>
      <c r="CV300" s="106"/>
      <c r="CW300" s="106"/>
      <c r="CX300" s="106"/>
      <c r="CY300" s="106"/>
      <c r="CZ300" s="106"/>
      <c r="DA300" s="106"/>
      <c r="DB300" s="106"/>
      <c r="DC300" s="106"/>
      <c r="DD300" s="106"/>
      <c r="DE300" s="106"/>
      <c r="DF300" s="106"/>
      <c r="DG300" s="106"/>
      <c r="DH300" s="106"/>
      <c r="DI300" s="106"/>
      <c r="DJ300" s="106"/>
      <c r="DK300" s="106"/>
      <c r="DL300" s="106"/>
      <c r="DM300" s="106"/>
      <c r="DN300" s="106"/>
      <c r="DO300" s="106"/>
      <c r="DP300" s="106"/>
      <c r="DQ300" s="106"/>
      <c r="DR300" s="106"/>
      <c r="DS300" s="106"/>
      <c r="DT300" s="106"/>
      <c r="DU300" s="106"/>
      <c r="DV300" s="106"/>
      <c r="DW300" s="106"/>
      <c r="DX300" s="106"/>
      <c r="DY300" s="106"/>
      <c r="DZ300" s="106"/>
      <c r="EA300" s="106"/>
      <c r="EB300" s="106"/>
      <c r="EC300" s="106"/>
      <c r="ED300" s="106"/>
      <c r="EE300" s="106"/>
      <c r="EF300" s="106"/>
      <c r="EG300" s="106"/>
      <c r="EH300" s="106"/>
      <c r="EI300" s="106"/>
    </row>
    <row r="301" spans="3:139" ht="15.75" customHeight="1" x14ac:dyDescent="0.25"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  <c r="CR301" s="106"/>
      <c r="CS301" s="106"/>
      <c r="CT301" s="106"/>
      <c r="CU301" s="106"/>
      <c r="CV301" s="106"/>
      <c r="CW301" s="106"/>
      <c r="CX301" s="106"/>
      <c r="CY301" s="106"/>
      <c r="CZ301" s="106"/>
      <c r="DA301" s="106"/>
      <c r="DB301" s="106"/>
      <c r="DC301" s="106"/>
      <c r="DD301" s="106"/>
      <c r="DE301" s="106"/>
      <c r="DF301" s="106"/>
      <c r="DG301" s="106"/>
      <c r="DH301" s="106"/>
      <c r="DI301" s="106"/>
      <c r="DJ301" s="106"/>
      <c r="DK301" s="106"/>
      <c r="DL301" s="106"/>
      <c r="DM301" s="106"/>
      <c r="DN301" s="106"/>
      <c r="DO301" s="106"/>
      <c r="DP301" s="106"/>
      <c r="DQ301" s="106"/>
      <c r="DR301" s="106"/>
      <c r="DS301" s="106"/>
      <c r="DT301" s="106"/>
      <c r="DU301" s="106"/>
      <c r="DV301" s="106"/>
      <c r="DW301" s="106"/>
      <c r="DX301" s="106"/>
      <c r="DY301" s="106"/>
      <c r="DZ301" s="106"/>
      <c r="EA301" s="106"/>
      <c r="EB301" s="106"/>
      <c r="EC301" s="106"/>
      <c r="ED301" s="106"/>
      <c r="EE301" s="106"/>
      <c r="EF301" s="106"/>
      <c r="EG301" s="106"/>
      <c r="EH301" s="106"/>
      <c r="EI301" s="106"/>
    </row>
    <row r="302" spans="3:139" ht="15.75" customHeight="1" x14ac:dyDescent="0.25"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  <c r="CR302" s="106"/>
      <c r="CS302" s="106"/>
      <c r="CT302" s="106"/>
      <c r="CU302" s="106"/>
      <c r="CV302" s="106"/>
      <c r="CW302" s="106"/>
      <c r="CX302" s="106"/>
      <c r="CY302" s="106"/>
      <c r="CZ302" s="106"/>
      <c r="DA302" s="106"/>
      <c r="DB302" s="106"/>
      <c r="DC302" s="106"/>
      <c r="DD302" s="106"/>
      <c r="DE302" s="106"/>
      <c r="DF302" s="106"/>
      <c r="DG302" s="106"/>
      <c r="DH302" s="106"/>
      <c r="DI302" s="106"/>
      <c r="DJ302" s="106"/>
      <c r="DK302" s="106"/>
      <c r="DL302" s="106"/>
      <c r="DM302" s="106"/>
      <c r="DN302" s="106"/>
      <c r="DO302" s="106"/>
      <c r="DP302" s="106"/>
      <c r="DQ302" s="106"/>
      <c r="DR302" s="106"/>
      <c r="DS302" s="106"/>
      <c r="DT302" s="106"/>
      <c r="DU302" s="106"/>
      <c r="DV302" s="106"/>
      <c r="DW302" s="106"/>
      <c r="DX302" s="106"/>
      <c r="DY302" s="106"/>
      <c r="DZ302" s="106"/>
      <c r="EA302" s="106"/>
      <c r="EB302" s="106"/>
      <c r="EC302" s="106"/>
      <c r="ED302" s="106"/>
      <c r="EE302" s="106"/>
      <c r="EF302" s="106"/>
      <c r="EG302" s="106"/>
      <c r="EH302" s="106"/>
      <c r="EI302" s="106"/>
    </row>
    <row r="303" spans="3:139" ht="15.75" customHeight="1" x14ac:dyDescent="0.25"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  <c r="CR303" s="106"/>
      <c r="CS303" s="106"/>
      <c r="CT303" s="106"/>
      <c r="CU303" s="106"/>
      <c r="CV303" s="106"/>
      <c r="CW303" s="106"/>
      <c r="CX303" s="106"/>
      <c r="CY303" s="106"/>
      <c r="CZ303" s="106"/>
      <c r="DA303" s="106"/>
      <c r="DB303" s="106"/>
      <c r="DC303" s="106"/>
      <c r="DD303" s="106"/>
      <c r="DE303" s="106"/>
      <c r="DF303" s="106"/>
      <c r="DG303" s="106"/>
      <c r="DH303" s="106"/>
      <c r="DI303" s="106"/>
      <c r="DJ303" s="106"/>
      <c r="DK303" s="106"/>
      <c r="DL303" s="106"/>
      <c r="DM303" s="106"/>
      <c r="DN303" s="106"/>
      <c r="DO303" s="106"/>
      <c r="DP303" s="106"/>
      <c r="DQ303" s="106"/>
      <c r="DR303" s="106"/>
      <c r="DS303" s="106"/>
      <c r="DT303" s="106"/>
      <c r="DU303" s="106"/>
      <c r="DV303" s="106"/>
      <c r="DW303" s="106"/>
      <c r="DX303" s="106"/>
      <c r="DY303" s="106"/>
      <c r="DZ303" s="106"/>
      <c r="EA303" s="106"/>
      <c r="EB303" s="106"/>
      <c r="EC303" s="106"/>
      <c r="ED303" s="106"/>
      <c r="EE303" s="106"/>
      <c r="EF303" s="106"/>
      <c r="EG303" s="106"/>
      <c r="EH303" s="106"/>
      <c r="EI303" s="106"/>
    </row>
    <row r="304" spans="3:139" ht="15.75" customHeight="1" x14ac:dyDescent="0.25"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  <c r="CR304" s="106"/>
      <c r="CS304" s="106"/>
      <c r="CT304" s="106"/>
      <c r="CU304" s="106"/>
      <c r="CV304" s="106"/>
      <c r="CW304" s="106"/>
      <c r="CX304" s="106"/>
      <c r="CY304" s="106"/>
      <c r="CZ304" s="106"/>
      <c r="DA304" s="106"/>
      <c r="DB304" s="106"/>
      <c r="DC304" s="106"/>
      <c r="DD304" s="106"/>
      <c r="DE304" s="106"/>
      <c r="DF304" s="106"/>
      <c r="DG304" s="106"/>
      <c r="DH304" s="106"/>
      <c r="DI304" s="106"/>
      <c r="DJ304" s="106"/>
      <c r="DK304" s="106"/>
      <c r="DL304" s="106"/>
      <c r="DM304" s="106"/>
      <c r="DN304" s="106"/>
      <c r="DO304" s="106"/>
      <c r="DP304" s="106"/>
      <c r="DQ304" s="106"/>
      <c r="DR304" s="106"/>
      <c r="DS304" s="106"/>
      <c r="DT304" s="106"/>
      <c r="DU304" s="106"/>
      <c r="DV304" s="106"/>
      <c r="DW304" s="106"/>
      <c r="DX304" s="106"/>
      <c r="DY304" s="106"/>
      <c r="DZ304" s="106"/>
      <c r="EA304" s="106"/>
      <c r="EB304" s="106"/>
      <c r="EC304" s="106"/>
      <c r="ED304" s="106"/>
      <c r="EE304" s="106"/>
      <c r="EF304" s="106"/>
      <c r="EG304" s="106"/>
      <c r="EH304" s="106"/>
      <c r="EI304" s="106"/>
    </row>
    <row r="305" spans="3:139" ht="15.75" customHeight="1" x14ac:dyDescent="0.25"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  <c r="CR305" s="106"/>
      <c r="CS305" s="106"/>
      <c r="CT305" s="106"/>
      <c r="CU305" s="106"/>
      <c r="CV305" s="106"/>
      <c r="CW305" s="106"/>
      <c r="CX305" s="106"/>
      <c r="CY305" s="106"/>
      <c r="CZ305" s="106"/>
      <c r="DA305" s="106"/>
      <c r="DB305" s="106"/>
      <c r="DC305" s="106"/>
      <c r="DD305" s="106"/>
      <c r="DE305" s="106"/>
      <c r="DF305" s="106"/>
      <c r="DG305" s="106"/>
      <c r="DH305" s="106"/>
      <c r="DI305" s="106"/>
      <c r="DJ305" s="106"/>
      <c r="DK305" s="106"/>
      <c r="DL305" s="106"/>
      <c r="DM305" s="106"/>
      <c r="DN305" s="106"/>
      <c r="DO305" s="106"/>
      <c r="DP305" s="106"/>
      <c r="DQ305" s="106"/>
      <c r="DR305" s="106"/>
      <c r="DS305" s="106"/>
      <c r="DT305" s="106"/>
      <c r="DU305" s="106"/>
      <c r="DV305" s="106"/>
      <c r="DW305" s="106"/>
      <c r="DX305" s="106"/>
      <c r="DY305" s="106"/>
      <c r="DZ305" s="106"/>
      <c r="EA305" s="106"/>
      <c r="EB305" s="106"/>
      <c r="EC305" s="106"/>
      <c r="ED305" s="106"/>
      <c r="EE305" s="106"/>
      <c r="EF305" s="106"/>
      <c r="EG305" s="106"/>
      <c r="EH305" s="106"/>
      <c r="EI305" s="106"/>
    </row>
    <row r="306" spans="3:139" ht="15.75" customHeight="1" x14ac:dyDescent="0.25"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  <c r="CR306" s="106"/>
      <c r="CS306" s="106"/>
      <c r="CT306" s="106"/>
      <c r="CU306" s="106"/>
      <c r="CV306" s="106"/>
      <c r="CW306" s="106"/>
      <c r="CX306" s="106"/>
      <c r="CY306" s="106"/>
      <c r="CZ306" s="106"/>
      <c r="DA306" s="106"/>
      <c r="DB306" s="106"/>
      <c r="DC306" s="106"/>
      <c r="DD306" s="106"/>
      <c r="DE306" s="106"/>
      <c r="DF306" s="106"/>
      <c r="DG306" s="106"/>
      <c r="DH306" s="106"/>
      <c r="DI306" s="106"/>
      <c r="DJ306" s="106"/>
      <c r="DK306" s="106"/>
      <c r="DL306" s="106"/>
      <c r="DM306" s="106"/>
      <c r="DN306" s="106"/>
      <c r="DO306" s="106"/>
      <c r="DP306" s="106"/>
      <c r="DQ306" s="106"/>
      <c r="DR306" s="106"/>
      <c r="DS306" s="106"/>
      <c r="DT306" s="106"/>
      <c r="DU306" s="106"/>
      <c r="DV306" s="106"/>
      <c r="DW306" s="106"/>
      <c r="DX306" s="106"/>
      <c r="DY306" s="106"/>
      <c r="DZ306" s="106"/>
      <c r="EA306" s="106"/>
      <c r="EB306" s="106"/>
      <c r="EC306" s="106"/>
      <c r="ED306" s="106"/>
      <c r="EE306" s="106"/>
      <c r="EF306" s="106"/>
      <c r="EG306" s="106"/>
      <c r="EH306" s="106"/>
      <c r="EI306" s="106"/>
    </row>
    <row r="307" spans="3:139" ht="15.75" customHeight="1" x14ac:dyDescent="0.25"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  <c r="CR307" s="106"/>
      <c r="CS307" s="106"/>
      <c r="CT307" s="106"/>
      <c r="CU307" s="106"/>
      <c r="CV307" s="106"/>
      <c r="CW307" s="106"/>
      <c r="CX307" s="106"/>
      <c r="CY307" s="106"/>
      <c r="CZ307" s="106"/>
      <c r="DA307" s="106"/>
      <c r="DB307" s="106"/>
      <c r="DC307" s="106"/>
      <c r="DD307" s="106"/>
      <c r="DE307" s="106"/>
      <c r="DF307" s="106"/>
      <c r="DG307" s="106"/>
      <c r="DH307" s="106"/>
      <c r="DI307" s="106"/>
      <c r="DJ307" s="106"/>
      <c r="DK307" s="106"/>
      <c r="DL307" s="106"/>
      <c r="DM307" s="106"/>
      <c r="DN307" s="106"/>
      <c r="DO307" s="106"/>
      <c r="DP307" s="106"/>
      <c r="DQ307" s="106"/>
      <c r="DR307" s="106"/>
      <c r="DS307" s="106"/>
      <c r="DT307" s="106"/>
      <c r="DU307" s="106"/>
      <c r="DV307" s="106"/>
      <c r="DW307" s="106"/>
      <c r="DX307" s="106"/>
      <c r="DY307" s="106"/>
      <c r="DZ307" s="106"/>
      <c r="EA307" s="106"/>
      <c r="EB307" s="106"/>
      <c r="EC307" s="106"/>
      <c r="ED307" s="106"/>
      <c r="EE307" s="106"/>
      <c r="EF307" s="106"/>
      <c r="EG307" s="106"/>
      <c r="EH307" s="106"/>
      <c r="EI307" s="106"/>
    </row>
    <row r="308" spans="3:139" ht="15.75" customHeight="1" x14ac:dyDescent="0.25"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  <c r="CR308" s="106"/>
      <c r="CS308" s="106"/>
      <c r="CT308" s="106"/>
      <c r="CU308" s="106"/>
      <c r="CV308" s="106"/>
      <c r="CW308" s="106"/>
      <c r="CX308" s="106"/>
      <c r="CY308" s="106"/>
      <c r="CZ308" s="106"/>
      <c r="DA308" s="106"/>
      <c r="DB308" s="106"/>
      <c r="DC308" s="106"/>
      <c r="DD308" s="106"/>
      <c r="DE308" s="106"/>
      <c r="DF308" s="106"/>
      <c r="DG308" s="106"/>
      <c r="DH308" s="106"/>
      <c r="DI308" s="106"/>
      <c r="DJ308" s="106"/>
      <c r="DK308" s="106"/>
      <c r="DL308" s="106"/>
      <c r="DM308" s="106"/>
      <c r="DN308" s="106"/>
      <c r="DO308" s="106"/>
      <c r="DP308" s="106"/>
      <c r="DQ308" s="106"/>
      <c r="DR308" s="106"/>
      <c r="DS308" s="106"/>
      <c r="DT308" s="106"/>
      <c r="DU308" s="106"/>
      <c r="DV308" s="106"/>
      <c r="DW308" s="106"/>
      <c r="DX308" s="106"/>
      <c r="DY308" s="106"/>
      <c r="DZ308" s="106"/>
      <c r="EA308" s="106"/>
      <c r="EB308" s="106"/>
      <c r="EC308" s="106"/>
      <c r="ED308" s="106"/>
      <c r="EE308" s="106"/>
      <c r="EF308" s="106"/>
      <c r="EG308" s="106"/>
      <c r="EH308" s="106"/>
      <c r="EI308" s="106"/>
    </row>
    <row r="309" spans="3:139" ht="15.75" customHeight="1" x14ac:dyDescent="0.25"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  <c r="CR309" s="106"/>
      <c r="CS309" s="106"/>
      <c r="CT309" s="106"/>
      <c r="CU309" s="106"/>
      <c r="CV309" s="106"/>
      <c r="CW309" s="106"/>
      <c r="CX309" s="106"/>
      <c r="CY309" s="106"/>
      <c r="CZ309" s="106"/>
      <c r="DA309" s="106"/>
      <c r="DB309" s="106"/>
      <c r="DC309" s="106"/>
      <c r="DD309" s="106"/>
      <c r="DE309" s="106"/>
      <c r="DF309" s="106"/>
      <c r="DG309" s="106"/>
      <c r="DH309" s="106"/>
      <c r="DI309" s="106"/>
      <c r="DJ309" s="106"/>
      <c r="DK309" s="106"/>
      <c r="DL309" s="106"/>
      <c r="DM309" s="106"/>
      <c r="DN309" s="106"/>
      <c r="DO309" s="106"/>
      <c r="DP309" s="106"/>
      <c r="DQ309" s="106"/>
      <c r="DR309" s="106"/>
      <c r="DS309" s="106"/>
      <c r="DT309" s="106"/>
      <c r="DU309" s="106"/>
      <c r="DV309" s="106"/>
      <c r="DW309" s="106"/>
      <c r="DX309" s="106"/>
      <c r="DY309" s="106"/>
      <c r="DZ309" s="106"/>
      <c r="EA309" s="106"/>
      <c r="EB309" s="106"/>
      <c r="EC309" s="106"/>
      <c r="ED309" s="106"/>
      <c r="EE309" s="106"/>
      <c r="EF309" s="106"/>
      <c r="EG309" s="106"/>
      <c r="EH309" s="106"/>
      <c r="EI309" s="106"/>
    </row>
    <row r="310" spans="3:139" ht="15.75" customHeight="1" x14ac:dyDescent="0.25"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  <c r="CR310" s="106"/>
      <c r="CS310" s="106"/>
      <c r="CT310" s="106"/>
      <c r="CU310" s="106"/>
      <c r="CV310" s="106"/>
      <c r="CW310" s="106"/>
      <c r="CX310" s="106"/>
      <c r="CY310" s="106"/>
      <c r="CZ310" s="106"/>
      <c r="DA310" s="106"/>
      <c r="DB310" s="106"/>
      <c r="DC310" s="106"/>
      <c r="DD310" s="106"/>
      <c r="DE310" s="106"/>
      <c r="DF310" s="106"/>
      <c r="DG310" s="106"/>
      <c r="DH310" s="106"/>
      <c r="DI310" s="106"/>
      <c r="DJ310" s="106"/>
      <c r="DK310" s="106"/>
      <c r="DL310" s="106"/>
      <c r="DM310" s="106"/>
      <c r="DN310" s="106"/>
      <c r="DO310" s="106"/>
      <c r="DP310" s="106"/>
      <c r="DQ310" s="106"/>
      <c r="DR310" s="106"/>
      <c r="DS310" s="106"/>
      <c r="DT310" s="106"/>
      <c r="DU310" s="106"/>
      <c r="DV310" s="106"/>
      <c r="DW310" s="106"/>
      <c r="DX310" s="106"/>
      <c r="DY310" s="106"/>
      <c r="DZ310" s="106"/>
      <c r="EA310" s="106"/>
      <c r="EB310" s="106"/>
      <c r="EC310" s="106"/>
      <c r="ED310" s="106"/>
      <c r="EE310" s="106"/>
      <c r="EF310" s="106"/>
      <c r="EG310" s="106"/>
      <c r="EH310" s="106"/>
      <c r="EI310" s="106"/>
    </row>
    <row r="311" spans="3:139" ht="15.75" customHeight="1" x14ac:dyDescent="0.25"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  <c r="CR311" s="106"/>
      <c r="CS311" s="106"/>
      <c r="CT311" s="106"/>
      <c r="CU311" s="106"/>
      <c r="CV311" s="106"/>
      <c r="CW311" s="106"/>
      <c r="CX311" s="106"/>
      <c r="CY311" s="106"/>
      <c r="CZ311" s="106"/>
      <c r="DA311" s="106"/>
      <c r="DB311" s="106"/>
      <c r="DC311" s="106"/>
      <c r="DD311" s="106"/>
      <c r="DE311" s="106"/>
      <c r="DF311" s="106"/>
      <c r="DG311" s="106"/>
      <c r="DH311" s="106"/>
      <c r="DI311" s="106"/>
      <c r="DJ311" s="106"/>
      <c r="DK311" s="106"/>
      <c r="DL311" s="106"/>
      <c r="DM311" s="106"/>
      <c r="DN311" s="106"/>
      <c r="DO311" s="106"/>
      <c r="DP311" s="106"/>
      <c r="DQ311" s="106"/>
      <c r="DR311" s="106"/>
      <c r="DS311" s="106"/>
      <c r="DT311" s="106"/>
      <c r="DU311" s="106"/>
      <c r="DV311" s="106"/>
      <c r="DW311" s="106"/>
      <c r="DX311" s="106"/>
      <c r="DY311" s="106"/>
      <c r="DZ311" s="106"/>
      <c r="EA311" s="106"/>
      <c r="EB311" s="106"/>
      <c r="EC311" s="106"/>
      <c r="ED311" s="106"/>
      <c r="EE311" s="106"/>
      <c r="EF311" s="106"/>
      <c r="EG311" s="106"/>
      <c r="EH311" s="106"/>
      <c r="EI311" s="106"/>
    </row>
    <row r="312" spans="3:139" ht="15.75" customHeight="1" x14ac:dyDescent="0.25"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  <c r="CR312" s="106"/>
      <c r="CS312" s="106"/>
      <c r="CT312" s="106"/>
      <c r="CU312" s="106"/>
      <c r="CV312" s="106"/>
      <c r="CW312" s="106"/>
      <c r="CX312" s="106"/>
      <c r="CY312" s="106"/>
      <c r="CZ312" s="106"/>
      <c r="DA312" s="106"/>
      <c r="DB312" s="106"/>
      <c r="DC312" s="106"/>
      <c r="DD312" s="106"/>
      <c r="DE312" s="106"/>
      <c r="DF312" s="106"/>
      <c r="DG312" s="106"/>
      <c r="DH312" s="106"/>
      <c r="DI312" s="106"/>
      <c r="DJ312" s="106"/>
      <c r="DK312" s="106"/>
      <c r="DL312" s="106"/>
      <c r="DM312" s="106"/>
      <c r="DN312" s="106"/>
      <c r="DO312" s="106"/>
      <c r="DP312" s="106"/>
      <c r="DQ312" s="106"/>
      <c r="DR312" s="106"/>
      <c r="DS312" s="106"/>
      <c r="DT312" s="106"/>
      <c r="DU312" s="106"/>
      <c r="DV312" s="106"/>
      <c r="DW312" s="106"/>
      <c r="DX312" s="106"/>
      <c r="DY312" s="106"/>
      <c r="DZ312" s="106"/>
      <c r="EA312" s="106"/>
      <c r="EB312" s="106"/>
      <c r="EC312" s="106"/>
      <c r="ED312" s="106"/>
      <c r="EE312" s="106"/>
      <c r="EF312" s="106"/>
      <c r="EG312" s="106"/>
      <c r="EH312" s="106"/>
      <c r="EI312" s="106"/>
    </row>
    <row r="313" spans="3:139" ht="15.75" customHeight="1" x14ac:dyDescent="0.25"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  <c r="CR313" s="106"/>
      <c r="CS313" s="106"/>
      <c r="CT313" s="106"/>
      <c r="CU313" s="106"/>
      <c r="CV313" s="106"/>
      <c r="CW313" s="106"/>
      <c r="CX313" s="106"/>
      <c r="CY313" s="106"/>
      <c r="CZ313" s="106"/>
      <c r="DA313" s="106"/>
      <c r="DB313" s="106"/>
      <c r="DC313" s="106"/>
      <c r="DD313" s="106"/>
      <c r="DE313" s="106"/>
      <c r="DF313" s="106"/>
      <c r="DG313" s="106"/>
      <c r="DH313" s="106"/>
      <c r="DI313" s="106"/>
      <c r="DJ313" s="106"/>
      <c r="DK313" s="106"/>
      <c r="DL313" s="106"/>
      <c r="DM313" s="106"/>
      <c r="DN313" s="106"/>
      <c r="DO313" s="106"/>
      <c r="DP313" s="106"/>
      <c r="DQ313" s="106"/>
      <c r="DR313" s="106"/>
      <c r="DS313" s="106"/>
      <c r="DT313" s="106"/>
      <c r="DU313" s="106"/>
      <c r="DV313" s="106"/>
      <c r="DW313" s="106"/>
      <c r="DX313" s="106"/>
      <c r="DY313" s="106"/>
      <c r="DZ313" s="106"/>
      <c r="EA313" s="106"/>
      <c r="EB313" s="106"/>
      <c r="EC313" s="106"/>
      <c r="ED313" s="106"/>
      <c r="EE313" s="106"/>
      <c r="EF313" s="106"/>
      <c r="EG313" s="106"/>
      <c r="EH313" s="106"/>
      <c r="EI313" s="106"/>
    </row>
    <row r="314" spans="3:139" ht="15.75" customHeight="1" x14ac:dyDescent="0.25"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  <c r="CR314" s="106"/>
      <c r="CS314" s="106"/>
      <c r="CT314" s="106"/>
      <c r="CU314" s="106"/>
      <c r="CV314" s="106"/>
      <c r="CW314" s="106"/>
      <c r="CX314" s="106"/>
      <c r="CY314" s="106"/>
      <c r="CZ314" s="106"/>
      <c r="DA314" s="106"/>
      <c r="DB314" s="106"/>
      <c r="DC314" s="106"/>
      <c r="DD314" s="106"/>
      <c r="DE314" s="106"/>
      <c r="DF314" s="106"/>
      <c r="DG314" s="106"/>
      <c r="DH314" s="106"/>
      <c r="DI314" s="106"/>
      <c r="DJ314" s="106"/>
      <c r="DK314" s="106"/>
      <c r="DL314" s="106"/>
      <c r="DM314" s="106"/>
      <c r="DN314" s="106"/>
      <c r="DO314" s="106"/>
      <c r="DP314" s="106"/>
      <c r="DQ314" s="106"/>
      <c r="DR314" s="106"/>
      <c r="DS314" s="106"/>
      <c r="DT314" s="106"/>
      <c r="DU314" s="106"/>
      <c r="DV314" s="106"/>
      <c r="DW314" s="106"/>
      <c r="DX314" s="106"/>
      <c r="DY314" s="106"/>
      <c r="DZ314" s="106"/>
      <c r="EA314" s="106"/>
      <c r="EB314" s="106"/>
      <c r="EC314" s="106"/>
      <c r="ED314" s="106"/>
      <c r="EE314" s="106"/>
      <c r="EF314" s="106"/>
      <c r="EG314" s="106"/>
      <c r="EH314" s="106"/>
      <c r="EI314" s="106"/>
    </row>
    <row r="315" spans="3:139" ht="15.75" customHeight="1" x14ac:dyDescent="0.25"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  <c r="CR315" s="106"/>
      <c r="CS315" s="106"/>
      <c r="CT315" s="106"/>
      <c r="CU315" s="106"/>
      <c r="CV315" s="106"/>
      <c r="CW315" s="106"/>
      <c r="CX315" s="106"/>
      <c r="CY315" s="106"/>
      <c r="CZ315" s="106"/>
      <c r="DA315" s="106"/>
      <c r="DB315" s="106"/>
      <c r="DC315" s="106"/>
      <c r="DD315" s="106"/>
      <c r="DE315" s="106"/>
      <c r="DF315" s="106"/>
      <c r="DG315" s="106"/>
      <c r="DH315" s="106"/>
      <c r="DI315" s="106"/>
      <c r="DJ315" s="106"/>
      <c r="DK315" s="106"/>
      <c r="DL315" s="106"/>
      <c r="DM315" s="106"/>
      <c r="DN315" s="106"/>
      <c r="DO315" s="106"/>
      <c r="DP315" s="106"/>
      <c r="DQ315" s="106"/>
      <c r="DR315" s="106"/>
      <c r="DS315" s="106"/>
      <c r="DT315" s="106"/>
      <c r="DU315" s="106"/>
      <c r="DV315" s="106"/>
      <c r="DW315" s="106"/>
      <c r="DX315" s="106"/>
      <c r="DY315" s="106"/>
      <c r="DZ315" s="106"/>
      <c r="EA315" s="106"/>
      <c r="EB315" s="106"/>
      <c r="EC315" s="106"/>
      <c r="ED315" s="106"/>
      <c r="EE315" s="106"/>
      <c r="EF315" s="106"/>
      <c r="EG315" s="106"/>
      <c r="EH315" s="106"/>
      <c r="EI315" s="106"/>
    </row>
    <row r="316" spans="3:139" ht="15.75" customHeight="1" x14ac:dyDescent="0.25"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  <c r="CW316" s="106"/>
      <c r="CX316" s="106"/>
      <c r="CY316" s="106"/>
      <c r="CZ316" s="106"/>
      <c r="DA316" s="106"/>
      <c r="DB316" s="106"/>
      <c r="DC316" s="106"/>
      <c r="DD316" s="106"/>
      <c r="DE316" s="106"/>
      <c r="DF316" s="106"/>
      <c r="DG316" s="106"/>
      <c r="DH316" s="106"/>
      <c r="DI316" s="106"/>
      <c r="DJ316" s="106"/>
      <c r="DK316" s="106"/>
      <c r="DL316" s="106"/>
      <c r="DM316" s="106"/>
      <c r="DN316" s="106"/>
      <c r="DO316" s="106"/>
      <c r="DP316" s="106"/>
      <c r="DQ316" s="106"/>
      <c r="DR316" s="106"/>
      <c r="DS316" s="106"/>
      <c r="DT316" s="106"/>
      <c r="DU316" s="106"/>
      <c r="DV316" s="106"/>
      <c r="DW316" s="106"/>
      <c r="DX316" s="106"/>
      <c r="DY316" s="106"/>
      <c r="DZ316" s="106"/>
      <c r="EA316" s="106"/>
      <c r="EB316" s="106"/>
      <c r="EC316" s="106"/>
      <c r="ED316" s="106"/>
      <c r="EE316" s="106"/>
      <c r="EF316" s="106"/>
      <c r="EG316" s="106"/>
      <c r="EH316" s="106"/>
      <c r="EI316" s="106"/>
    </row>
    <row r="317" spans="3:139" ht="15.75" customHeight="1" x14ac:dyDescent="0.25"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  <c r="CR317" s="106"/>
      <c r="CS317" s="106"/>
      <c r="CT317" s="106"/>
      <c r="CU317" s="106"/>
      <c r="CV317" s="106"/>
      <c r="CW317" s="106"/>
      <c r="CX317" s="106"/>
      <c r="CY317" s="106"/>
      <c r="CZ317" s="106"/>
      <c r="DA317" s="106"/>
      <c r="DB317" s="106"/>
      <c r="DC317" s="106"/>
      <c r="DD317" s="106"/>
      <c r="DE317" s="106"/>
      <c r="DF317" s="106"/>
      <c r="DG317" s="106"/>
      <c r="DH317" s="106"/>
      <c r="DI317" s="106"/>
      <c r="DJ317" s="106"/>
      <c r="DK317" s="106"/>
      <c r="DL317" s="106"/>
      <c r="DM317" s="106"/>
      <c r="DN317" s="106"/>
      <c r="DO317" s="106"/>
      <c r="DP317" s="106"/>
      <c r="DQ317" s="106"/>
      <c r="DR317" s="106"/>
      <c r="DS317" s="106"/>
      <c r="DT317" s="106"/>
      <c r="DU317" s="106"/>
      <c r="DV317" s="106"/>
      <c r="DW317" s="106"/>
      <c r="DX317" s="106"/>
      <c r="DY317" s="106"/>
      <c r="DZ317" s="106"/>
      <c r="EA317" s="106"/>
      <c r="EB317" s="106"/>
      <c r="EC317" s="106"/>
      <c r="ED317" s="106"/>
      <c r="EE317" s="106"/>
      <c r="EF317" s="106"/>
      <c r="EG317" s="106"/>
      <c r="EH317" s="106"/>
      <c r="EI317" s="106"/>
    </row>
    <row r="318" spans="3:139" ht="15.75" customHeight="1" x14ac:dyDescent="0.25"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  <c r="CR318" s="106"/>
      <c r="CS318" s="106"/>
      <c r="CT318" s="106"/>
      <c r="CU318" s="106"/>
      <c r="CV318" s="106"/>
      <c r="CW318" s="106"/>
      <c r="CX318" s="106"/>
      <c r="CY318" s="106"/>
      <c r="CZ318" s="106"/>
      <c r="DA318" s="106"/>
      <c r="DB318" s="106"/>
      <c r="DC318" s="106"/>
      <c r="DD318" s="106"/>
      <c r="DE318" s="106"/>
      <c r="DF318" s="106"/>
      <c r="DG318" s="106"/>
      <c r="DH318" s="106"/>
      <c r="DI318" s="106"/>
      <c r="DJ318" s="106"/>
      <c r="DK318" s="106"/>
      <c r="DL318" s="106"/>
      <c r="DM318" s="106"/>
      <c r="DN318" s="106"/>
      <c r="DO318" s="106"/>
      <c r="DP318" s="106"/>
      <c r="DQ318" s="106"/>
      <c r="DR318" s="106"/>
      <c r="DS318" s="106"/>
      <c r="DT318" s="106"/>
      <c r="DU318" s="106"/>
      <c r="DV318" s="106"/>
      <c r="DW318" s="106"/>
      <c r="DX318" s="106"/>
      <c r="DY318" s="106"/>
      <c r="DZ318" s="106"/>
      <c r="EA318" s="106"/>
      <c r="EB318" s="106"/>
      <c r="EC318" s="106"/>
      <c r="ED318" s="106"/>
      <c r="EE318" s="106"/>
      <c r="EF318" s="106"/>
      <c r="EG318" s="106"/>
      <c r="EH318" s="106"/>
      <c r="EI318" s="106"/>
    </row>
    <row r="319" spans="3:139" ht="15.75" customHeight="1" x14ac:dyDescent="0.25"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  <c r="CZ319" s="106"/>
      <c r="DA319" s="106"/>
      <c r="DB319" s="106"/>
      <c r="DC319" s="106"/>
      <c r="DD319" s="106"/>
      <c r="DE319" s="106"/>
      <c r="DF319" s="106"/>
      <c r="DG319" s="106"/>
      <c r="DH319" s="106"/>
      <c r="DI319" s="106"/>
      <c r="DJ319" s="106"/>
      <c r="DK319" s="106"/>
      <c r="DL319" s="106"/>
      <c r="DM319" s="106"/>
      <c r="DN319" s="106"/>
      <c r="DO319" s="106"/>
      <c r="DP319" s="106"/>
      <c r="DQ319" s="106"/>
      <c r="DR319" s="106"/>
      <c r="DS319" s="106"/>
      <c r="DT319" s="106"/>
      <c r="DU319" s="106"/>
      <c r="DV319" s="106"/>
      <c r="DW319" s="106"/>
      <c r="DX319" s="106"/>
      <c r="DY319" s="106"/>
      <c r="DZ319" s="106"/>
      <c r="EA319" s="106"/>
      <c r="EB319" s="106"/>
      <c r="EC319" s="106"/>
      <c r="ED319" s="106"/>
      <c r="EE319" s="106"/>
      <c r="EF319" s="106"/>
      <c r="EG319" s="106"/>
      <c r="EH319" s="106"/>
      <c r="EI319" s="106"/>
    </row>
    <row r="320" spans="3:139" ht="15.75" customHeight="1" x14ac:dyDescent="0.25"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  <c r="CR320" s="106"/>
      <c r="CS320" s="106"/>
      <c r="CT320" s="106"/>
      <c r="CU320" s="106"/>
      <c r="CV320" s="106"/>
      <c r="CW320" s="106"/>
      <c r="CX320" s="106"/>
      <c r="CY320" s="106"/>
      <c r="CZ320" s="106"/>
      <c r="DA320" s="106"/>
      <c r="DB320" s="106"/>
      <c r="DC320" s="106"/>
      <c r="DD320" s="106"/>
      <c r="DE320" s="106"/>
      <c r="DF320" s="106"/>
      <c r="DG320" s="106"/>
      <c r="DH320" s="106"/>
      <c r="DI320" s="106"/>
      <c r="DJ320" s="106"/>
      <c r="DK320" s="106"/>
      <c r="DL320" s="106"/>
      <c r="DM320" s="106"/>
      <c r="DN320" s="106"/>
      <c r="DO320" s="106"/>
      <c r="DP320" s="106"/>
      <c r="DQ320" s="106"/>
      <c r="DR320" s="106"/>
      <c r="DS320" s="106"/>
      <c r="DT320" s="106"/>
      <c r="DU320" s="106"/>
      <c r="DV320" s="106"/>
      <c r="DW320" s="106"/>
      <c r="DX320" s="106"/>
      <c r="DY320" s="106"/>
      <c r="DZ320" s="106"/>
      <c r="EA320" s="106"/>
      <c r="EB320" s="106"/>
      <c r="EC320" s="106"/>
      <c r="ED320" s="106"/>
      <c r="EE320" s="106"/>
      <c r="EF320" s="106"/>
      <c r="EG320" s="106"/>
      <c r="EH320" s="106"/>
      <c r="EI320" s="106"/>
    </row>
    <row r="321" spans="3:139" ht="15.75" customHeight="1" x14ac:dyDescent="0.25"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  <c r="CR321" s="106"/>
      <c r="CS321" s="106"/>
      <c r="CT321" s="106"/>
      <c r="CU321" s="106"/>
      <c r="CV321" s="106"/>
      <c r="CW321" s="106"/>
      <c r="CX321" s="106"/>
      <c r="CY321" s="106"/>
      <c r="CZ321" s="106"/>
      <c r="DA321" s="106"/>
      <c r="DB321" s="106"/>
      <c r="DC321" s="106"/>
      <c r="DD321" s="106"/>
      <c r="DE321" s="106"/>
      <c r="DF321" s="106"/>
      <c r="DG321" s="106"/>
      <c r="DH321" s="106"/>
      <c r="DI321" s="106"/>
      <c r="DJ321" s="106"/>
      <c r="DK321" s="106"/>
      <c r="DL321" s="106"/>
      <c r="DM321" s="106"/>
      <c r="DN321" s="106"/>
      <c r="DO321" s="106"/>
      <c r="DP321" s="106"/>
      <c r="DQ321" s="106"/>
      <c r="DR321" s="106"/>
      <c r="DS321" s="106"/>
      <c r="DT321" s="106"/>
      <c r="DU321" s="106"/>
      <c r="DV321" s="106"/>
      <c r="DW321" s="106"/>
      <c r="DX321" s="106"/>
      <c r="DY321" s="106"/>
      <c r="DZ321" s="106"/>
      <c r="EA321" s="106"/>
      <c r="EB321" s="106"/>
      <c r="EC321" s="106"/>
      <c r="ED321" s="106"/>
      <c r="EE321" s="106"/>
      <c r="EF321" s="106"/>
      <c r="EG321" s="106"/>
      <c r="EH321" s="106"/>
      <c r="EI321" s="106"/>
    </row>
    <row r="322" spans="3:139" ht="15.75" customHeight="1" x14ac:dyDescent="0.25"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  <c r="CR322" s="106"/>
      <c r="CS322" s="106"/>
      <c r="CT322" s="106"/>
      <c r="CU322" s="106"/>
      <c r="CV322" s="106"/>
      <c r="CW322" s="106"/>
      <c r="CX322" s="106"/>
      <c r="CY322" s="106"/>
      <c r="CZ322" s="106"/>
      <c r="DA322" s="106"/>
      <c r="DB322" s="106"/>
      <c r="DC322" s="106"/>
      <c r="DD322" s="106"/>
      <c r="DE322" s="106"/>
      <c r="DF322" s="106"/>
      <c r="DG322" s="106"/>
      <c r="DH322" s="106"/>
      <c r="DI322" s="106"/>
      <c r="DJ322" s="106"/>
      <c r="DK322" s="106"/>
      <c r="DL322" s="106"/>
      <c r="DM322" s="106"/>
      <c r="DN322" s="106"/>
      <c r="DO322" s="106"/>
      <c r="DP322" s="106"/>
      <c r="DQ322" s="106"/>
      <c r="DR322" s="106"/>
      <c r="DS322" s="106"/>
      <c r="DT322" s="106"/>
      <c r="DU322" s="106"/>
      <c r="DV322" s="106"/>
      <c r="DW322" s="106"/>
      <c r="DX322" s="106"/>
      <c r="DY322" s="106"/>
      <c r="DZ322" s="106"/>
      <c r="EA322" s="106"/>
      <c r="EB322" s="106"/>
      <c r="EC322" s="106"/>
      <c r="ED322" s="106"/>
      <c r="EE322" s="106"/>
      <c r="EF322" s="106"/>
      <c r="EG322" s="106"/>
      <c r="EH322" s="106"/>
      <c r="EI322" s="106"/>
    </row>
    <row r="323" spans="3:139" ht="15.75" customHeight="1" x14ac:dyDescent="0.25"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  <c r="CZ323" s="106"/>
      <c r="DA323" s="106"/>
      <c r="DB323" s="106"/>
      <c r="DC323" s="106"/>
      <c r="DD323" s="106"/>
      <c r="DE323" s="106"/>
      <c r="DF323" s="106"/>
      <c r="DG323" s="106"/>
      <c r="DH323" s="106"/>
      <c r="DI323" s="106"/>
      <c r="DJ323" s="106"/>
      <c r="DK323" s="106"/>
      <c r="DL323" s="106"/>
      <c r="DM323" s="106"/>
      <c r="DN323" s="106"/>
      <c r="DO323" s="106"/>
      <c r="DP323" s="106"/>
      <c r="DQ323" s="106"/>
      <c r="DR323" s="106"/>
      <c r="DS323" s="106"/>
      <c r="DT323" s="106"/>
      <c r="DU323" s="106"/>
      <c r="DV323" s="106"/>
      <c r="DW323" s="106"/>
      <c r="DX323" s="106"/>
      <c r="DY323" s="106"/>
      <c r="DZ323" s="106"/>
      <c r="EA323" s="106"/>
      <c r="EB323" s="106"/>
      <c r="EC323" s="106"/>
      <c r="ED323" s="106"/>
      <c r="EE323" s="106"/>
      <c r="EF323" s="106"/>
      <c r="EG323" s="106"/>
      <c r="EH323" s="106"/>
      <c r="EI323" s="106"/>
    </row>
    <row r="324" spans="3:139" ht="15.75" customHeight="1" x14ac:dyDescent="0.25"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  <c r="CR324" s="106"/>
      <c r="CS324" s="106"/>
      <c r="CT324" s="106"/>
      <c r="CU324" s="106"/>
      <c r="CV324" s="106"/>
      <c r="CW324" s="106"/>
      <c r="CX324" s="106"/>
      <c r="CY324" s="106"/>
      <c r="CZ324" s="106"/>
      <c r="DA324" s="106"/>
      <c r="DB324" s="106"/>
      <c r="DC324" s="106"/>
      <c r="DD324" s="106"/>
      <c r="DE324" s="106"/>
      <c r="DF324" s="106"/>
      <c r="DG324" s="106"/>
      <c r="DH324" s="106"/>
      <c r="DI324" s="106"/>
      <c r="DJ324" s="106"/>
      <c r="DK324" s="106"/>
      <c r="DL324" s="106"/>
      <c r="DM324" s="106"/>
      <c r="DN324" s="106"/>
      <c r="DO324" s="106"/>
      <c r="DP324" s="106"/>
      <c r="DQ324" s="106"/>
      <c r="DR324" s="106"/>
      <c r="DS324" s="106"/>
      <c r="DT324" s="106"/>
      <c r="DU324" s="106"/>
      <c r="DV324" s="106"/>
      <c r="DW324" s="106"/>
      <c r="DX324" s="106"/>
      <c r="DY324" s="106"/>
      <c r="DZ324" s="106"/>
      <c r="EA324" s="106"/>
      <c r="EB324" s="106"/>
      <c r="EC324" s="106"/>
      <c r="ED324" s="106"/>
      <c r="EE324" s="106"/>
      <c r="EF324" s="106"/>
      <c r="EG324" s="106"/>
      <c r="EH324" s="106"/>
      <c r="EI324" s="106"/>
    </row>
    <row r="325" spans="3:139" ht="15.75" customHeight="1" x14ac:dyDescent="0.25"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  <c r="CR325" s="106"/>
      <c r="CS325" s="106"/>
      <c r="CT325" s="106"/>
      <c r="CU325" s="106"/>
      <c r="CV325" s="106"/>
      <c r="CW325" s="106"/>
      <c r="CX325" s="106"/>
      <c r="CY325" s="106"/>
      <c r="CZ325" s="106"/>
      <c r="DA325" s="106"/>
      <c r="DB325" s="106"/>
      <c r="DC325" s="106"/>
      <c r="DD325" s="106"/>
      <c r="DE325" s="106"/>
      <c r="DF325" s="106"/>
      <c r="DG325" s="106"/>
      <c r="DH325" s="106"/>
      <c r="DI325" s="106"/>
      <c r="DJ325" s="106"/>
      <c r="DK325" s="106"/>
      <c r="DL325" s="106"/>
      <c r="DM325" s="106"/>
      <c r="DN325" s="106"/>
      <c r="DO325" s="106"/>
      <c r="DP325" s="106"/>
      <c r="DQ325" s="106"/>
      <c r="DR325" s="106"/>
      <c r="DS325" s="106"/>
      <c r="DT325" s="106"/>
      <c r="DU325" s="106"/>
      <c r="DV325" s="106"/>
      <c r="DW325" s="106"/>
      <c r="DX325" s="106"/>
      <c r="DY325" s="106"/>
      <c r="DZ325" s="106"/>
      <c r="EA325" s="106"/>
      <c r="EB325" s="106"/>
      <c r="EC325" s="106"/>
      <c r="ED325" s="106"/>
      <c r="EE325" s="106"/>
      <c r="EF325" s="106"/>
      <c r="EG325" s="106"/>
      <c r="EH325" s="106"/>
      <c r="EI325" s="106"/>
    </row>
    <row r="326" spans="3:139" ht="15.75" customHeight="1" x14ac:dyDescent="0.25"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  <c r="CR326" s="106"/>
      <c r="CS326" s="106"/>
      <c r="CT326" s="106"/>
      <c r="CU326" s="106"/>
      <c r="CV326" s="106"/>
      <c r="CW326" s="106"/>
      <c r="CX326" s="106"/>
      <c r="CY326" s="106"/>
      <c r="CZ326" s="106"/>
      <c r="DA326" s="106"/>
      <c r="DB326" s="106"/>
      <c r="DC326" s="106"/>
      <c r="DD326" s="106"/>
      <c r="DE326" s="106"/>
      <c r="DF326" s="106"/>
      <c r="DG326" s="106"/>
      <c r="DH326" s="106"/>
      <c r="DI326" s="106"/>
      <c r="DJ326" s="106"/>
      <c r="DK326" s="106"/>
      <c r="DL326" s="106"/>
      <c r="DM326" s="106"/>
      <c r="DN326" s="106"/>
      <c r="DO326" s="106"/>
      <c r="DP326" s="106"/>
      <c r="DQ326" s="106"/>
      <c r="DR326" s="106"/>
      <c r="DS326" s="106"/>
      <c r="DT326" s="106"/>
      <c r="DU326" s="106"/>
      <c r="DV326" s="106"/>
      <c r="DW326" s="106"/>
      <c r="DX326" s="106"/>
      <c r="DY326" s="106"/>
      <c r="DZ326" s="106"/>
      <c r="EA326" s="106"/>
      <c r="EB326" s="106"/>
      <c r="EC326" s="106"/>
      <c r="ED326" s="106"/>
      <c r="EE326" s="106"/>
      <c r="EF326" s="106"/>
      <c r="EG326" s="106"/>
      <c r="EH326" s="106"/>
      <c r="EI326" s="106"/>
    </row>
    <row r="327" spans="3:139" ht="15.75" customHeight="1" x14ac:dyDescent="0.25"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  <c r="CR327" s="106"/>
      <c r="CS327" s="106"/>
      <c r="CT327" s="106"/>
      <c r="CU327" s="106"/>
      <c r="CV327" s="106"/>
      <c r="CW327" s="106"/>
      <c r="CX327" s="106"/>
      <c r="CY327" s="106"/>
      <c r="CZ327" s="106"/>
      <c r="DA327" s="106"/>
      <c r="DB327" s="106"/>
      <c r="DC327" s="106"/>
      <c r="DD327" s="106"/>
      <c r="DE327" s="106"/>
      <c r="DF327" s="106"/>
      <c r="DG327" s="106"/>
      <c r="DH327" s="106"/>
      <c r="DI327" s="106"/>
      <c r="DJ327" s="106"/>
      <c r="DK327" s="106"/>
      <c r="DL327" s="106"/>
      <c r="DM327" s="106"/>
      <c r="DN327" s="106"/>
      <c r="DO327" s="106"/>
      <c r="DP327" s="106"/>
      <c r="DQ327" s="106"/>
      <c r="DR327" s="106"/>
      <c r="DS327" s="106"/>
      <c r="DT327" s="106"/>
      <c r="DU327" s="106"/>
      <c r="DV327" s="106"/>
      <c r="DW327" s="106"/>
      <c r="DX327" s="106"/>
      <c r="DY327" s="106"/>
      <c r="DZ327" s="106"/>
      <c r="EA327" s="106"/>
      <c r="EB327" s="106"/>
      <c r="EC327" s="106"/>
      <c r="ED327" s="106"/>
      <c r="EE327" s="106"/>
      <c r="EF327" s="106"/>
      <c r="EG327" s="106"/>
      <c r="EH327" s="106"/>
      <c r="EI327" s="106"/>
    </row>
    <row r="328" spans="3:139" ht="15.75" customHeight="1" x14ac:dyDescent="0.25"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  <c r="CR328" s="106"/>
      <c r="CS328" s="106"/>
      <c r="CT328" s="106"/>
      <c r="CU328" s="106"/>
      <c r="CV328" s="106"/>
      <c r="CW328" s="106"/>
      <c r="CX328" s="106"/>
      <c r="CY328" s="106"/>
      <c r="CZ328" s="106"/>
      <c r="DA328" s="106"/>
      <c r="DB328" s="106"/>
      <c r="DC328" s="106"/>
      <c r="DD328" s="106"/>
      <c r="DE328" s="106"/>
      <c r="DF328" s="106"/>
      <c r="DG328" s="106"/>
      <c r="DH328" s="106"/>
      <c r="DI328" s="106"/>
      <c r="DJ328" s="106"/>
      <c r="DK328" s="106"/>
      <c r="DL328" s="106"/>
      <c r="DM328" s="106"/>
      <c r="DN328" s="106"/>
      <c r="DO328" s="106"/>
      <c r="DP328" s="106"/>
      <c r="DQ328" s="106"/>
      <c r="DR328" s="106"/>
      <c r="DS328" s="106"/>
      <c r="DT328" s="106"/>
      <c r="DU328" s="106"/>
      <c r="DV328" s="106"/>
      <c r="DW328" s="106"/>
      <c r="DX328" s="106"/>
      <c r="DY328" s="106"/>
      <c r="DZ328" s="106"/>
      <c r="EA328" s="106"/>
      <c r="EB328" s="106"/>
      <c r="EC328" s="106"/>
      <c r="ED328" s="106"/>
      <c r="EE328" s="106"/>
      <c r="EF328" s="106"/>
      <c r="EG328" s="106"/>
      <c r="EH328" s="106"/>
      <c r="EI328" s="106"/>
    </row>
    <row r="329" spans="3:139" ht="15.75" customHeight="1" x14ac:dyDescent="0.25"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  <c r="CR329" s="106"/>
      <c r="CS329" s="106"/>
      <c r="CT329" s="106"/>
      <c r="CU329" s="106"/>
      <c r="CV329" s="106"/>
      <c r="CW329" s="106"/>
      <c r="CX329" s="106"/>
      <c r="CY329" s="106"/>
      <c r="CZ329" s="106"/>
      <c r="DA329" s="106"/>
      <c r="DB329" s="106"/>
      <c r="DC329" s="106"/>
      <c r="DD329" s="106"/>
      <c r="DE329" s="106"/>
      <c r="DF329" s="106"/>
      <c r="DG329" s="106"/>
      <c r="DH329" s="106"/>
      <c r="DI329" s="106"/>
      <c r="DJ329" s="106"/>
      <c r="DK329" s="106"/>
      <c r="DL329" s="106"/>
      <c r="DM329" s="106"/>
      <c r="DN329" s="106"/>
      <c r="DO329" s="106"/>
      <c r="DP329" s="106"/>
      <c r="DQ329" s="106"/>
      <c r="DR329" s="106"/>
      <c r="DS329" s="106"/>
      <c r="DT329" s="106"/>
      <c r="DU329" s="106"/>
      <c r="DV329" s="106"/>
      <c r="DW329" s="106"/>
      <c r="DX329" s="106"/>
      <c r="DY329" s="106"/>
      <c r="DZ329" s="106"/>
      <c r="EA329" s="106"/>
      <c r="EB329" s="106"/>
      <c r="EC329" s="106"/>
      <c r="ED329" s="106"/>
      <c r="EE329" s="106"/>
      <c r="EF329" s="106"/>
      <c r="EG329" s="106"/>
      <c r="EH329" s="106"/>
      <c r="EI329" s="106"/>
    </row>
    <row r="330" spans="3:139" ht="15.75" customHeight="1" x14ac:dyDescent="0.25"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  <c r="CR330" s="106"/>
      <c r="CS330" s="106"/>
      <c r="CT330" s="106"/>
      <c r="CU330" s="106"/>
      <c r="CV330" s="106"/>
      <c r="CW330" s="106"/>
      <c r="CX330" s="106"/>
      <c r="CY330" s="106"/>
      <c r="CZ330" s="106"/>
      <c r="DA330" s="106"/>
      <c r="DB330" s="106"/>
      <c r="DC330" s="106"/>
      <c r="DD330" s="106"/>
      <c r="DE330" s="106"/>
      <c r="DF330" s="106"/>
      <c r="DG330" s="106"/>
      <c r="DH330" s="106"/>
      <c r="DI330" s="106"/>
      <c r="DJ330" s="106"/>
      <c r="DK330" s="106"/>
      <c r="DL330" s="106"/>
      <c r="DM330" s="106"/>
      <c r="DN330" s="106"/>
      <c r="DO330" s="106"/>
      <c r="DP330" s="106"/>
      <c r="DQ330" s="106"/>
      <c r="DR330" s="106"/>
      <c r="DS330" s="106"/>
      <c r="DT330" s="106"/>
      <c r="DU330" s="106"/>
      <c r="DV330" s="106"/>
      <c r="DW330" s="106"/>
      <c r="DX330" s="106"/>
      <c r="DY330" s="106"/>
      <c r="DZ330" s="106"/>
      <c r="EA330" s="106"/>
      <c r="EB330" s="106"/>
      <c r="EC330" s="106"/>
      <c r="ED330" s="106"/>
      <c r="EE330" s="106"/>
      <c r="EF330" s="106"/>
      <c r="EG330" s="106"/>
      <c r="EH330" s="106"/>
      <c r="EI330" s="106"/>
    </row>
    <row r="331" spans="3:139" ht="15.75" customHeight="1" x14ac:dyDescent="0.25"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  <c r="CR331" s="106"/>
      <c r="CS331" s="106"/>
      <c r="CT331" s="106"/>
      <c r="CU331" s="106"/>
      <c r="CV331" s="106"/>
      <c r="CW331" s="106"/>
      <c r="CX331" s="106"/>
      <c r="CY331" s="106"/>
      <c r="CZ331" s="106"/>
      <c r="DA331" s="106"/>
      <c r="DB331" s="106"/>
      <c r="DC331" s="106"/>
      <c r="DD331" s="106"/>
      <c r="DE331" s="106"/>
      <c r="DF331" s="106"/>
      <c r="DG331" s="106"/>
      <c r="DH331" s="106"/>
      <c r="DI331" s="106"/>
      <c r="DJ331" s="106"/>
      <c r="DK331" s="106"/>
      <c r="DL331" s="106"/>
      <c r="DM331" s="106"/>
      <c r="DN331" s="106"/>
      <c r="DO331" s="106"/>
      <c r="DP331" s="106"/>
      <c r="DQ331" s="106"/>
      <c r="DR331" s="106"/>
      <c r="DS331" s="106"/>
      <c r="DT331" s="106"/>
      <c r="DU331" s="106"/>
      <c r="DV331" s="106"/>
      <c r="DW331" s="106"/>
      <c r="DX331" s="106"/>
      <c r="DY331" s="106"/>
      <c r="DZ331" s="106"/>
      <c r="EA331" s="106"/>
      <c r="EB331" s="106"/>
      <c r="EC331" s="106"/>
      <c r="ED331" s="106"/>
      <c r="EE331" s="106"/>
      <c r="EF331" s="106"/>
      <c r="EG331" s="106"/>
      <c r="EH331" s="106"/>
      <c r="EI331" s="106"/>
    </row>
    <row r="332" spans="3:139" ht="15.75" customHeight="1" x14ac:dyDescent="0.25"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  <c r="CR332" s="106"/>
      <c r="CS332" s="106"/>
      <c r="CT332" s="106"/>
      <c r="CU332" s="106"/>
      <c r="CV332" s="106"/>
      <c r="CW332" s="106"/>
      <c r="CX332" s="106"/>
      <c r="CY332" s="106"/>
      <c r="CZ332" s="106"/>
      <c r="DA332" s="106"/>
      <c r="DB332" s="106"/>
      <c r="DC332" s="106"/>
      <c r="DD332" s="106"/>
      <c r="DE332" s="106"/>
      <c r="DF332" s="106"/>
      <c r="DG332" s="106"/>
      <c r="DH332" s="106"/>
      <c r="DI332" s="106"/>
      <c r="DJ332" s="106"/>
      <c r="DK332" s="106"/>
      <c r="DL332" s="106"/>
      <c r="DM332" s="106"/>
      <c r="DN332" s="106"/>
      <c r="DO332" s="106"/>
      <c r="DP332" s="106"/>
      <c r="DQ332" s="106"/>
      <c r="DR332" s="106"/>
      <c r="DS332" s="106"/>
      <c r="DT332" s="106"/>
      <c r="DU332" s="106"/>
      <c r="DV332" s="106"/>
      <c r="DW332" s="106"/>
      <c r="DX332" s="106"/>
      <c r="DY332" s="106"/>
      <c r="DZ332" s="106"/>
      <c r="EA332" s="106"/>
      <c r="EB332" s="106"/>
      <c r="EC332" s="106"/>
      <c r="ED332" s="106"/>
      <c r="EE332" s="106"/>
      <c r="EF332" s="106"/>
      <c r="EG332" s="106"/>
      <c r="EH332" s="106"/>
      <c r="EI332" s="106"/>
    </row>
    <row r="333" spans="3:139" ht="15.75" customHeight="1" x14ac:dyDescent="0.25"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  <c r="CR333" s="106"/>
      <c r="CS333" s="106"/>
      <c r="CT333" s="106"/>
      <c r="CU333" s="106"/>
      <c r="CV333" s="106"/>
      <c r="CW333" s="106"/>
      <c r="CX333" s="106"/>
      <c r="CY333" s="106"/>
      <c r="CZ333" s="106"/>
      <c r="DA333" s="106"/>
      <c r="DB333" s="106"/>
      <c r="DC333" s="106"/>
      <c r="DD333" s="106"/>
      <c r="DE333" s="106"/>
      <c r="DF333" s="106"/>
      <c r="DG333" s="106"/>
      <c r="DH333" s="106"/>
      <c r="DI333" s="106"/>
      <c r="DJ333" s="106"/>
      <c r="DK333" s="106"/>
      <c r="DL333" s="106"/>
      <c r="DM333" s="106"/>
      <c r="DN333" s="106"/>
      <c r="DO333" s="106"/>
      <c r="DP333" s="106"/>
      <c r="DQ333" s="106"/>
      <c r="DR333" s="106"/>
      <c r="DS333" s="106"/>
      <c r="DT333" s="106"/>
      <c r="DU333" s="106"/>
      <c r="DV333" s="106"/>
      <c r="DW333" s="106"/>
      <c r="DX333" s="106"/>
      <c r="DY333" s="106"/>
      <c r="DZ333" s="106"/>
      <c r="EA333" s="106"/>
      <c r="EB333" s="106"/>
      <c r="EC333" s="106"/>
      <c r="ED333" s="106"/>
      <c r="EE333" s="106"/>
      <c r="EF333" s="106"/>
      <c r="EG333" s="106"/>
      <c r="EH333" s="106"/>
      <c r="EI333" s="106"/>
    </row>
    <row r="334" spans="3:139" ht="15.75" customHeight="1" x14ac:dyDescent="0.25"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  <c r="CR334" s="106"/>
      <c r="CS334" s="106"/>
      <c r="CT334" s="106"/>
      <c r="CU334" s="106"/>
      <c r="CV334" s="106"/>
      <c r="CW334" s="106"/>
      <c r="CX334" s="106"/>
      <c r="CY334" s="106"/>
      <c r="CZ334" s="106"/>
      <c r="DA334" s="106"/>
      <c r="DB334" s="106"/>
      <c r="DC334" s="106"/>
      <c r="DD334" s="106"/>
      <c r="DE334" s="106"/>
      <c r="DF334" s="106"/>
      <c r="DG334" s="106"/>
      <c r="DH334" s="106"/>
      <c r="DI334" s="106"/>
      <c r="DJ334" s="106"/>
      <c r="DK334" s="106"/>
      <c r="DL334" s="106"/>
      <c r="DM334" s="106"/>
      <c r="DN334" s="106"/>
      <c r="DO334" s="106"/>
      <c r="DP334" s="106"/>
      <c r="DQ334" s="106"/>
      <c r="DR334" s="106"/>
      <c r="DS334" s="106"/>
      <c r="DT334" s="106"/>
      <c r="DU334" s="106"/>
      <c r="DV334" s="106"/>
      <c r="DW334" s="106"/>
      <c r="DX334" s="106"/>
      <c r="DY334" s="106"/>
      <c r="DZ334" s="106"/>
      <c r="EA334" s="106"/>
      <c r="EB334" s="106"/>
      <c r="EC334" s="106"/>
      <c r="ED334" s="106"/>
      <c r="EE334" s="106"/>
      <c r="EF334" s="106"/>
      <c r="EG334" s="106"/>
      <c r="EH334" s="106"/>
      <c r="EI334" s="106"/>
    </row>
    <row r="335" spans="3:139" ht="15.75" customHeight="1" x14ac:dyDescent="0.25"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  <c r="CR335" s="106"/>
      <c r="CS335" s="106"/>
      <c r="CT335" s="106"/>
      <c r="CU335" s="106"/>
      <c r="CV335" s="106"/>
      <c r="CW335" s="106"/>
      <c r="CX335" s="106"/>
      <c r="CY335" s="106"/>
      <c r="CZ335" s="106"/>
      <c r="DA335" s="106"/>
      <c r="DB335" s="106"/>
      <c r="DC335" s="106"/>
      <c r="DD335" s="106"/>
      <c r="DE335" s="106"/>
      <c r="DF335" s="106"/>
      <c r="DG335" s="106"/>
      <c r="DH335" s="106"/>
      <c r="DI335" s="106"/>
      <c r="DJ335" s="106"/>
      <c r="DK335" s="106"/>
      <c r="DL335" s="106"/>
      <c r="DM335" s="106"/>
      <c r="DN335" s="106"/>
      <c r="DO335" s="106"/>
      <c r="DP335" s="106"/>
      <c r="DQ335" s="106"/>
      <c r="DR335" s="106"/>
      <c r="DS335" s="106"/>
      <c r="DT335" s="106"/>
      <c r="DU335" s="106"/>
      <c r="DV335" s="106"/>
      <c r="DW335" s="106"/>
      <c r="DX335" s="106"/>
      <c r="DY335" s="106"/>
      <c r="DZ335" s="106"/>
      <c r="EA335" s="106"/>
      <c r="EB335" s="106"/>
      <c r="EC335" s="106"/>
      <c r="ED335" s="106"/>
      <c r="EE335" s="106"/>
      <c r="EF335" s="106"/>
      <c r="EG335" s="106"/>
      <c r="EH335" s="106"/>
      <c r="EI335" s="106"/>
    </row>
    <row r="336" spans="3:139" ht="15.75" customHeight="1" x14ac:dyDescent="0.25"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  <c r="CR336" s="106"/>
      <c r="CS336" s="106"/>
      <c r="CT336" s="106"/>
      <c r="CU336" s="106"/>
      <c r="CV336" s="106"/>
      <c r="CW336" s="106"/>
      <c r="CX336" s="106"/>
      <c r="CY336" s="106"/>
      <c r="CZ336" s="106"/>
      <c r="DA336" s="106"/>
      <c r="DB336" s="106"/>
      <c r="DC336" s="106"/>
      <c r="DD336" s="106"/>
      <c r="DE336" s="106"/>
      <c r="DF336" s="106"/>
      <c r="DG336" s="106"/>
      <c r="DH336" s="106"/>
      <c r="DI336" s="106"/>
      <c r="DJ336" s="106"/>
      <c r="DK336" s="106"/>
      <c r="DL336" s="106"/>
      <c r="DM336" s="106"/>
      <c r="DN336" s="106"/>
      <c r="DO336" s="106"/>
      <c r="DP336" s="106"/>
      <c r="DQ336" s="106"/>
      <c r="DR336" s="106"/>
      <c r="DS336" s="106"/>
      <c r="DT336" s="106"/>
      <c r="DU336" s="106"/>
      <c r="DV336" s="106"/>
      <c r="DW336" s="106"/>
      <c r="DX336" s="106"/>
      <c r="DY336" s="106"/>
      <c r="DZ336" s="106"/>
      <c r="EA336" s="106"/>
      <c r="EB336" s="106"/>
      <c r="EC336" s="106"/>
      <c r="ED336" s="106"/>
      <c r="EE336" s="106"/>
      <c r="EF336" s="106"/>
      <c r="EG336" s="106"/>
      <c r="EH336" s="106"/>
      <c r="EI336" s="106"/>
    </row>
    <row r="337" spans="3:139" ht="15.75" customHeight="1" x14ac:dyDescent="0.25"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  <c r="CR337" s="106"/>
      <c r="CS337" s="106"/>
      <c r="CT337" s="106"/>
      <c r="CU337" s="106"/>
      <c r="CV337" s="106"/>
      <c r="CW337" s="106"/>
      <c r="CX337" s="106"/>
      <c r="CY337" s="106"/>
      <c r="CZ337" s="106"/>
      <c r="DA337" s="106"/>
      <c r="DB337" s="106"/>
      <c r="DC337" s="106"/>
      <c r="DD337" s="106"/>
      <c r="DE337" s="106"/>
      <c r="DF337" s="106"/>
      <c r="DG337" s="106"/>
      <c r="DH337" s="106"/>
      <c r="DI337" s="106"/>
      <c r="DJ337" s="106"/>
      <c r="DK337" s="106"/>
      <c r="DL337" s="106"/>
      <c r="DM337" s="106"/>
      <c r="DN337" s="106"/>
      <c r="DO337" s="106"/>
      <c r="DP337" s="106"/>
      <c r="DQ337" s="106"/>
      <c r="DR337" s="106"/>
      <c r="DS337" s="106"/>
      <c r="DT337" s="106"/>
      <c r="DU337" s="106"/>
      <c r="DV337" s="106"/>
      <c r="DW337" s="106"/>
      <c r="DX337" s="106"/>
      <c r="DY337" s="106"/>
      <c r="DZ337" s="106"/>
      <c r="EA337" s="106"/>
      <c r="EB337" s="106"/>
      <c r="EC337" s="106"/>
      <c r="ED337" s="106"/>
      <c r="EE337" s="106"/>
      <c r="EF337" s="106"/>
      <c r="EG337" s="106"/>
      <c r="EH337" s="106"/>
      <c r="EI337" s="106"/>
    </row>
    <row r="338" spans="3:139" ht="15.75" customHeight="1" x14ac:dyDescent="0.25"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  <c r="CR338" s="106"/>
      <c r="CS338" s="106"/>
      <c r="CT338" s="106"/>
      <c r="CU338" s="106"/>
      <c r="CV338" s="106"/>
      <c r="CW338" s="106"/>
      <c r="CX338" s="106"/>
      <c r="CY338" s="106"/>
      <c r="CZ338" s="106"/>
      <c r="DA338" s="106"/>
      <c r="DB338" s="106"/>
      <c r="DC338" s="106"/>
      <c r="DD338" s="106"/>
      <c r="DE338" s="106"/>
      <c r="DF338" s="106"/>
      <c r="DG338" s="106"/>
      <c r="DH338" s="106"/>
      <c r="DI338" s="106"/>
      <c r="DJ338" s="106"/>
      <c r="DK338" s="106"/>
      <c r="DL338" s="106"/>
      <c r="DM338" s="106"/>
      <c r="DN338" s="106"/>
      <c r="DO338" s="106"/>
      <c r="DP338" s="106"/>
      <c r="DQ338" s="106"/>
      <c r="DR338" s="106"/>
      <c r="DS338" s="106"/>
      <c r="DT338" s="106"/>
      <c r="DU338" s="106"/>
      <c r="DV338" s="106"/>
      <c r="DW338" s="106"/>
      <c r="DX338" s="106"/>
      <c r="DY338" s="106"/>
      <c r="DZ338" s="106"/>
      <c r="EA338" s="106"/>
      <c r="EB338" s="106"/>
      <c r="EC338" s="106"/>
      <c r="ED338" s="106"/>
      <c r="EE338" s="106"/>
      <c r="EF338" s="106"/>
      <c r="EG338" s="106"/>
      <c r="EH338" s="106"/>
      <c r="EI338" s="106"/>
    </row>
    <row r="339" spans="3:139" ht="15.75" customHeight="1" x14ac:dyDescent="0.25"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  <c r="CR339" s="106"/>
      <c r="CS339" s="106"/>
      <c r="CT339" s="106"/>
      <c r="CU339" s="106"/>
      <c r="CV339" s="106"/>
      <c r="CW339" s="106"/>
      <c r="CX339" s="106"/>
      <c r="CY339" s="106"/>
      <c r="CZ339" s="106"/>
      <c r="DA339" s="106"/>
      <c r="DB339" s="106"/>
      <c r="DC339" s="106"/>
      <c r="DD339" s="106"/>
      <c r="DE339" s="106"/>
      <c r="DF339" s="106"/>
      <c r="DG339" s="106"/>
      <c r="DH339" s="106"/>
      <c r="DI339" s="106"/>
      <c r="DJ339" s="106"/>
      <c r="DK339" s="106"/>
      <c r="DL339" s="106"/>
      <c r="DM339" s="106"/>
      <c r="DN339" s="106"/>
      <c r="DO339" s="106"/>
      <c r="DP339" s="106"/>
      <c r="DQ339" s="106"/>
      <c r="DR339" s="106"/>
      <c r="DS339" s="106"/>
      <c r="DT339" s="106"/>
      <c r="DU339" s="106"/>
      <c r="DV339" s="106"/>
      <c r="DW339" s="106"/>
      <c r="DX339" s="106"/>
      <c r="DY339" s="106"/>
      <c r="DZ339" s="106"/>
      <c r="EA339" s="106"/>
      <c r="EB339" s="106"/>
      <c r="EC339" s="106"/>
      <c r="ED339" s="106"/>
      <c r="EE339" s="106"/>
      <c r="EF339" s="106"/>
      <c r="EG339" s="106"/>
      <c r="EH339" s="106"/>
      <c r="EI339" s="106"/>
    </row>
    <row r="340" spans="3:139" ht="15.75" customHeight="1" x14ac:dyDescent="0.25"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  <c r="CR340" s="106"/>
      <c r="CS340" s="106"/>
      <c r="CT340" s="106"/>
      <c r="CU340" s="106"/>
      <c r="CV340" s="106"/>
      <c r="CW340" s="106"/>
      <c r="CX340" s="106"/>
      <c r="CY340" s="106"/>
      <c r="CZ340" s="106"/>
      <c r="DA340" s="106"/>
      <c r="DB340" s="106"/>
      <c r="DC340" s="106"/>
      <c r="DD340" s="106"/>
      <c r="DE340" s="106"/>
      <c r="DF340" s="106"/>
      <c r="DG340" s="106"/>
      <c r="DH340" s="106"/>
      <c r="DI340" s="106"/>
      <c r="DJ340" s="106"/>
      <c r="DK340" s="106"/>
      <c r="DL340" s="106"/>
      <c r="DM340" s="106"/>
      <c r="DN340" s="106"/>
      <c r="DO340" s="106"/>
      <c r="DP340" s="106"/>
      <c r="DQ340" s="106"/>
      <c r="DR340" s="106"/>
      <c r="DS340" s="106"/>
      <c r="DT340" s="106"/>
      <c r="DU340" s="106"/>
      <c r="DV340" s="106"/>
      <c r="DW340" s="106"/>
      <c r="DX340" s="106"/>
      <c r="DY340" s="106"/>
      <c r="DZ340" s="106"/>
      <c r="EA340" s="106"/>
      <c r="EB340" s="106"/>
      <c r="EC340" s="106"/>
      <c r="ED340" s="106"/>
      <c r="EE340" s="106"/>
      <c r="EF340" s="106"/>
      <c r="EG340" s="106"/>
      <c r="EH340" s="106"/>
      <c r="EI340" s="106"/>
    </row>
    <row r="341" spans="3:139" ht="15.75" customHeight="1" x14ac:dyDescent="0.25"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  <c r="CR341" s="106"/>
      <c r="CS341" s="106"/>
      <c r="CT341" s="106"/>
      <c r="CU341" s="106"/>
      <c r="CV341" s="106"/>
      <c r="CW341" s="106"/>
      <c r="CX341" s="106"/>
      <c r="CY341" s="106"/>
      <c r="CZ341" s="106"/>
      <c r="DA341" s="106"/>
      <c r="DB341" s="106"/>
      <c r="DC341" s="106"/>
      <c r="DD341" s="106"/>
      <c r="DE341" s="106"/>
      <c r="DF341" s="106"/>
      <c r="DG341" s="106"/>
      <c r="DH341" s="106"/>
      <c r="DI341" s="106"/>
      <c r="DJ341" s="106"/>
      <c r="DK341" s="106"/>
      <c r="DL341" s="106"/>
      <c r="DM341" s="106"/>
      <c r="DN341" s="106"/>
      <c r="DO341" s="106"/>
      <c r="DP341" s="106"/>
      <c r="DQ341" s="106"/>
      <c r="DR341" s="106"/>
      <c r="DS341" s="106"/>
      <c r="DT341" s="106"/>
      <c r="DU341" s="106"/>
      <c r="DV341" s="106"/>
      <c r="DW341" s="106"/>
      <c r="DX341" s="106"/>
      <c r="DY341" s="106"/>
      <c r="DZ341" s="106"/>
      <c r="EA341" s="106"/>
      <c r="EB341" s="106"/>
      <c r="EC341" s="106"/>
      <c r="ED341" s="106"/>
      <c r="EE341" s="106"/>
      <c r="EF341" s="106"/>
      <c r="EG341" s="106"/>
      <c r="EH341" s="106"/>
      <c r="EI341" s="106"/>
    </row>
    <row r="342" spans="3:139" ht="15.75" customHeight="1" x14ac:dyDescent="0.25"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  <c r="CR342" s="106"/>
      <c r="CS342" s="106"/>
      <c r="CT342" s="106"/>
      <c r="CU342" s="106"/>
      <c r="CV342" s="106"/>
      <c r="CW342" s="106"/>
      <c r="CX342" s="106"/>
      <c r="CY342" s="106"/>
      <c r="CZ342" s="106"/>
      <c r="DA342" s="106"/>
      <c r="DB342" s="106"/>
      <c r="DC342" s="106"/>
      <c r="DD342" s="106"/>
      <c r="DE342" s="106"/>
      <c r="DF342" s="106"/>
      <c r="DG342" s="106"/>
      <c r="DH342" s="106"/>
      <c r="DI342" s="106"/>
      <c r="DJ342" s="106"/>
      <c r="DK342" s="106"/>
      <c r="DL342" s="106"/>
      <c r="DM342" s="106"/>
      <c r="DN342" s="106"/>
      <c r="DO342" s="106"/>
      <c r="DP342" s="106"/>
      <c r="DQ342" s="106"/>
      <c r="DR342" s="106"/>
      <c r="DS342" s="106"/>
      <c r="DT342" s="106"/>
      <c r="DU342" s="106"/>
      <c r="DV342" s="106"/>
      <c r="DW342" s="106"/>
      <c r="DX342" s="106"/>
      <c r="DY342" s="106"/>
      <c r="DZ342" s="106"/>
      <c r="EA342" s="106"/>
      <c r="EB342" s="106"/>
      <c r="EC342" s="106"/>
      <c r="ED342" s="106"/>
      <c r="EE342" s="106"/>
      <c r="EF342" s="106"/>
      <c r="EG342" s="106"/>
      <c r="EH342" s="106"/>
      <c r="EI342" s="106"/>
    </row>
    <row r="343" spans="3:139" ht="15.75" customHeight="1" x14ac:dyDescent="0.25"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  <c r="CR343" s="106"/>
      <c r="CS343" s="106"/>
      <c r="CT343" s="106"/>
      <c r="CU343" s="106"/>
      <c r="CV343" s="106"/>
      <c r="CW343" s="106"/>
      <c r="CX343" s="106"/>
      <c r="CY343" s="106"/>
      <c r="CZ343" s="106"/>
      <c r="DA343" s="106"/>
      <c r="DB343" s="106"/>
      <c r="DC343" s="106"/>
      <c r="DD343" s="106"/>
      <c r="DE343" s="106"/>
      <c r="DF343" s="106"/>
      <c r="DG343" s="106"/>
      <c r="DH343" s="106"/>
      <c r="DI343" s="106"/>
      <c r="DJ343" s="106"/>
      <c r="DK343" s="106"/>
      <c r="DL343" s="106"/>
      <c r="DM343" s="106"/>
      <c r="DN343" s="106"/>
      <c r="DO343" s="106"/>
      <c r="DP343" s="106"/>
      <c r="DQ343" s="106"/>
      <c r="DR343" s="106"/>
      <c r="DS343" s="106"/>
      <c r="DT343" s="106"/>
      <c r="DU343" s="106"/>
      <c r="DV343" s="106"/>
      <c r="DW343" s="106"/>
      <c r="DX343" s="106"/>
      <c r="DY343" s="106"/>
      <c r="DZ343" s="106"/>
      <c r="EA343" s="106"/>
      <c r="EB343" s="106"/>
      <c r="EC343" s="106"/>
      <c r="ED343" s="106"/>
      <c r="EE343" s="106"/>
      <c r="EF343" s="106"/>
      <c r="EG343" s="106"/>
      <c r="EH343" s="106"/>
      <c r="EI343" s="106"/>
    </row>
    <row r="344" spans="3:139" ht="15.75" customHeight="1" x14ac:dyDescent="0.25"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  <c r="CR344" s="106"/>
      <c r="CS344" s="106"/>
      <c r="CT344" s="106"/>
      <c r="CU344" s="106"/>
      <c r="CV344" s="106"/>
      <c r="CW344" s="106"/>
      <c r="CX344" s="106"/>
      <c r="CY344" s="106"/>
      <c r="CZ344" s="106"/>
      <c r="DA344" s="106"/>
      <c r="DB344" s="106"/>
      <c r="DC344" s="106"/>
      <c r="DD344" s="106"/>
      <c r="DE344" s="106"/>
      <c r="DF344" s="106"/>
      <c r="DG344" s="106"/>
      <c r="DH344" s="106"/>
      <c r="DI344" s="106"/>
      <c r="DJ344" s="106"/>
      <c r="DK344" s="106"/>
      <c r="DL344" s="106"/>
      <c r="DM344" s="106"/>
      <c r="DN344" s="106"/>
      <c r="DO344" s="106"/>
      <c r="DP344" s="106"/>
      <c r="DQ344" s="106"/>
      <c r="DR344" s="106"/>
      <c r="DS344" s="106"/>
      <c r="DT344" s="106"/>
      <c r="DU344" s="106"/>
      <c r="DV344" s="106"/>
      <c r="DW344" s="106"/>
      <c r="DX344" s="106"/>
      <c r="DY344" s="106"/>
      <c r="DZ344" s="106"/>
      <c r="EA344" s="106"/>
      <c r="EB344" s="106"/>
      <c r="EC344" s="106"/>
      <c r="ED344" s="106"/>
      <c r="EE344" s="106"/>
      <c r="EF344" s="106"/>
      <c r="EG344" s="106"/>
      <c r="EH344" s="106"/>
      <c r="EI344" s="106"/>
    </row>
    <row r="345" spans="3:139" ht="15.75" customHeight="1" x14ac:dyDescent="0.25"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  <c r="CR345" s="106"/>
      <c r="CS345" s="106"/>
      <c r="CT345" s="106"/>
      <c r="CU345" s="106"/>
      <c r="CV345" s="106"/>
      <c r="CW345" s="106"/>
      <c r="CX345" s="106"/>
      <c r="CY345" s="106"/>
      <c r="CZ345" s="106"/>
      <c r="DA345" s="106"/>
      <c r="DB345" s="106"/>
      <c r="DC345" s="106"/>
      <c r="DD345" s="106"/>
      <c r="DE345" s="106"/>
      <c r="DF345" s="106"/>
      <c r="DG345" s="106"/>
      <c r="DH345" s="106"/>
      <c r="DI345" s="106"/>
      <c r="DJ345" s="106"/>
      <c r="DK345" s="106"/>
      <c r="DL345" s="106"/>
      <c r="DM345" s="106"/>
      <c r="DN345" s="106"/>
      <c r="DO345" s="106"/>
      <c r="DP345" s="106"/>
      <c r="DQ345" s="106"/>
      <c r="DR345" s="106"/>
      <c r="DS345" s="106"/>
      <c r="DT345" s="106"/>
      <c r="DU345" s="106"/>
      <c r="DV345" s="106"/>
      <c r="DW345" s="106"/>
      <c r="DX345" s="106"/>
      <c r="DY345" s="106"/>
      <c r="DZ345" s="106"/>
      <c r="EA345" s="106"/>
      <c r="EB345" s="106"/>
      <c r="EC345" s="106"/>
      <c r="ED345" s="106"/>
      <c r="EE345" s="106"/>
      <c r="EF345" s="106"/>
      <c r="EG345" s="106"/>
      <c r="EH345" s="106"/>
      <c r="EI345" s="106"/>
    </row>
    <row r="346" spans="3:139" ht="15.75" customHeight="1" x14ac:dyDescent="0.25"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  <c r="CR346" s="106"/>
      <c r="CS346" s="106"/>
      <c r="CT346" s="106"/>
      <c r="CU346" s="106"/>
      <c r="CV346" s="106"/>
      <c r="CW346" s="106"/>
      <c r="CX346" s="106"/>
      <c r="CY346" s="106"/>
      <c r="CZ346" s="106"/>
      <c r="DA346" s="106"/>
      <c r="DB346" s="106"/>
      <c r="DC346" s="106"/>
      <c r="DD346" s="106"/>
      <c r="DE346" s="106"/>
      <c r="DF346" s="106"/>
      <c r="DG346" s="106"/>
      <c r="DH346" s="106"/>
      <c r="DI346" s="106"/>
      <c r="DJ346" s="106"/>
      <c r="DK346" s="106"/>
      <c r="DL346" s="106"/>
      <c r="DM346" s="106"/>
      <c r="DN346" s="106"/>
      <c r="DO346" s="106"/>
      <c r="DP346" s="106"/>
      <c r="DQ346" s="106"/>
      <c r="DR346" s="106"/>
      <c r="DS346" s="106"/>
      <c r="DT346" s="106"/>
      <c r="DU346" s="106"/>
      <c r="DV346" s="106"/>
      <c r="DW346" s="106"/>
      <c r="DX346" s="106"/>
      <c r="DY346" s="106"/>
      <c r="DZ346" s="106"/>
      <c r="EA346" s="106"/>
      <c r="EB346" s="106"/>
      <c r="EC346" s="106"/>
      <c r="ED346" s="106"/>
      <c r="EE346" s="106"/>
      <c r="EF346" s="106"/>
      <c r="EG346" s="106"/>
      <c r="EH346" s="106"/>
      <c r="EI346" s="106"/>
    </row>
    <row r="347" spans="3:139" ht="15.75" customHeight="1" x14ac:dyDescent="0.25"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  <c r="CR347" s="106"/>
      <c r="CS347" s="106"/>
      <c r="CT347" s="106"/>
      <c r="CU347" s="106"/>
      <c r="CV347" s="106"/>
      <c r="CW347" s="106"/>
      <c r="CX347" s="106"/>
      <c r="CY347" s="106"/>
      <c r="CZ347" s="106"/>
      <c r="DA347" s="106"/>
      <c r="DB347" s="106"/>
      <c r="DC347" s="106"/>
      <c r="DD347" s="106"/>
      <c r="DE347" s="106"/>
      <c r="DF347" s="106"/>
      <c r="DG347" s="106"/>
      <c r="DH347" s="106"/>
      <c r="DI347" s="106"/>
      <c r="DJ347" s="106"/>
      <c r="DK347" s="106"/>
      <c r="DL347" s="106"/>
      <c r="DM347" s="106"/>
      <c r="DN347" s="106"/>
      <c r="DO347" s="106"/>
      <c r="DP347" s="106"/>
      <c r="DQ347" s="106"/>
      <c r="DR347" s="106"/>
      <c r="DS347" s="106"/>
      <c r="DT347" s="106"/>
      <c r="DU347" s="106"/>
      <c r="DV347" s="106"/>
      <c r="DW347" s="106"/>
      <c r="DX347" s="106"/>
      <c r="DY347" s="106"/>
      <c r="DZ347" s="106"/>
      <c r="EA347" s="106"/>
      <c r="EB347" s="106"/>
      <c r="EC347" s="106"/>
      <c r="ED347" s="106"/>
      <c r="EE347" s="106"/>
      <c r="EF347" s="106"/>
      <c r="EG347" s="106"/>
      <c r="EH347" s="106"/>
      <c r="EI347" s="106"/>
    </row>
    <row r="348" spans="3:139" ht="15.75" customHeight="1" x14ac:dyDescent="0.25"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  <c r="CR348" s="106"/>
      <c r="CS348" s="106"/>
      <c r="CT348" s="106"/>
      <c r="CU348" s="106"/>
      <c r="CV348" s="106"/>
      <c r="CW348" s="106"/>
      <c r="CX348" s="106"/>
      <c r="CY348" s="106"/>
      <c r="CZ348" s="106"/>
      <c r="DA348" s="106"/>
      <c r="DB348" s="106"/>
      <c r="DC348" s="106"/>
      <c r="DD348" s="106"/>
      <c r="DE348" s="106"/>
      <c r="DF348" s="106"/>
      <c r="DG348" s="106"/>
      <c r="DH348" s="106"/>
      <c r="DI348" s="106"/>
      <c r="DJ348" s="106"/>
      <c r="DK348" s="106"/>
      <c r="DL348" s="106"/>
      <c r="DM348" s="106"/>
      <c r="DN348" s="106"/>
      <c r="DO348" s="106"/>
      <c r="DP348" s="106"/>
      <c r="DQ348" s="106"/>
      <c r="DR348" s="106"/>
      <c r="DS348" s="106"/>
      <c r="DT348" s="106"/>
      <c r="DU348" s="106"/>
      <c r="DV348" s="106"/>
      <c r="DW348" s="106"/>
      <c r="DX348" s="106"/>
      <c r="DY348" s="106"/>
      <c r="DZ348" s="106"/>
      <c r="EA348" s="106"/>
      <c r="EB348" s="106"/>
      <c r="EC348" s="106"/>
      <c r="ED348" s="106"/>
      <c r="EE348" s="106"/>
      <c r="EF348" s="106"/>
      <c r="EG348" s="106"/>
      <c r="EH348" s="106"/>
      <c r="EI348" s="106"/>
    </row>
    <row r="349" spans="3:139" ht="15.75" customHeight="1" x14ac:dyDescent="0.25"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  <c r="CR349" s="106"/>
      <c r="CS349" s="106"/>
      <c r="CT349" s="106"/>
      <c r="CU349" s="106"/>
      <c r="CV349" s="106"/>
      <c r="CW349" s="106"/>
      <c r="CX349" s="106"/>
      <c r="CY349" s="106"/>
      <c r="CZ349" s="106"/>
      <c r="DA349" s="106"/>
      <c r="DB349" s="106"/>
      <c r="DC349" s="106"/>
      <c r="DD349" s="106"/>
      <c r="DE349" s="106"/>
      <c r="DF349" s="106"/>
      <c r="DG349" s="106"/>
      <c r="DH349" s="106"/>
      <c r="DI349" s="106"/>
      <c r="DJ349" s="106"/>
      <c r="DK349" s="106"/>
      <c r="DL349" s="106"/>
      <c r="DM349" s="106"/>
      <c r="DN349" s="106"/>
      <c r="DO349" s="106"/>
      <c r="DP349" s="106"/>
      <c r="DQ349" s="106"/>
      <c r="DR349" s="106"/>
      <c r="DS349" s="106"/>
      <c r="DT349" s="106"/>
      <c r="DU349" s="106"/>
      <c r="DV349" s="106"/>
      <c r="DW349" s="106"/>
      <c r="DX349" s="106"/>
      <c r="DY349" s="106"/>
      <c r="DZ349" s="106"/>
      <c r="EA349" s="106"/>
      <c r="EB349" s="106"/>
      <c r="EC349" s="106"/>
      <c r="ED349" s="106"/>
      <c r="EE349" s="106"/>
      <c r="EF349" s="106"/>
      <c r="EG349" s="106"/>
      <c r="EH349" s="106"/>
      <c r="EI349" s="106"/>
    </row>
    <row r="350" spans="3:139" ht="15.75" customHeight="1" x14ac:dyDescent="0.25"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  <c r="CR350" s="106"/>
      <c r="CS350" s="106"/>
      <c r="CT350" s="106"/>
      <c r="CU350" s="106"/>
      <c r="CV350" s="106"/>
      <c r="CW350" s="106"/>
      <c r="CX350" s="106"/>
      <c r="CY350" s="106"/>
      <c r="CZ350" s="106"/>
      <c r="DA350" s="106"/>
      <c r="DB350" s="106"/>
      <c r="DC350" s="106"/>
      <c r="DD350" s="106"/>
      <c r="DE350" s="106"/>
      <c r="DF350" s="106"/>
      <c r="DG350" s="106"/>
      <c r="DH350" s="106"/>
      <c r="DI350" s="106"/>
      <c r="DJ350" s="106"/>
      <c r="DK350" s="106"/>
      <c r="DL350" s="106"/>
      <c r="DM350" s="106"/>
      <c r="DN350" s="106"/>
      <c r="DO350" s="106"/>
      <c r="DP350" s="106"/>
      <c r="DQ350" s="106"/>
      <c r="DR350" s="106"/>
      <c r="DS350" s="106"/>
      <c r="DT350" s="106"/>
      <c r="DU350" s="106"/>
      <c r="DV350" s="106"/>
      <c r="DW350" s="106"/>
      <c r="DX350" s="106"/>
      <c r="DY350" s="106"/>
      <c r="DZ350" s="106"/>
      <c r="EA350" s="106"/>
      <c r="EB350" s="106"/>
      <c r="EC350" s="106"/>
      <c r="ED350" s="106"/>
      <c r="EE350" s="106"/>
      <c r="EF350" s="106"/>
      <c r="EG350" s="106"/>
      <c r="EH350" s="106"/>
      <c r="EI350" s="106"/>
    </row>
    <row r="351" spans="3:139" ht="15.75" customHeight="1" x14ac:dyDescent="0.25"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  <c r="CR351" s="106"/>
      <c r="CS351" s="106"/>
      <c r="CT351" s="106"/>
      <c r="CU351" s="106"/>
      <c r="CV351" s="106"/>
      <c r="CW351" s="106"/>
      <c r="CX351" s="106"/>
      <c r="CY351" s="106"/>
      <c r="CZ351" s="106"/>
      <c r="DA351" s="106"/>
      <c r="DB351" s="106"/>
      <c r="DC351" s="106"/>
      <c r="DD351" s="106"/>
      <c r="DE351" s="106"/>
      <c r="DF351" s="106"/>
      <c r="DG351" s="106"/>
      <c r="DH351" s="106"/>
      <c r="DI351" s="106"/>
      <c r="DJ351" s="106"/>
      <c r="DK351" s="106"/>
      <c r="DL351" s="106"/>
      <c r="DM351" s="106"/>
      <c r="DN351" s="106"/>
      <c r="DO351" s="106"/>
      <c r="DP351" s="106"/>
      <c r="DQ351" s="106"/>
      <c r="DR351" s="106"/>
      <c r="DS351" s="106"/>
      <c r="DT351" s="106"/>
      <c r="DU351" s="106"/>
      <c r="DV351" s="106"/>
      <c r="DW351" s="106"/>
      <c r="DX351" s="106"/>
      <c r="DY351" s="106"/>
      <c r="DZ351" s="106"/>
      <c r="EA351" s="106"/>
      <c r="EB351" s="106"/>
      <c r="EC351" s="106"/>
      <c r="ED351" s="106"/>
      <c r="EE351" s="106"/>
      <c r="EF351" s="106"/>
      <c r="EG351" s="106"/>
      <c r="EH351" s="106"/>
      <c r="EI351" s="106"/>
    </row>
    <row r="352" spans="3:139" ht="15.75" customHeight="1" x14ac:dyDescent="0.25"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  <c r="CR352" s="106"/>
      <c r="CS352" s="106"/>
      <c r="CT352" s="106"/>
      <c r="CU352" s="106"/>
      <c r="CV352" s="106"/>
      <c r="CW352" s="106"/>
      <c r="CX352" s="106"/>
      <c r="CY352" s="106"/>
      <c r="CZ352" s="106"/>
      <c r="DA352" s="106"/>
      <c r="DB352" s="106"/>
      <c r="DC352" s="106"/>
      <c r="DD352" s="106"/>
      <c r="DE352" s="106"/>
      <c r="DF352" s="106"/>
      <c r="DG352" s="106"/>
      <c r="DH352" s="106"/>
      <c r="DI352" s="106"/>
      <c r="DJ352" s="106"/>
      <c r="DK352" s="106"/>
      <c r="DL352" s="106"/>
      <c r="DM352" s="106"/>
      <c r="DN352" s="106"/>
      <c r="DO352" s="106"/>
      <c r="DP352" s="106"/>
      <c r="DQ352" s="106"/>
      <c r="DR352" s="106"/>
      <c r="DS352" s="106"/>
      <c r="DT352" s="106"/>
      <c r="DU352" s="106"/>
      <c r="DV352" s="106"/>
      <c r="DW352" s="106"/>
      <c r="DX352" s="106"/>
      <c r="DY352" s="106"/>
      <c r="DZ352" s="106"/>
      <c r="EA352" s="106"/>
      <c r="EB352" s="106"/>
      <c r="EC352" s="106"/>
      <c r="ED352" s="106"/>
      <c r="EE352" s="106"/>
      <c r="EF352" s="106"/>
      <c r="EG352" s="106"/>
      <c r="EH352" s="106"/>
      <c r="EI352" s="106"/>
    </row>
    <row r="353" spans="3:139" ht="15.75" customHeight="1" x14ac:dyDescent="0.25"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  <c r="CZ353" s="106"/>
      <c r="DA353" s="106"/>
      <c r="DB353" s="106"/>
      <c r="DC353" s="106"/>
      <c r="DD353" s="106"/>
      <c r="DE353" s="106"/>
      <c r="DF353" s="106"/>
      <c r="DG353" s="106"/>
      <c r="DH353" s="106"/>
      <c r="DI353" s="106"/>
      <c r="DJ353" s="106"/>
      <c r="DK353" s="106"/>
      <c r="DL353" s="106"/>
      <c r="DM353" s="106"/>
      <c r="DN353" s="106"/>
      <c r="DO353" s="106"/>
      <c r="DP353" s="106"/>
      <c r="DQ353" s="106"/>
      <c r="DR353" s="106"/>
      <c r="DS353" s="106"/>
      <c r="DT353" s="106"/>
      <c r="DU353" s="106"/>
      <c r="DV353" s="106"/>
      <c r="DW353" s="106"/>
      <c r="DX353" s="106"/>
      <c r="DY353" s="106"/>
      <c r="DZ353" s="106"/>
      <c r="EA353" s="106"/>
      <c r="EB353" s="106"/>
      <c r="EC353" s="106"/>
      <c r="ED353" s="106"/>
      <c r="EE353" s="106"/>
      <c r="EF353" s="106"/>
      <c r="EG353" s="106"/>
      <c r="EH353" s="106"/>
      <c r="EI353" s="106"/>
    </row>
    <row r="354" spans="3:139" ht="15.75" customHeight="1" x14ac:dyDescent="0.25"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  <c r="CR354" s="106"/>
      <c r="CS354" s="106"/>
      <c r="CT354" s="106"/>
      <c r="CU354" s="106"/>
      <c r="CV354" s="106"/>
      <c r="CW354" s="106"/>
      <c r="CX354" s="106"/>
      <c r="CY354" s="106"/>
      <c r="CZ354" s="106"/>
      <c r="DA354" s="106"/>
      <c r="DB354" s="106"/>
      <c r="DC354" s="106"/>
      <c r="DD354" s="106"/>
      <c r="DE354" s="106"/>
      <c r="DF354" s="106"/>
      <c r="DG354" s="106"/>
      <c r="DH354" s="106"/>
      <c r="DI354" s="106"/>
      <c r="DJ354" s="106"/>
      <c r="DK354" s="106"/>
      <c r="DL354" s="106"/>
      <c r="DM354" s="106"/>
      <c r="DN354" s="106"/>
      <c r="DO354" s="106"/>
      <c r="DP354" s="106"/>
      <c r="DQ354" s="106"/>
      <c r="DR354" s="106"/>
      <c r="DS354" s="106"/>
      <c r="DT354" s="106"/>
      <c r="DU354" s="106"/>
      <c r="DV354" s="106"/>
      <c r="DW354" s="106"/>
      <c r="DX354" s="106"/>
      <c r="DY354" s="106"/>
      <c r="DZ354" s="106"/>
      <c r="EA354" s="106"/>
      <c r="EB354" s="106"/>
      <c r="EC354" s="106"/>
      <c r="ED354" s="106"/>
      <c r="EE354" s="106"/>
      <c r="EF354" s="106"/>
      <c r="EG354" s="106"/>
      <c r="EH354" s="106"/>
      <c r="EI354" s="106"/>
    </row>
    <row r="355" spans="3:139" ht="15.75" customHeight="1" x14ac:dyDescent="0.25"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  <c r="CZ355" s="106"/>
      <c r="DA355" s="106"/>
      <c r="DB355" s="106"/>
      <c r="DC355" s="106"/>
      <c r="DD355" s="106"/>
      <c r="DE355" s="106"/>
      <c r="DF355" s="106"/>
      <c r="DG355" s="106"/>
      <c r="DH355" s="106"/>
      <c r="DI355" s="106"/>
      <c r="DJ355" s="106"/>
      <c r="DK355" s="106"/>
      <c r="DL355" s="106"/>
      <c r="DM355" s="106"/>
      <c r="DN355" s="106"/>
      <c r="DO355" s="106"/>
      <c r="DP355" s="106"/>
      <c r="DQ355" s="106"/>
      <c r="DR355" s="106"/>
      <c r="DS355" s="106"/>
      <c r="DT355" s="106"/>
      <c r="DU355" s="106"/>
      <c r="DV355" s="106"/>
      <c r="DW355" s="106"/>
      <c r="DX355" s="106"/>
      <c r="DY355" s="106"/>
      <c r="DZ355" s="106"/>
      <c r="EA355" s="106"/>
      <c r="EB355" s="106"/>
      <c r="EC355" s="106"/>
      <c r="ED355" s="106"/>
      <c r="EE355" s="106"/>
      <c r="EF355" s="106"/>
      <c r="EG355" s="106"/>
      <c r="EH355" s="106"/>
      <c r="EI355" s="106"/>
    </row>
    <row r="356" spans="3:139" ht="15.75" customHeight="1" x14ac:dyDescent="0.25"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  <c r="CZ356" s="106"/>
      <c r="DA356" s="106"/>
      <c r="DB356" s="106"/>
      <c r="DC356" s="106"/>
      <c r="DD356" s="106"/>
      <c r="DE356" s="106"/>
      <c r="DF356" s="106"/>
      <c r="DG356" s="106"/>
      <c r="DH356" s="106"/>
      <c r="DI356" s="106"/>
      <c r="DJ356" s="106"/>
      <c r="DK356" s="106"/>
      <c r="DL356" s="106"/>
      <c r="DM356" s="106"/>
      <c r="DN356" s="106"/>
      <c r="DO356" s="106"/>
      <c r="DP356" s="106"/>
      <c r="DQ356" s="106"/>
      <c r="DR356" s="106"/>
      <c r="DS356" s="106"/>
      <c r="DT356" s="106"/>
      <c r="DU356" s="106"/>
      <c r="DV356" s="106"/>
      <c r="DW356" s="106"/>
      <c r="DX356" s="106"/>
      <c r="DY356" s="106"/>
      <c r="DZ356" s="106"/>
      <c r="EA356" s="106"/>
      <c r="EB356" s="106"/>
      <c r="EC356" s="106"/>
      <c r="ED356" s="106"/>
      <c r="EE356" s="106"/>
      <c r="EF356" s="106"/>
      <c r="EG356" s="106"/>
      <c r="EH356" s="106"/>
      <c r="EI356" s="106"/>
    </row>
    <row r="357" spans="3:139" ht="15.75" customHeight="1" x14ac:dyDescent="0.25"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  <c r="CZ357" s="106"/>
      <c r="DA357" s="106"/>
      <c r="DB357" s="106"/>
      <c r="DC357" s="106"/>
      <c r="DD357" s="106"/>
      <c r="DE357" s="106"/>
      <c r="DF357" s="106"/>
      <c r="DG357" s="106"/>
      <c r="DH357" s="106"/>
      <c r="DI357" s="106"/>
      <c r="DJ357" s="106"/>
      <c r="DK357" s="106"/>
      <c r="DL357" s="106"/>
      <c r="DM357" s="106"/>
      <c r="DN357" s="106"/>
      <c r="DO357" s="106"/>
      <c r="DP357" s="106"/>
      <c r="DQ357" s="106"/>
      <c r="DR357" s="106"/>
      <c r="DS357" s="106"/>
      <c r="DT357" s="106"/>
      <c r="DU357" s="106"/>
      <c r="DV357" s="106"/>
      <c r="DW357" s="106"/>
      <c r="DX357" s="106"/>
      <c r="DY357" s="106"/>
      <c r="DZ357" s="106"/>
      <c r="EA357" s="106"/>
      <c r="EB357" s="106"/>
      <c r="EC357" s="106"/>
      <c r="ED357" s="106"/>
      <c r="EE357" s="106"/>
      <c r="EF357" s="106"/>
      <c r="EG357" s="106"/>
      <c r="EH357" s="106"/>
      <c r="EI357" s="106"/>
    </row>
    <row r="358" spans="3:139" ht="15.75" customHeight="1" x14ac:dyDescent="0.25"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  <c r="CZ358" s="106"/>
      <c r="DA358" s="106"/>
      <c r="DB358" s="106"/>
      <c r="DC358" s="106"/>
      <c r="DD358" s="106"/>
      <c r="DE358" s="106"/>
      <c r="DF358" s="106"/>
      <c r="DG358" s="106"/>
      <c r="DH358" s="106"/>
      <c r="DI358" s="106"/>
      <c r="DJ358" s="106"/>
      <c r="DK358" s="106"/>
      <c r="DL358" s="106"/>
      <c r="DM358" s="106"/>
      <c r="DN358" s="106"/>
      <c r="DO358" s="106"/>
      <c r="DP358" s="106"/>
      <c r="DQ358" s="106"/>
      <c r="DR358" s="106"/>
      <c r="DS358" s="106"/>
      <c r="DT358" s="106"/>
      <c r="DU358" s="106"/>
      <c r="DV358" s="106"/>
      <c r="DW358" s="106"/>
      <c r="DX358" s="106"/>
      <c r="DY358" s="106"/>
      <c r="DZ358" s="106"/>
      <c r="EA358" s="106"/>
      <c r="EB358" s="106"/>
      <c r="EC358" s="106"/>
      <c r="ED358" s="106"/>
      <c r="EE358" s="106"/>
      <c r="EF358" s="106"/>
      <c r="EG358" s="106"/>
      <c r="EH358" s="106"/>
      <c r="EI358" s="106"/>
    </row>
    <row r="359" spans="3:139" ht="15.75" customHeight="1" x14ac:dyDescent="0.25"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  <c r="CZ359" s="106"/>
      <c r="DA359" s="106"/>
      <c r="DB359" s="106"/>
      <c r="DC359" s="106"/>
      <c r="DD359" s="106"/>
      <c r="DE359" s="106"/>
      <c r="DF359" s="106"/>
      <c r="DG359" s="106"/>
      <c r="DH359" s="106"/>
      <c r="DI359" s="106"/>
      <c r="DJ359" s="106"/>
      <c r="DK359" s="106"/>
      <c r="DL359" s="106"/>
      <c r="DM359" s="106"/>
      <c r="DN359" s="106"/>
      <c r="DO359" s="106"/>
      <c r="DP359" s="106"/>
      <c r="DQ359" s="106"/>
      <c r="DR359" s="106"/>
      <c r="DS359" s="106"/>
      <c r="DT359" s="106"/>
      <c r="DU359" s="106"/>
      <c r="DV359" s="106"/>
      <c r="DW359" s="106"/>
      <c r="DX359" s="106"/>
      <c r="DY359" s="106"/>
      <c r="DZ359" s="106"/>
      <c r="EA359" s="106"/>
      <c r="EB359" s="106"/>
      <c r="EC359" s="106"/>
      <c r="ED359" s="106"/>
      <c r="EE359" s="106"/>
      <c r="EF359" s="106"/>
      <c r="EG359" s="106"/>
      <c r="EH359" s="106"/>
      <c r="EI359" s="106"/>
    </row>
    <row r="360" spans="3:139" ht="15.75" customHeight="1" x14ac:dyDescent="0.25"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  <c r="CZ360" s="106"/>
      <c r="DA360" s="106"/>
      <c r="DB360" s="106"/>
      <c r="DC360" s="106"/>
      <c r="DD360" s="106"/>
      <c r="DE360" s="106"/>
      <c r="DF360" s="106"/>
      <c r="DG360" s="106"/>
      <c r="DH360" s="106"/>
      <c r="DI360" s="106"/>
      <c r="DJ360" s="106"/>
      <c r="DK360" s="106"/>
      <c r="DL360" s="106"/>
      <c r="DM360" s="106"/>
      <c r="DN360" s="106"/>
      <c r="DO360" s="106"/>
      <c r="DP360" s="106"/>
      <c r="DQ360" s="106"/>
      <c r="DR360" s="106"/>
      <c r="DS360" s="106"/>
      <c r="DT360" s="106"/>
      <c r="DU360" s="106"/>
      <c r="DV360" s="106"/>
      <c r="DW360" s="106"/>
      <c r="DX360" s="106"/>
      <c r="DY360" s="106"/>
      <c r="DZ360" s="106"/>
      <c r="EA360" s="106"/>
      <c r="EB360" s="106"/>
      <c r="EC360" s="106"/>
      <c r="ED360" s="106"/>
      <c r="EE360" s="106"/>
      <c r="EF360" s="106"/>
      <c r="EG360" s="106"/>
      <c r="EH360" s="106"/>
      <c r="EI360" s="106"/>
    </row>
    <row r="361" spans="3:139" ht="15.75" customHeight="1" x14ac:dyDescent="0.25"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  <c r="CZ361" s="106"/>
      <c r="DA361" s="106"/>
      <c r="DB361" s="106"/>
      <c r="DC361" s="106"/>
      <c r="DD361" s="106"/>
      <c r="DE361" s="106"/>
      <c r="DF361" s="106"/>
      <c r="DG361" s="106"/>
      <c r="DH361" s="106"/>
      <c r="DI361" s="106"/>
      <c r="DJ361" s="106"/>
      <c r="DK361" s="106"/>
      <c r="DL361" s="106"/>
      <c r="DM361" s="106"/>
      <c r="DN361" s="106"/>
      <c r="DO361" s="106"/>
      <c r="DP361" s="106"/>
      <c r="DQ361" s="106"/>
      <c r="DR361" s="106"/>
      <c r="DS361" s="106"/>
      <c r="DT361" s="106"/>
      <c r="DU361" s="106"/>
      <c r="DV361" s="106"/>
      <c r="DW361" s="106"/>
      <c r="DX361" s="106"/>
      <c r="DY361" s="106"/>
      <c r="DZ361" s="106"/>
      <c r="EA361" s="106"/>
      <c r="EB361" s="106"/>
      <c r="EC361" s="106"/>
      <c r="ED361" s="106"/>
      <c r="EE361" s="106"/>
      <c r="EF361" s="106"/>
      <c r="EG361" s="106"/>
      <c r="EH361" s="106"/>
      <c r="EI361" s="106"/>
    </row>
    <row r="362" spans="3:139" ht="15.75" customHeight="1" x14ac:dyDescent="0.25"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  <c r="CZ362" s="106"/>
      <c r="DA362" s="106"/>
      <c r="DB362" s="106"/>
      <c r="DC362" s="106"/>
      <c r="DD362" s="106"/>
      <c r="DE362" s="106"/>
      <c r="DF362" s="106"/>
      <c r="DG362" s="106"/>
      <c r="DH362" s="106"/>
      <c r="DI362" s="106"/>
      <c r="DJ362" s="106"/>
      <c r="DK362" s="106"/>
      <c r="DL362" s="106"/>
      <c r="DM362" s="106"/>
      <c r="DN362" s="106"/>
      <c r="DO362" s="106"/>
      <c r="DP362" s="106"/>
      <c r="DQ362" s="106"/>
      <c r="DR362" s="106"/>
      <c r="DS362" s="106"/>
      <c r="DT362" s="106"/>
      <c r="DU362" s="106"/>
      <c r="DV362" s="106"/>
      <c r="DW362" s="106"/>
      <c r="DX362" s="106"/>
      <c r="DY362" s="106"/>
      <c r="DZ362" s="106"/>
      <c r="EA362" s="106"/>
      <c r="EB362" s="106"/>
      <c r="EC362" s="106"/>
      <c r="ED362" s="106"/>
      <c r="EE362" s="106"/>
      <c r="EF362" s="106"/>
      <c r="EG362" s="106"/>
      <c r="EH362" s="106"/>
      <c r="EI362" s="106"/>
    </row>
    <row r="363" spans="3:139" ht="15.75" customHeight="1" x14ac:dyDescent="0.25"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  <c r="CR363" s="106"/>
      <c r="CS363" s="106"/>
      <c r="CT363" s="106"/>
      <c r="CU363" s="106"/>
      <c r="CV363" s="106"/>
      <c r="CW363" s="106"/>
      <c r="CX363" s="106"/>
      <c r="CY363" s="106"/>
      <c r="CZ363" s="106"/>
      <c r="DA363" s="106"/>
      <c r="DB363" s="106"/>
      <c r="DC363" s="106"/>
      <c r="DD363" s="106"/>
      <c r="DE363" s="106"/>
      <c r="DF363" s="106"/>
      <c r="DG363" s="106"/>
      <c r="DH363" s="106"/>
      <c r="DI363" s="106"/>
      <c r="DJ363" s="106"/>
      <c r="DK363" s="106"/>
      <c r="DL363" s="106"/>
      <c r="DM363" s="106"/>
      <c r="DN363" s="106"/>
      <c r="DO363" s="106"/>
      <c r="DP363" s="106"/>
      <c r="DQ363" s="106"/>
      <c r="DR363" s="106"/>
      <c r="DS363" s="106"/>
      <c r="DT363" s="106"/>
      <c r="DU363" s="106"/>
      <c r="DV363" s="106"/>
      <c r="DW363" s="106"/>
      <c r="DX363" s="106"/>
      <c r="DY363" s="106"/>
      <c r="DZ363" s="106"/>
      <c r="EA363" s="106"/>
      <c r="EB363" s="106"/>
      <c r="EC363" s="106"/>
      <c r="ED363" s="106"/>
      <c r="EE363" s="106"/>
      <c r="EF363" s="106"/>
      <c r="EG363" s="106"/>
      <c r="EH363" s="106"/>
      <c r="EI363" s="106"/>
    </row>
    <row r="364" spans="3:139" ht="15.75" customHeight="1" x14ac:dyDescent="0.25"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  <c r="CR364" s="106"/>
      <c r="CS364" s="106"/>
      <c r="CT364" s="106"/>
      <c r="CU364" s="106"/>
      <c r="CV364" s="106"/>
      <c r="CW364" s="106"/>
      <c r="CX364" s="106"/>
      <c r="CY364" s="106"/>
      <c r="CZ364" s="106"/>
      <c r="DA364" s="106"/>
      <c r="DB364" s="106"/>
      <c r="DC364" s="106"/>
      <c r="DD364" s="106"/>
      <c r="DE364" s="106"/>
      <c r="DF364" s="106"/>
      <c r="DG364" s="106"/>
      <c r="DH364" s="106"/>
      <c r="DI364" s="106"/>
      <c r="DJ364" s="106"/>
      <c r="DK364" s="106"/>
      <c r="DL364" s="106"/>
      <c r="DM364" s="106"/>
      <c r="DN364" s="106"/>
      <c r="DO364" s="106"/>
      <c r="DP364" s="106"/>
      <c r="DQ364" s="106"/>
      <c r="DR364" s="106"/>
      <c r="DS364" s="106"/>
      <c r="DT364" s="106"/>
      <c r="DU364" s="106"/>
      <c r="DV364" s="106"/>
      <c r="DW364" s="106"/>
      <c r="DX364" s="106"/>
      <c r="DY364" s="106"/>
      <c r="DZ364" s="106"/>
      <c r="EA364" s="106"/>
      <c r="EB364" s="106"/>
      <c r="EC364" s="106"/>
      <c r="ED364" s="106"/>
      <c r="EE364" s="106"/>
      <c r="EF364" s="106"/>
      <c r="EG364" s="106"/>
      <c r="EH364" s="106"/>
      <c r="EI364" s="106"/>
    </row>
    <row r="365" spans="3:139" ht="15.75" customHeight="1" x14ac:dyDescent="0.25"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  <c r="CR365" s="106"/>
      <c r="CS365" s="106"/>
      <c r="CT365" s="106"/>
      <c r="CU365" s="106"/>
      <c r="CV365" s="106"/>
      <c r="CW365" s="106"/>
      <c r="CX365" s="106"/>
      <c r="CY365" s="106"/>
      <c r="CZ365" s="106"/>
      <c r="DA365" s="106"/>
      <c r="DB365" s="106"/>
      <c r="DC365" s="106"/>
      <c r="DD365" s="106"/>
      <c r="DE365" s="106"/>
      <c r="DF365" s="106"/>
      <c r="DG365" s="106"/>
      <c r="DH365" s="106"/>
      <c r="DI365" s="106"/>
      <c r="DJ365" s="106"/>
      <c r="DK365" s="106"/>
      <c r="DL365" s="106"/>
      <c r="DM365" s="106"/>
      <c r="DN365" s="106"/>
      <c r="DO365" s="106"/>
      <c r="DP365" s="106"/>
      <c r="DQ365" s="106"/>
      <c r="DR365" s="106"/>
      <c r="DS365" s="106"/>
      <c r="DT365" s="106"/>
      <c r="DU365" s="106"/>
      <c r="DV365" s="106"/>
      <c r="DW365" s="106"/>
      <c r="DX365" s="106"/>
      <c r="DY365" s="106"/>
      <c r="DZ365" s="106"/>
      <c r="EA365" s="106"/>
      <c r="EB365" s="106"/>
      <c r="EC365" s="106"/>
      <c r="ED365" s="106"/>
      <c r="EE365" s="106"/>
      <c r="EF365" s="106"/>
      <c r="EG365" s="106"/>
      <c r="EH365" s="106"/>
      <c r="EI365" s="106"/>
    </row>
    <row r="366" spans="3:139" ht="15.75" customHeight="1" x14ac:dyDescent="0.25"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6"/>
      <c r="CX366" s="106"/>
      <c r="CY366" s="106"/>
      <c r="CZ366" s="106"/>
      <c r="DA366" s="106"/>
      <c r="DB366" s="106"/>
      <c r="DC366" s="106"/>
      <c r="DD366" s="106"/>
      <c r="DE366" s="106"/>
      <c r="DF366" s="106"/>
      <c r="DG366" s="106"/>
      <c r="DH366" s="106"/>
      <c r="DI366" s="106"/>
      <c r="DJ366" s="106"/>
      <c r="DK366" s="106"/>
      <c r="DL366" s="106"/>
      <c r="DM366" s="106"/>
      <c r="DN366" s="106"/>
      <c r="DO366" s="106"/>
      <c r="DP366" s="106"/>
      <c r="DQ366" s="106"/>
      <c r="DR366" s="106"/>
      <c r="DS366" s="106"/>
      <c r="DT366" s="106"/>
      <c r="DU366" s="106"/>
      <c r="DV366" s="106"/>
      <c r="DW366" s="106"/>
      <c r="DX366" s="106"/>
      <c r="DY366" s="106"/>
      <c r="DZ366" s="106"/>
      <c r="EA366" s="106"/>
      <c r="EB366" s="106"/>
      <c r="EC366" s="106"/>
      <c r="ED366" s="106"/>
      <c r="EE366" s="106"/>
      <c r="EF366" s="106"/>
      <c r="EG366" s="106"/>
      <c r="EH366" s="106"/>
      <c r="EI366" s="106"/>
    </row>
    <row r="367" spans="3:139" ht="15.75" customHeight="1" x14ac:dyDescent="0.25"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  <c r="CR367" s="106"/>
      <c r="CS367" s="106"/>
      <c r="CT367" s="106"/>
      <c r="CU367" s="106"/>
      <c r="CV367" s="106"/>
      <c r="CW367" s="106"/>
      <c r="CX367" s="106"/>
      <c r="CY367" s="106"/>
      <c r="CZ367" s="106"/>
      <c r="DA367" s="106"/>
      <c r="DB367" s="106"/>
      <c r="DC367" s="106"/>
      <c r="DD367" s="106"/>
      <c r="DE367" s="106"/>
      <c r="DF367" s="106"/>
      <c r="DG367" s="106"/>
      <c r="DH367" s="106"/>
      <c r="DI367" s="106"/>
      <c r="DJ367" s="106"/>
      <c r="DK367" s="106"/>
      <c r="DL367" s="106"/>
      <c r="DM367" s="106"/>
      <c r="DN367" s="106"/>
      <c r="DO367" s="106"/>
      <c r="DP367" s="106"/>
      <c r="DQ367" s="106"/>
      <c r="DR367" s="106"/>
      <c r="DS367" s="106"/>
      <c r="DT367" s="106"/>
      <c r="DU367" s="106"/>
      <c r="DV367" s="106"/>
      <c r="DW367" s="106"/>
      <c r="DX367" s="106"/>
      <c r="DY367" s="106"/>
      <c r="DZ367" s="106"/>
      <c r="EA367" s="106"/>
      <c r="EB367" s="106"/>
      <c r="EC367" s="106"/>
      <c r="ED367" s="106"/>
      <c r="EE367" s="106"/>
      <c r="EF367" s="106"/>
      <c r="EG367" s="106"/>
      <c r="EH367" s="106"/>
      <c r="EI367" s="106"/>
    </row>
    <row r="368" spans="3:139" ht="15.75" customHeight="1" x14ac:dyDescent="0.25"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  <c r="CR368" s="106"/>
      <c r="CS368" s="106"/>
      <c r="CT368" s="106"/>
      <c r="CU368" s="106"/>
      <c r="CV368" s="106"/>
      <c r="CW368" s="106"/>
      <c r="CX368" s="106"/>
      <c r="CY368" s="106"/>
      <c r="CZ368" s="106"/>
      <c r="DA368" s="106"/>
      <c r="DB368" s="106"/>
      <c r="DC368" s="106"/>
      <c r="DD368" s="106"/>
      <c r="DE368" s="106"/>
      <c r="DF368" s="106"/>
      <c r="DG368" s="106"/>
      <c r="DH368" s="106"/>
      <c r="DI368" s="106"/>
      <c r="DJ368" s="106"/>
      <c r="DK368" s="106"/>
      <c r="DL368" s="106"/>
      <c r="DM368" s="106"/>
      <c r="DN368" s="106"/>
      <c r="DO368" s="106"/>
      <c r="DP368" s="106"/>
      <c r="DQ368" s="106"/>
      <c r="DR368" s="106"/>
      <c r="DS368" s="106"/>
      <c r="DT368" s="106"/>
      <c r="DU368" s="106"/>
      <c r="DV368" s="106"/>
      <c r="DW368" s="106"/>
      <c r="DX368" s="106"/>
      <c r="DY368" s="106"/>
      <c r="DZ368" s="106"/>
      <c r="EA368" s="106"/>
      <c r="EB368" s="106"/>
      <c r="EC368" s="106"/>
      <c r="ED368" s="106"/>
      <c r="EE368" s="106"/>
      <c r="EF368" s="106"/>
      <c r="EG368" s="106"/>
      <c r="EH368" s="106"/>
      <c r="EI368" s="106"/>
    </row>
    <row r="369" spans="3:139" ht="15.75" customHeight="1" x14ac:dyDescent="0.25"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  <c r="CR369" s="106"/>
      <c r="CS369" s="106"/>
      <c r="CT369" s="106"/>
      <c r="CU369" s="106"/>
      <c r="CV369" s="106"/>
      <c r="CW369" s="106"/>
      <c r="CX369" s="106"/>
      <c r="CY369" s="106"/>
      <c r="CZ369" s="106"/>
      <c r="DA369" s="106"/>
      <c r="DB369" s="106"/>
      <c r="DC369" s="106"/>
      <c r="DD369" s="106"/>
      <c r="DE369" s="106"/>
      <c r="DF369" s="106"/>
      <c r="DG369" s="106"/>
      <c r="DH369" s="106"/>
      <c r="DI369" s="106"/>
      <c r="DJ369" s="106"/>
      <c r="DK369" s="106"/>
      <c r="DL369" s="106"/>
      <c r="DM369" s="106"/>
      <c r="DN369" s="106"/>
      <c r="DO369" s="106"/>
      <c r="DP369" s="106"/>
      <c r="DQ369" s="106"/>
      <c r="DR369" s="106"/>
      <c r="DS369" s="106"/>
      <c r="DT369" s="106"/>
      <c r="DU369" s="106"/>
      <c r="DV369" s="106"/>
      <c r="DW369" s="106"/>
      <c r="DX369" s="106"/>
      <c r="DY369" s="106"/>
      <c r="DZ369" s="106"/>
      <c r="EA369" s="106"/>
      <c r="EB369" s="106"/>
      <c r="EC369" s="106"/>
      <c r="ED369" s="106"/>
      <c r="EE369" s="106"/>
      <c r="EF369" s="106"/>
      <c r="EG369" s="106"/>
      <c r="EH369" s="106"/>
      <c r="EI369" s="106"/>
    </row>
    <row r="370" spans="3:139" ht="15.75" customHeight="1" x14ac:dyDescent="0.25"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  <c r="CR370" s="106"/>
      <c r="CS370" s="106"/>
      <c r="CT370" s="106"/>
      <c r="CU370" s="106"/>
      <c r="CV370" s="106"/>
      <c r="CW370" s="106"/>
      <c r="CX370" s="106"/>
      <c r="CY370" s="106"/>
      <c r="CZ370" s="106"/>
      <c r="DA370" s="106"/>
      <c r="DB370" s="106"/>
      <c r="DC370" s="106"/>
      <c r="DD370" s="106"/>
      <c r="DE370" s="106"/>
      <c r="DF370" s="106"/>
      <c r="DG370" s="106"/>
      <c r="DH370" s="106"/>
      <c r="DI370" s="106"/>
      <c r="DJ370" s="106"/>
      <c r="DK370" s="106"/>
      <c r="DL370" s="106"/>
      <c r="DM370" s="106"/>
      <c r="DN370" s="106"/>
      <c r="DO370" s="106"/>
      <c r="DP370" s="106"/>
      <c r="DQ370" s="106"/>
      <c r="DR370" s="106"/>
      <c r="DS370" s="106"/>
      <c r="DT370" s="106"/>
      <c r="DU370" s="106"/>
      <c r="DV370" s="106"/>
      <c r="DW370" s="106"/>
      <c r="DX370" s="106"/>
      <c r="DY370" s="106"/>
      <c r="DZ370" s="106"/>
      <c r="EA370" s="106"/>
      <c r="EB370" s="106"/>
      <c r="EC370" s="106"/>
      <c r="ED370" s="106"/>
      <c r="EE370" s="106"/>
      <c r="EF370" s="106"/>
      <c r="EG370" s="106"/>
      <c r="EH370" s="106"/>
      <c r="EI370" s="106"/>
    </row>
    <row r="371" spans="3:139" ht="15.75" customHeight="1" x14ac:dyDescent="0.25"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  <c r="CR371" s="106"/>
      <c r="CS371" s="106"/>
      <c r="CT371" s="106"/>
      <c r="CU371" s="106"/>
      <c r="CV371" s="106"/>
      <c r="CW371" s="106"/>
      <c r="CX371" s="106"/>
      <c r="CY371" s="106"/>
      <c r="CZ371" s="106"/>
      <c r="DA371" s="106"/>
      <c r="DB371" s="106"/>
      <c r="DC371" s="106"/>
      <c r="DD371" s="106"/>
      <c r="DE371" s="106"/>
      <c r="DF371" s="106"/>
      <c r="DG371" s="106"/>
      <c r="DH371" s="106"/>
      <c r="DI371" s="106"/>
      <c r="DJ371" s="106"/>
      <c r="DK371" s="106"/>
      <c r="DL371" s="106"/>
      <c r="DM371" s="106"/>
      <c r="DN371" s="106"/>
      <c r="DO371" s="106"/>
      <c r="DP371" s="106"/>
      <c r="DQ371" s="106"/>
      <c r="DR371" s="106"/>
      <c r="DS371" s="106"/>
      <c r="DT371" s="106"/>
      <c r="DU371" s="106"/>
      <c r="DV371" s="106"/>
      <c r="DW371" s="106"/>
      <c r="DX371" s="106"/>
      <c r="DY371" s="106"/>
      <c r="DZ371" s="106"/>
      <c r="EA371" s="106"/>
      <c r="EB371" s="106"/>
      <c r="EC371" s="106"/>
      <c r="ED371" s="106"/>
      <c r="EE371" s="106"/>
      <c r="EF371" s="106"/>
      <c r="EG371" s="106"/>
      <c r="EH371" s="106"/>
      <c r="EI371" s="106"/>
    </row>
    <row r="372" spans="3:139" ht="15.75" customHeight="1" x14ac:dyDescent="0.25"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  <c r="CR372" s="106"/>
      <c r="CS372" s="106"/>
      <c r="CT372" s="106"/>
      <c r="CU372" s="106"/>
      <c r="CV372" s="106"/>
      <c r="CW372" s="106"/>
      <c r="CX372" s="106"/>
      <c r="CY372" s="106"/>
      <c r="CZ372" s="106"/>
      <c r="DA372" s="106"/>
      <c r="DB372" s="106"/>
      <c r="DC372" s="106"/>
      <c r="DD372" s="106"/>
      <c r="DE372" s="106"/>
      <c r="DF372" s="106"/>
      <c r="DG372" s="106"/>
      <c r="DH372" s="106"/>
      <c r="DI372" s="106"/>
      <c r="DJ372" s="106"/>
      <c r="DK372" s="106"/>
      <c r="DL372" s="106"/>
      <c r="DM372" s="106"/>
      <c r="DN372" s="106"/>
      <c r="DO372" s="106"/>
      <c r="DP372" s="106"/>
      <c r="DQ372" s="106"/>
      <c r="DR372" s="106"/>
      <c r="DS372" s="106"/>
      <c r="DT372" s="106"/>
      <c r="DU372" s="106"/>
      <c r="DV372" s="106"/>
      <c r="DW372" s="106"/>
      <c r="DX372" s="106"/>
      <c r="DY372" s="106"/>
      <c r="DZ372" s="106"/>
      <c r="EA372" s="106"/>
      <c r="EB372" s="106"/>
      <c r="EC372" s="106"/>
      <c r="ED372" s="106"/>
      <c r="EE372" s="106"/>
      <c r="EF372" s="106"/>
      <c r="EG372" s="106"/>
      <c r="EH372" s="106"/>
      <c r="EI372" s="106"/>
    </row>
    <row r="373" spans="3:139" ht="15.75" customHeight="1" x14ac:dyDescent="0.25"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  <c r="CR373" s="106"/>
      <c r="CS373" s="106"/>
      <c r="CT373" s="106"/>
      <c r="CU373" s="106"/>
      <c r="CV373" s="106"/>
      <c r="CW373" s="106"/>
      <c r="CX373" s="106"/>
      <c r="CY373" s="106"/>
      <c r="CZ373" s="106"/>
      <c r="DA373" s="106"/>
      <c r="DB373" s="106"/>
      <c r="DC373" s="106"/>
      <c r="DD373" s="106"/>
      <c r="DE373" s="106"/>
      <c r="DF373" s="106"/>
      <c r="DG373" s="106"/>
      <c r="DH373" s="106"/>
      <c r="DI373" s="106"/>
      <c r="DJ373" s="106"/>
      <c r="DK373" s="106"/>
      <c r="DL373" s="106"/>
      <c r="DM373" s="106"/>
      <c r="DN373" s="106"/>
      <c r="DO373" s="106"/>
      <c r="DP373" s="106"/>
      <c r="DQ373" s="106"/>
      <c r="DR373" s="106"/>
      <c r="DS373" s="106"/>
      <c r="DT373" s="106"/>
      <c r="DU373" s="106"/>
      <c r="DV373" s="106"/>
      <c r="DW373" s="106"/>
      <c r="DX373" s="106"/>
      <c r="DY373" s="106"/>
      <c r="DZ373" s="106"/>
      <c r="EA373" s="106"/>
      <c r="EB373" s="106"/>
      <c r="EC373" s="106"/>
      <c r="ED373" s="106"/>
      <c r="EE373" s="106"/>
      <c r="EF373" s="106"/>
      <c r="EG373" s="106"/>
      <c r="EH373" s="106"/>
      <c r="EI373" s="106"/>
    </row>
    <row r="374" spans="3:139" ht="15.75" customHeight="1" x14ac:dyDescent="0.25"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  <c r="CR374" s="106"/>
      <c r="CS374" s="106"/>
      <c r="CT374" s="106"/>
      <c r="CU374" s="106"/>
      <c r="CV374" s="106"/>
      <c r="CW374" s="106"/>
      <c r="CX374" s="106"/>
      <c r="CY374" s="106"/>
      <c r="CZ374" s="106"/>
      <c r="DA374" s="106"/>
      <c r="DB374" s="106"/>
      <c r="DC374" s="106"/>
      <c r="DD374" s="106"/>
      <c r="DE374" s="106"/>
      <c r="DF374" s="106"/>
      <c r="DG374" s="106"/>
      <c r="DH374" s="106"/>
      <c r="DI374" s="106"/>
      <c r="DJ374" s="106"/>
      <c r="DK374" s="106"/>
      <c r="DL374" s="106"/>
      <c r="DM374" s="106"/>
      <c r="DN374" s="106"/>
      <c r="DO374" s="106"/>
      <c r="DP374" s="106"/>
      <c r="DQ374" s="106"/>
      <c r="DR374" s="106"/>
      <c r="DS374" s="106"/>
      <c r="DT374" s="106"/>
      <c r="DU374" s="106"/>
      <c r="DV374" s="106"/>
      <c r="DW374" s="106"/>
      <c r="DX374" s="106"/>
      <c r="DY374" s="106"/>
      <c r="DZ374" s="106"/>
      <c r="EA374" s="106"/>
      <c r="EB374" s="106"/>
      <c r="EC374" s="106"/>
      <c r="ED374" s="106"/>
      <c r="EE374" s="106"/>
      <c r="EF374" s="106"/>
      <c r="EG374" s="106"/>
      <c r="EH374" s="106"/>
      <c r="EI374" s="106"/>
    </row>
    <row r="375" spans="3:139" ht="15.75" customHeight="1" x14ac:dyDescent="0.25"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  <c r="CR375" s="106"/>
      <c r="CS375" s="106"/>
      <c r="CT375" s="106"/>
      <c r="CU375" s="106"/>
      <c r="CV375" s="106"/>
      <c r="CW375" s="106"/>
      <c r="CX375" s="106"/>
      <c r="CY375" s="106"/>
      <c r="CZ375" s="106"/>
      <c r="DA375" s="106"/>
      <c r="DB375" s="106"/>
      <c r="DC375" s="106"/>
      <c r="DD375" s="106"/>
      <c r="DE375" s="106"/>
      <c r="DF375" s="106"/>
      <c r="DG375" s="106"/>
      <c r="DH375" s="106"/>
      <c r="DI375" s="106"/>
      <c r="DJ375" s="106"/>
      <c r="DK375" s="106"/>
      <c r="DL375" s="106"/>
      <c r="DM375" s="106"/>
      <c r="DN375" s="106"/>
      <c r="DO375" s="106"/>
      <c r="DP375" s="106"/>
      <c r="DQ375" s="106"/>
      <c r="DR375" s="106"/>
      <c r="DS375" s="106"/>
      <c r="DT375" s="106"/>
      <c r="DU375" s="106"/>
      <c r="DV375" s="106"/>
      <c r="DW375" s="106"/>
      <c r="DX375" s="106"/>
      <c r="DY375" s="106"/>
      <c r="DZ375" s="106"/>
      <c r="EA375" s="106"/>
      <c r="EB375" s="106"/>
      <c r="EC375" s="106"/>
      <c r="ED375" s="106"/>
      <c r="EE375" s="106"/>
      <c r="EF375" s="106"/>
      <c r="EG375" s="106"/>
      <c r="EH375" s="106"/>
      <c r="EI375" s="106"/>
    </row>
    <row r="376" spans="3:139" ht="15.75" customHeight="1" x14ac:dyDescent="0.25"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  <c r="CR376" s="106"/>
      <c r="CS376" s="106"/>
      <c r="CT376" s="106"/>
      <c r="CU376" s="106"/>
      <c r="CV376" s="106"/>
      <c r="CW376" s="106"/>
      <c r="CX376" s="106"/>
      <c r="CY376" s="106"/>
      <c r="CZ376" s="106"/>
      <c r="DA376" s="106"/>
      <c r="DB376" s="106"/>
      <c r="DC376" s="106"/>
      <c r="DD376" s="106"/>
      <c r="DE376" s="106"/>
      <c r="DF376" s="106"/>
      <c r="DG376" s="106"/>
      <c r="DH376" s="106"/>
      <c r="DI376" s="106"/>
      <c r="DJ376" s="106"/>
      <c r="DK376" s="106"/>
      <c r="DL376" s="106"/>
      <c r="DM376" s="106"/>
      <c r="DN376" s="106"/>
      <c r="DO376" s="106"/>
      <c r="DP376" s="106"/>
      <c r="DQ376" s="106"/>
      <c r="DR376" s="106"/>
      <c r="DS376" s="106"/>
      <c r="DT376" s="106"/>
      <c r="DU376" s="106"/>
      <c r="DV376" s="106"/>
      <c r="DW376" s="106"/>
      <c r="DX376" s="106"/>
      <c r="DY376" s="106"/>
      <c r="DZ376" s="106"/>
      <c r="EA376" s="106"/>
      <c r="EB376" s="106"/>
      <c r="EC376" s="106"/>
      <c r="ED376" s="106"/>
      <c r="EE376" s="106"/>
      <c r="EF376" s="106"/>
      <c r="EG376" s="106"/>
      <c r="EH376" s="106"/>
      <c r="EI376" s="106"/>
    </row>
    <row r="377" spans="3:139" ht="15.75" customHeight="1" x14ac:dyDescent="0.25"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  <c r="CR377" s="106"/>
      <c r="CS377" s="106"/>
      <c r="CT377" s="106"/>
      <c r="CU377" s="106"/>
      <c r="CV377" s="106"/>
      <c r="CW377" s="106"/>
      <c r="CX377" s="106"/>
      <c r="CY377" s="106"/>
      <c r="CZ377" s="106"/>
      <c r="DA377" s="106"/>
      <c r="DB377" s="106"/>
      <c r="DC377" s="106"/>
      <c r="DD377" s="106"/>
      <c r="DE377" s="106"/>
      <c r="DF377" s="106"/>
      <c r="DG377" s="106"/>
      <c r="DH377" s="106"/>
      <c r="DI377" s="106"/>
      <c r="DJ377" s="106"/>
      <c r="DK377" s="106"/>
      <c r="DL377" s="106"/>
      <c r="DM377" s="106"/>
      <c r="DN377" s="106"/>
      <c r="DO377" s="106"/>
      <c r="DP377" s="106"/>
      <c r="DQ377" s="106"/>
      <c r="DR377" s="106"/>
      <c r="DS377" s="106"/>
      <c r="DT377" s="106"/>
      <c r="DU377" s="106"/>
      <c r="DV377" s="106"/>
      <c r="DW377" s="106"/>
      <c r="DX377" s="106"/>
      <c r="DY377" s="106"/>
      <c r="DZ377" s="106"/>
      <c r="EA377" s="106"/>
      <c r="EB377" s="106"/>
      <c r="EC377" s="106"/>
      <c r="ED377" s="106"/>
      <c r="EE377" s="106"/>
      <c r="EF377" s="106"/>
      <c r="EG377" s="106"/>
      <c r="EH377" s="106"/>
      <c r="EI377" s="106"/>
    </row>
    <row r="378" spans="3:139" ht="15.75" customHeight="1" x14ac:dyDescent="0.25"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  <c r="CR378" s="106"/>
      <c r="CS378" s="106"/>
      <c r="CT378" s="106"/>
      <c r="CU378" s="106"/>
      <c r="CV378" s="106"/>
      <c r="CW378" s="106"/>
      <c r="CX378" s="106"/>
      <c r="CY378" s="106"/>
      <c r="CZ378" s="106"/>
      <c r="DA378" s="106"/>
      <c r="DB378" s="106"/>
      <c r="DC378" s="106"/>
      <c r="DD378" s="106"/>
      <c r="DE378" s="106"/>
      <c r="DF378" s="106"/>
      <c r="DG378" s="106"/>
      <c r="DH378" s="106"/>
      <c r="DI378" s="106"/>
      <c r="DJ378" s="106"/>
      <c r="DK378" s="106"/>
      <c r="DL378" s="106"/>
      <c r="DM378" s="106"/>
      <c r="DN378" s="106"/>
      <c r="DO378" s="106"/>
      <c r="DP378" s="106"/>
      <c r="DQ378" s="106"/>
      <c r="DR378" s="106"/>
      <c r="DS378" s="106"/>
      <c r="DT378" s="106"/>
      <c r="DU378" s="106"/>
      <c r="DV378" s="106"/>
      <c r="DW378" s="106"/>
      <c r="DX378" s="106"/>
      <c r="DY378" s="106"/>
      <c r="DZ378" s="106"/>
      <c r="EA378" s="106"/>
      <c r="EB378" s="106"/>
      <c r="EC378" s="106"/>
      <c r="ED378" s="106"/>
      <c r="EE378" s="106"/>
      <c r="EF378" s="106"/>
      <c r="EG378" s="106"/>
      <c r="EH378" s="106"/>
      <c r="EI378" s="106"/>
    </row>
    <row r="379" spans="3:139" ht="15.75" customHeight="1" x14ac:dyDescent="0.25"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  <c r="CR379" s="106"/>
      <c r="CS379" s="106"/>
      <c r="CT379" s="106"/>
      <c r="CU379" s="106"/>
      <c r="CV379" s="106"/>
      <c r="CW379" s="106"/>
      <c r="CX379" s="106"/>
      <c r="CY379" s="106"/>
      <c r="CZ379" s="106"/>
      <c r="DA379" s="106"/>
      <c r="DB379" s="106"/>
      <c r="DC379" s="106"/>
      <c r="DD379" s="106"/>
      <c r="DE379" s="106"/>
      <c r="DF379" s="106"/>
      <c r="DG379" s="106"/>
      <c r="DH379" s="106"/>
      <c r="DI379" s="106"/>
      <c r="DJ379" s="106"/>
      <c r="DK379" s="106"/>
      <c r="DL379" s="106"/>
      <c r="DM379" s="106"/>
      <c r="DN379" s="106"/>
      <c r="DO379" s="106"/>
      <c r="DP379" s="106"/>
      <c r="DQ379" s="106"/>
      <c r="DR379" s="106"/>
      <c r="DS379" s="106"/>
      <c r="DT379" s="106"/>
      <c r="DU379" s="106"/>
      <c r="DV379" s="106"/>
      <c r="DW379" s="106"/>
      <c r="DX379" s="106"/>
      <c r="DY379" s="106"/>
      <c r="DZ379" s="106"/>
      <c r="EA379" s="106"/>
      <c r="EB379" s="106"/>
      <c r="EC379" s="106"/>
      <c r="ED379" s="106"/>
      <c r="EE379" s="106"/>
      <c r="EF379" s="106"/>
      <c r="EG379" s="106"/>
      <c r="EH379" s="106"/>
      <c r="EI379" s="106"/>
    </row>
    <row r="380" spans="3:139" ht="15.75" customHeight="1" x14ac:dyDescent="0.25"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  <c r="CR380" s="106"/>
      <c r="CS380" s="106"/>
      <c r="CT380" s="106"/>
      <c r="CU380" s="106"/>
      <c r="CV380" s="106"/>
      <c r="CW380" s="106"/>
      <c r="CX380" s="106"/>
      <c r="CY380" s="106"/>
      <c r="CZ380" s="106"/>
      <c r="DA380" s="106"/>
      <c r="DB380" s="106"/>
      <c r="DC380" s="106"/>
      <c r="DD380" s="106"/>
      <c r="DE380" s="106"/>
      <c r="DF380" s="106"/>
      <c r="DG380" s="106"/>
      <c r="DH380" s="106"/>
      <c r="DI380" s="106"/>
      <c r="DJ380" s="106"/>
      <c r="DK380" s="106"/>
      <c r="DL380" s="106"/>
      <c r="DM380" s="106"/>
      <c r="DN380" s="106"/>
      <c r="DO380" s="106"/>
      <c r="DP380" s="106"/>
      <c r="DQ380" s="106"/>
      <c r="DR380" s="106"/>
      <c r="DS380" s="106"/>
      <c r="DT380" s="106"/>
      <c r="DU380" s="106"/>
      <c r="DV380" s="106"/>
      <c r="DW380" s="106"/>
      <c r="DX380" s="106"/>
      <c r="DY380" s="106"/>
      <c r="DZ380" s="106"/>
      <c r="EA380" s="106"/>
      <c r="EB380" s="106"/>
      <c r="EC380" s="106"/>
      <c r="ED380" s="106"/>
      <c r="EE380" s="106"/>
      <c r="EF380" s="106"/>
      <c r="EG380" s="106"/>
      <c r="EH380" s="106"/>
      <c r="EI380" s="106"/>
    </row>
    <row r="381" spans="3:139" ht="15.75" customHeight="1" x14ac:dyDescent="0.25"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  <c r="CR381" s="106"/>
      <c r="CS381" s="106"/>
      <c r="CT381" s="106"/>
      <c r="CU381" s="106"/>
      <c r="CV381" s="106"/>
      <c r="CW381" s="106"/>
      <c r="CX381" s="106"/>
      <c r="CY381" s="106"/>
      <c r="CZ381" s="106"/>
      <c r="DA381" s="106"/>
      <c r="DB381" s="106"/>
      <c r="DC381" s="106"/>
      <c r="DD381" s="106"/>
      <c r="DE381" s="106"/>
      <c r="DF381" s="106"/>
      <c r="DG381" s="106"/>
      <c r="DH381" s="106"/>
      <c r="DI381" s="106"/>
      <c r="DJ381" s="106"/>
      <c r="DK381" s="106"/>
      <c r="DL381" s="106"/>
      <c r="DM381" s="106"/>
      <c r="DN381" s="106"/>
      <c r="DO381" s="106"/>
      <c r="DP381" s="106"/>
      <c r="DQ381" s="106"/>
      <c r="DR381" s="106"/>
      <c r="DS381" s="106"/>
      <c r="DT381" s="106"/>
      <c r="DU381" s="106"/>
      <c r="DV381" s="106"/>
      <c r="DW381" s="106"/>
      <c r="DX381" s="106"/>
      <c r="DY381" s="106"/>
      <c r="DZ381" s="106"/>
      <c r="EA381" s="106"/>
      <c r="EB381" s="106"/>
      <c r="EC381" s="106"/>
      <c r="ED381" s="106"/>
      <c r="EE381" s="106"/>
      <c r="EF381" s="106"/>
      <c r="EG381" s="106"/>
      <c r="EH381" s="106"/>
      <c r="EI381" s="106"/>
    </row>
    <row r="382" spans="3:139" ht="15.75" customHeight="1" x14ac:dyDescent="0.25"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  <c r="CR382" s="106"/>
      <c r="CS382" s="106"/>
      <c r="CT382" s="106"/>
      <c r="CU382" s="106"/>
      <c r="CV382" s="106"/>
      <c r="CW382" s="106"/>
      <c r="CX382" s="106"/>
      <c r="CY382" s="106"/>
      <c r="CZ382" s="106"/>
      <c r="DA382" s="106"/>
      <c r="DB382" s="106"/>
      <c r="DC382" s="106"/>
      <c r="DD382" s="106"/>
      <c r="DE382" s="106"/>
      <c r="DF382" s="106"/>
      <c r="DG382" s="106"/>
      <c r="DH382" s="106"/>
      <c r="DI382" s="106"/>
      <c r="DJ382" s="106"/>
      <c r="DK382" s="106"/>
      <c r="DL382" s="106"/>
      <c r="DM382" s="106"/>
      <c r="DN382" s="106"/>
      <c r="DO382" s="106"/>
      <c r="DP382" s="106"/>
      <c r="DQ382" s="106"/>
      <c r="DR382" s="106"/>
      <c r="DS382" s="106"/>
      <c r="DT382" s="106"/>
      <c r="DU382" s="106"/>
      <c r="DV382" s="106"/>
      <c r="DW382" s="106"/>
      <c r="DX382" s="106"/>
      <c r="DY382" s="106"/>
      <c r="DZ382" s="106"/>
      <c r="EA382" s="106"/>
      <c r="EB382" s="106"/>
      <c r="EC382" s="106"/>
      <c r="ED382" s="106"/>
      <c r="EE382" s="106"/>
      <c r="EF382" s="106"/>
      <c r="EG382" s="106"/>
      <c r="EH382" s="106"/>
      <c r="EI382" s="106"/>
    </row>
    <row r="383" spans="3:139" ht="15.75" customHeight="1" x14ac:dyDescent="0.25"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  <c r="CR383" s="106"/>
      <c r="CS383" s="106"/>
      <c r="CT383" s="106"/>
      <c r="CU383" s="106"/>
      <c r="CV383" s="106"/>
      <c r="CW383" s="106"/>
      <c r="CX383" s="106"/>
      <c r="CY383" s="106"/>
      <c r="CZ383" s="106"/>
      <c r="DA383" s="106"/>
      <c r="DB383" s="106"/>
      <c r="DC383" s="106"/>
      <c r="DD383" s="106"/>
      <c r="DE383" s="106"/>
      <c r="DF383" s="106"/>
      <c r="DG383" s="106"/>
      <c r="DH383" s="106"/>
      <c r="DI383" s="106"/>
      <c r="DJ383" s="106"/>
      <c r="DK383" s="106"/>
      <c r="DL383" s="106"/>
      <c r="DM383" s="106"/>
      <c r="DN383" s="106"/>
      <c r="DO383" s="106"/>
      <c r="DP383" s="106"/>
      <c r="DQ383" s="106"/>
      <c r="DR383" s="106"/>
      <c r="DS383" s="106"/>
      <c r="DT383" s="106"/>
      <c r="DU383" s="106"/>
      <c r="DV383" s="106"/>
      <c r="DW383" s="106"/>
      <c r="DX383" s="106"/>
      <c r="DY383" s="106"/>
      <c r="DZ383" s="106"/>
      <c r="EA383" s="106"/>
      <c r="EB383" s="106"/>
      <c r="EC383" s="106"/>
      <c r="ED383" s="106"/>
      <c r="EE383" s="106"/>
      <c r="EF383" s="106"/>
      <c r="EG383" s="106"/>
      <c r="EH383" s="106"/>
      <c r="EI383" s="106"/>
    </row>
    <row r="384" spans="3:139" ht="15.75" customHeight="1" x14ac:dyDescent="0.25"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  <c r="CR384" s="106"/>
      <c r="CS384" s="106"/>
      <c r="CT384" s="106"/>
      <c r="CU384" s="106"/>
      <c r="CV384" s="106"/>
      <c r="CW384" s="106"/>
      <c r="CX384" s="106"/>
      <c r="CY384" s="106"/>
      <c r="CZ384" s="106"/>
      <c r="DA384" s="106"/>
      <c r="DB384" s="106"/>
      <c r="DC384" s="106"/>
      <c r="DD384" s="106"/>
      <c r="DE384" s="106"/>
      <c r="DF384" s="106"/>
      <c r="DG384" s="106"/>
      <c r="DH384" s="106"/>
      <c r="DI384" s="106"/>
      <c r="DJ384" s="106"/>
      <c r="DK384" s="106"/>
      <c r="DL384" s="106"/>
      <c r="DM384" s="106"/>
      <c r="DN384" s="106"/>
      <c r="DO384" s="106"/>
      <c r="DP384" s="106"/>
      <c r="DQ384" s="106"/>
      <c r="DR384" s="106"/>
      <c r="DS384" s="106"/>
      <c r="DT384" s="106"/>
      <c r="DU384" s="106"/>
      <c r="DV384" s="106"/>
      <c r="DW384" s="106"/>
      <c r="DX384" s="106"/>
      <c r="DY384" s="106"/>
      <c r="DZ384" s="106"/>
      <c r="EA384" s="106"/>
      <c r="EB384" s="106"/>
      <c r="EC384" s="106"/>
      <c r="ED384" s="106"/>
      <c r="EE384" s="106"/>
      <c r="EF384" s="106"/>
      <c r="EG384" s="106"/>
      <c r="EH384" s="106"/>
      <c r="EI384" s="106"/>
    </row>
    <row r="385" spans="3:139" ht="15.75" customHeight="1" x14ac:dyDescent="0.25"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  <c r="CR385" s="106"/>
      <c r="CS385" s="106"/>
      <c r="CT385" s="106"/>
      <c r="CU385" s="106"/>
      <c r="CV385" s="106"/>
      <c r="CW385" s="106"/>
      <c r="CX385" s="106"/>
      <c r="CY385" s="106"/>
      <c r="CZ385" s="106"/>
      <c r="DA385" s="106"/>
      <c r="DB385" s="106"/>
      <c r="DC385" s="106"/>
      <c r="DD385" s="106"/>
      <c r="DE385" s="106"/>
      <c r="DF385" s="106"/>
      <c r="DG385" s="106"/>
      <c r="DH385" s="106"/>
      <c r="DI385" s="106"/>
      <c r="DJ385" s="106"/>
      <c r="DK385" s="106"/>
      <c r="DL385" s="106"/>
      <c r="DM385" s="106"/>
      <c r="DN385" s="106"/>
      <c r="DO385" s="106"/>
      <c r="DP385" s="106"/>
      <c r="DQ385" s="106"/>
      <c r="DR385" s="106"/>
      <c r="DS385" s="106"/>
      <c r="DT385" s="106"/>
      <c r="DU385" s="106"/>
      <c r="DV385" s="106"/>
      <c r="DW385" s="106"/>
      <c r="DX385" s="106"/>
      <c r="DY385" s="106"/>
      <c r="DZ385" s="106"/>
      <c r="EA385" s="106"/>
      <c r="EB385" s="106"/>
      <c r="EC385" s="106"/>
      <c r="ED385" s="106"/>
      <c r="EE385" s="106"/>
      <c r="EF385" s="106"/>
      <c r="EG385" s="106"/>
      <c r="EH385" s="106"/>
      <c r="EI385" s="106"/>
    </row>
    <row r="386" spans="3:139" ht="15.75" customHeight="1" x14ac:dyDescent="0.25"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  <c r="CZ386" s="106"/>
      <c r="DA386" s="106"/>
      <c r="DB386" s="106"/>
      <c r="DC386" s="106"/>
      <c r="DD386" s="106"/>
      <c r="DE386" s="106"/>
      <c r="DF386" s="106"/>
      <c r="DG386" s="106"/>
      <c r="DH386" s="106"/>
      <c r="DI386" s="106"/>
      <c r="DJ386" s="106"/>
      <c r="DK386" s="106"/>
      <c r="DL386" s="106"/>
      <c r="DM386" s="106"/>
      <c r="DN386" s="106"/>
      <c r="DO386" s="106"/>
      <c r="DP386" s="106"/>
      <c r="DQ386" s="106"/>
      <c r="DR386" s="106"/>
      <c r="DS386" s="106"/>
      <c r="DT386" s="106"/>
      <c r="DU386" s="106"/>
      <c r="DV386" s="106"/>
      <c r="DW386" s="106"/>
      <c r="DX386" s="106"/>
      <c r="DY386" s="106"/>
      <c r="DZ386" s="106"/>
      <c r="EA386" s="106"/>
      <c r="EB386" s="106"/>
      <c r="EC386" s="106"/>
      <c r="ED386" s="106"/>
      <c r="EE386" s="106"/>
      <c r="EF386" s="106"/>
      <c r="EG386" s="106"/>
      <c r="EH386" s="106"/>
      <c r="EI386" s="106"/>
    </row>
    <row r="387" spans="3:139" ht="15.75" customHeight="1" x14ac:dyDescent="0.25"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  <c r="CR387" s="106"/>
      <c r="CS387" s="106"/>
      <c r="CT387" s="106"/>
      <c r="CU387" s="106"/>
      <c r="CV387" s="106"/>
      <c r="CW387" s="106"/>
      <c r="CX387" s="106"/>
      <c r="CY387" s="106"/>
      <c r="CZ387" s="106"/>
      <c r="DA387" s="106"/>
      <c r="DB387" s="106"/>
      <c r="DC387" s="106"/>
      <c r="DD387" s="106"/>
      <c r="DE387" s="106"/>
      <c r="DF387" s="106"/>
      <c r="DG387" s="106"/>
      <c r="DH387" s="106"/>
      <c r="DI387" s="106"/>
      <c r="DJ387" s="106"/>
      <c r="DK387" s="106"/>
      <c r="DL387" s="106"/>
      <c r="DM387" s="106"/>
      <c r="DN387" s="106"/>
      <c r="DO387" s="106"/>
      <c r="DP387" s="106"/>
      <c r="DQ387" s="106"/>
      <c r="DR387" s="106"/>
      <c r="DS387" s="106"/>
      <c r="DT387" s="106"/>
      <c r="DU387" s="106"/>
      <c r="DV387" s="106"/>
      <c r="DW387" s="106"/>
      <c r="DX387" s="106"/>
      <c r="DY387" s="106"/>
      <c r="DZ387" s="106"/>
      <c r="EA387" s="106"/>
      <c r="EB387" s="106"/>
      <c r="EC387" s="106"/>
      <c r="ED387" s="106"/>
      <c r="EE387" s="106"/>
      <c r="EF387" s="106"/>
      <c r="EG387" s="106"/>
      <c r="EH387" s="106"/>
      <c r="EI387" s="106"/>
    </row>
    <row r="388" spans="3:139" ht="15.75" customHeight="1" x14ac:dyDescent="0.25"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  <c r="CR388" s="106"/>
      <c r="CS388" s="106"/>
      <c r="CT388" s="106"/>
      <c r="CU388" s="106"/>
      <c r="CV388" s="106"/>
      <c r="CW388" s="106"/>
      <c r="CX388" s="106"/>
      <c r="CY388" s="106"/>
      <c r="CZ388" s="106"/>
      <c r="DA388" s="106"/>
      <c r="DB388" s="106"/>
      <c r="DC388" s="106"/>
      <c r="DD388" s="106"/>
      <c r="DE388" s="106"/>
      <c r="DF388" s="106"/>
      <c r="DG388" s="106"/>
      <c r="DH388" s="106"/>
      <c r="DI388" s="106"/>
      <c r="DJ388" s="106"/>
      <c r="DK388" s="106"/>
      <c r="DL388" s="106"/>
      <c r="DM388" s="106"/>
      <c r="DN388" s="106"/>
      <c r="DO388" s="106"/>
      <c r="DP388" s="106"/>
      <c r="DQ388" s="106"/>
      <c r="DR388" s="106"/>
      <c r="DS388" s="106"/>
      <c r="DT388" s="106"/>
      <c r="DU388" s="106"/>
      <c r="DV388" s="106"/>
      <c r="DW388" s="106"/>
      <c r="DX388" s="106"/>
      <c r="DY388" s="106"/>
      <c r="DZ388" s="106"/>
      <c r="EA388" s="106"/>
      <c r="EB388" s="106"/>
      <c r="EC388" s="106"/>
      <c r="ED388" s="106"/>
      <c r="EE388" s="106"/>
      <c r="EF388" s="106"/>
      <c r="EG388" s="106"/>
      <c r="EH388" s="106"/>
      <c r="EI388" s="106"/>
    </row>
    <row r="389" spans="3:139" ht="15.75" customHeight="1" x14ac:dyDescent="0.25"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  <c r="CR389" s="106"/>
      <c r="CS389" s="106"/>
      <c r="CT389" s="106"/>
      <c r="CU389" s="106"/>
      <c r="CV389" s="106"/>
      <c r="CW389" s="106"/>
      <c r="CX389" s="106"/>
      <c r="CY389" s="106"/>
      <c r="CZ389" s="106"/>
      <c r="DA389" s="106"/>
      <c r="DB389" s="106"/>
      <c r="DC389" s="106"/>
      <c r="DD389" s="106"/>
      <c r="DE389" s="106"/>
      <c r="DF389" s="106"/>
      <c r="DG389" s="106"/>
      <c r="DH389" s="106"/>
      <c r="DI389" s="106"/>
      <c r="DJ389" s="106"/>
      <c r="DK389" s="106"/>
      <c r="DL389" s="106"/>
      <c r="DM389" s="106"/>
      <c r="DN389" s="106"/>
      <c r="DO389" s="106"/>
      <c r="DP389" s="106"/>
      <c r="DQ389" s="106"/>
      <c r="DR389" s="106"/>
      <c r="DS389" s="106"/>
      <c r="DT389" s="106"/>
      <c r="DU389" s="106"/>
      <c r="DV389" s="106"/>
      <c r="DW389" s="106"/>
      <c r="DX389" s="106"/>
      <c r="DY389" s="106"/>
      <c r="DZ389" s="106"/>
      <c r="EA389" s="106"/>
      <c r="EB389" s="106"/>
      <c r="EC389" s="106"/>
      <c r="ED389" s="106"/>
      <c r="EE389" s="106"/>
      <c r="EF389" s="106"/>
      <c r="EG389" s="106"/>
      <c r="EH389" s="106"/>
      <c r="EI389" s="106"/>
    </row>
    <row r="390" spans="3:139" ht="15.75" customHeight="1" x14ac:dyDescent="0.25"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  <c r="CR390" s="106"/>
      <c r="CS390" s="106"/>
      <c r="CT390" s="106"/>
      <c r="CU390" s="106"/>
      <c r="CV390" s="106"/>
      <c r="CW390" s="106"/>
      <c r="CX390" s="106"/>
      <c r="CY390" s="106"/>
      <c r="CZ390" s="106"/>
      <c r="DA390" s="106"/>
      <c r="DB390" s="106"/>
      <c r="DC390" s="106"/>
      <c r="DD390" s="106"/>
      <c r="DE390" s="106"/>
      <c r="DF390" s="106"/>
      <c r="DG390" s="106"/>
      <c r="DH390" s="106"/>
      <c r="DI390" s="106"/>
      <c r="DJ390" s="106"/>
      <c r="DK390" s="106"/>
      <c r="DL390" s="106"/>
      <c r="DM390" s="106"/>
      <c r="DN390" s="106"/>
      <c r="DO390" s="106"/>
      <c r="DP390" s="106"/>
      <c r="DQ390" s="106"/>
      <c r="DR390" s="106"/>
      <c r="DS390" s="106"/>
      <c r="DT390" s="106"/>
      <c r="DU390" s="106"/>
      <c r="DV390" s="106"/>
      <c r="DW390" s="106"/>
      <c r="DX390" s="106"/>
      <c r="DY390" s="106"/>
      <c r="DZ390" s="106"/>
      <c r="EA390" s="106"/>
      <c r="EB390" s="106"/>
      <c r="EC390" s="106"/>
      <c r="ED390" s="106"/>
      <c r="EE390" s="106"/>
      <c r="EF390" s="106"/>
      <c r="EG390" s="106"/>
      <c r="EH390" s="106"/>
      <c r="EI390" s="106"/>
    </row>
    <row r="391" spans="3:139" ht="15.75" customHeight="1" x14ac:dyDescent="0.25"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  <c r="CR391" s="106"/>
      <c r="CS391" s="106"/>
      <c r="CT391" s="106"/>
      <c r="CU391" s="106"/>
      <c r="CV391" s="106"/>
      <c r="CW391" s="106"/>
      <c r="CX391" s="106"/>
      <c r="CY391" s="106"/>
      <c r="CZ391" s="106"/>
      <c r="DA391" s="106"/>
      <c r="DB391" s="106"/>
      <c r="DC391" s="106"/>
      <c r="DD391" s="106"/>
      <c r="DE391" s="106"/>
      <c r="DF391" s="106"/>
      <c r="DG391" s="106"/>
      <c r="DH391" s="106"/>
      <c r="DI391" s="106"/>
      <c r="DJ391" s="106"/>
      <c r="DK391" s="106"/>
      <c r="DL391" s="106"/>
      <c r="DM391" s="106"/>
      <c r="DN391" s="106"/>
      <c r="DO391" s="106"/>
      <c r="DP391" s="106"/>
      <c r="DQ391" s="106"/>
      <c r="DR391" s="106"/>
      <c r="DS391" s="106"/>
      <c r="DT391" s="106"/>
      <c r="DU391" s="106"/>
      <c r="DV391" s="106"/>
      <c r="DW391" s="106"/>
      <c r="DX391" s="106"/>
      <c r="DY391" s="106"/>
      <c r="DZ391" s="106"/>
      <c r="EA391" s="106"/>
      <c r="EB391" s="106"/>
      <c r="EC391" s="106"/>
      <c r="ED391" s="106"/>
      <c r="EE391" s="106"/>
      <c r="EF391" s="106"/>
      <c r="EG391" s="106"/>
      <c r="EH391" s="106"/>
      <c r="EI391" s="106"/>
    </row>
    <row r="392" spans="3:139" ht="15.75" customHeight="1" x14ac:dyDescent="0.25"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  <c r="CR392" s="106"/>
      <c r="CS392" s="106"/>
      <c r="CT392" s="106"/>
      <c r="CU392" s="106"/>
      <c r="CV392" s="106"/>
      <c r="CW392" s="106"/>
      <c r="CX392" s="106"/>
      <c r="CY392" s="106"/>
      <c r="CZ392" s="106"/>
      <c r="DA392" s="106"/>
      <c r="DB392" s="106"/>
      <c r="DC392" s="106"/>
      <c r="DD392" s="106"/>
      <c r="DE392" s="106"/>
      <c r="DF392" s="106"/>
      <c r="DG392" s="106"/>
      <c r="DH392" s="106"/>
      <c r="DI392" s="106"/>
      <c r="DJ392" s="106"/>
      <c r="DK392" s="106"/>
      <c r="DL392" s="106"/>
      <c r="DM392" s="106"/>
      <c r="DN392" s="106"/>
      <c r="DO392" s="106"/>
      <c r="DP392" s="106"/>
      <c r="DQ392" s="106"/>
      <c r="DR392" s="106"/>
      <c r="DS392" s="106"/>
      <c r="DT392" s="106"/>
      <c r="DU392" s="106"/>
      <c r="DV392" s="106"/>
      <c r="DW392" s="106"/>
      <c r="DX392" s="106"/>
      <c r="DY392" s="106"/>
      <c r="DZ392" s="106"/>
      <c r="EA392" s="106"/>
      <c r="EB392" s="106"/>
      <c r="EC392" s="106"/>
      <c r="ED392" s="106"/>
      <c r="EE392" s="106"/>
      <c r="EF392" s="106"/>
      <c r="EG392" s="106"/>
      <c r="EH392" s="106"/>
      <c r="EI392" s="106"/>
    </row>
    <row r="393" spans="3:139" ht="15.75" customHeight="1" x14ac:dyDescent="0.25"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  <c r="CR393" s="106"/>
      <c r="CS393" s="106"/>
      <c r="CT393" s="106"/>
      <c r="CU393" s="106"/>
      <c r="CV393" s="106"/>
      <c r="CW393" s="106"/>
      <c r="CX393" s="106"/>
      <c r="CY393" s="106"/>
      <c r="CZ393" s="106"/>
      <c r="DA393" s="106"/>
      <c r="DB393" s="106"/>
      <c r="DC393" s="106"/>
      <c r="DD393" s="106"/>
      <c r="DE393" s="106"/>
      <c r="DF393" s="106"/>
      <c r="DG393" s="106"/>
      <c r="DH393" s="106"/>
      <c r="DI393" s="106"/>
      <c r="DJ393" s="106"/>
      <c r="DK393" s="106"/>
      <c r="DL393" s="106"/>
      <c r="DM393" s="106"/>
      <c r="DN393" s="106"/>
      <c r="DO393" s="106"/>
      <c r="DP393" s="106"/>
      <c r="DQ393" s="106"/>
      <c r="DR393" s="106"/>
      <c r="DS393" s="106"/>
      <c r="DT393" s="106"/>
      <c r="DU393" s="106"/>
      <c r="DV393" s="106"/>
      <c r="DW393" s="106"/>
      <c r="DX393" s="106"/>
      <c r="DY393" s="106"/>
      <c r="DZ393" s="106"/>
      <c r="EA393" s="106"/>
      <c r="EB393" s="106"/>
      <c r="EC393" s="106"/>
      <c r="ED393" s="106"/>
      <c r="EE393" s="106"/>
      <c r="EF393" s="106"/>
      <c r="EG393" s="106"/>
      <c r="EH393" s="106"/>
      <c r="EI393" s="106"/>
    </row>
    <row r="394" spans="3:139" ht="15.75" customHeight="1" x14ac:dyDescent="0.25"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  <c r="CR394" s="106"/>
      <c r="CS394" s="106"/>
      <c r="CT394" s="106"/>
      <c r="CU394" s="106"/>
      <c r="CV394" s="106"/>
      <c r="CW394" s="106"/>
      <c r="CX394" s="106"/>
      <c r="CY394" s="106"/>
      <c r="CZ394" s="106"/>
      <c r="DA394" s="106"/>
      <c r="DB394" s="106"/>
      <c r="DC394" s="106"/>
      <c r="DD394" s="106"/>
      <c r="DE394" s="106"/>
      <c r="DF394" s="106"/>
      <c r="DG394" s="106"/>
      <c r="DH394" s="106"/>
      <c r="DI394" s="106"/>
      <c r="DJ394" s="106"/>
      <c r="DK394" s="106"/>
      <c r="DL394" s="106"/>
      <c r="DM394" s="106"/>
      <c r="DN394" s="106"/>
      <c r="DO394" s="106"/>
      <c r="DP394" s="106"/>
      <c r="DQ394" s="106"/>
      <c r="DR394" s="106"/>
      <c r="DS394" s="106"/>
      <c r="DT394" s="106"/>
      <c r="DU394" s="106"/>
      <c r="DV394" s="106"/>
      <c r="DW394" s="106"/>
      <c r="DX394" s="106"/>
      <c r="DY394" s="106"/>
      <c r="DZ394" s="106"/>
      <c r="EA394" s="106"/>
      <c r="EB394" s="106"/>
      <c r="EC394" s="106"/>
      <c r="ED394" s="106"/>
      <c r="EE394" s="106"/>
      <c r="EF394" s="106"/>
      <c r="EG394" s="106"/>
      <c r="EH394" s="106"/>
      <c r="EI394" s="106"/>
    </row>
    <row r="395" spans="3:139" ht="15.75" customHeight="1" x14ac:dyDescent="0.25"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  <c r="CR395" s="106"/>
      <c r="CS395" s="106"/>
      <c r="CT395" s="106"/>
      <c r="CU395" s="106"/>
      <c r="CV395" s="106"/>
      <c r="CW395" s="106"/>
      <c r="CX395" s="106"/>
      <c r="CY395" s="106"/>
      <c r="CZ395" s="106"/>
      <c r="DA395" s="106"/>
      <c r="DB395" s="106"/>
      <c r="DC395" s="106"/>
      <c r="DD395" s="106"/>
      <c r="DE395" s="106"/>
      <c r="DF395" s="106"/>
      <c r="DG395" s="106"/>
      <c r="DH395" s="106"/>
      <c r="DI395" s="106"/>
      <c r="DJ395" s="106"/>
      <c r="DK395" s="106"/>
      <c r="DL395" s="106"/>
      <c r="DM395" s="106"/>
      <c r="DN395" s="106"/>
      <c r="DO395" s="106"/>
      <c r="DP395" s="106"/>
      <c r="DQ395" s="106"/>
      <c r="DR395" s="106"/>
      <c r="DS395" s="106"/>
      <c r="DT395" s="106"/>
      <c r="DU395" s="106"/>
      <c r="DV395" s="106"/>
      <c r="DW395" s="106"/>
      <c r="DX395" s="106"/>
      <c r="DY395" s="106"/>
      <c r="DZ395" s="106"/>
      <c r="EA395" s="106"/>
      <c r="EB395" s="106"/>
      <c r="EC395" s="106"/>
      <c r="ED395" s="106"/>
      <c r="EE395" s="106"/>
      <c r="EF395" s="106"/>
      <c r="EG395" s="106"/>
      <c r="EH395" s="106"/>
      <c r="EI395" s="106"/>
    </row>
    <row r="396" spans="3:139" ht="15.75" customHeight="1" x14ac:dyDescent="0.25"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  <c r="CR396" s="106"/>
      <c r="CS396" s="106"/>
      <c r="CT396" s="106"/>
      <c r="CU396" s="106"/>
      <c r="CV396" s="106"/>
      <c r="CW396" s="106"/>
      <c r="CX396" s="106"/>
      <c r="CY396" s="106"/>
      <c r="CZ396" s="106"/>
      <c r="DA396" s="106"/>
      <c r="DB396" s="106"/>
      <c r="DC396" s="106"/>
      <c r="DD396" s="106"/>
      <c r="DE396" s="106"/>
      <c r="DF396" s="106"/>
      <c r="DG396" s="106"/>
      <c r="DH396" s="106"/>
      <c r="DI396" s="106"/>
      <c r="DJ396" s="106"/>
      <c r="DK396" s="106"/>
      <c r="DL396" s="106"/>
      <c r="DM396" s="106"/>
      <c r="DN396" s="106"/>
      <c r="DO396" s="106"/>
      <c r="DP396" s="106"/>
      <c r="DQ396" s="106"/>
      <c r="DR396" s="106"/>
      <c r="DS396" s="106"/>
      <c r="DT396" s="106"/>
      <c r="DU396" s="106"/>
      <c r="DV396" s="106"/>
      <c r="DW396" s="106"/>
      <c r="DX396" s="106"/>
      <c r="DY396" s="106"/>
      <c r="DZ396" s="106"/>
      <c r="EA396" s="106"/>
      <c r="EB396" s="106"/>
      <c r="EC396" s="106"/>
      <c r="ED396" s="106"/>
      <c r="EE396" s="106"/>
      <c r="EF396" s="106"/>
      <c r="EG396" s="106"/>
      <c r="EH396" s="106"/>
      <c r="EI396" s="106"/>
    </row>
    <row r="397" spans="3:139" ht="15.75" customHeight="1" x14ac:dyDescent="0.25"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  <c r="CR397" s="106"/>
      <c r="CS397" s="106"/>
      <c r="CT397" s="106"/>
      <c r="CU397" s="106"/>
      <c r="CV397" s="106"/>
      <c r="CW397" s="106"/>
      <c r="CX397" s="106"/>
      <c r="CY397" s="106"/>
      <c r="CZ397" s="106"/>
      <c r="DA397" s="106"/>
      <c r="DB397" s="106"/>
      <c r="DC397" s="106"/>
      <c r="DD397" s="106"/>
      <c r="DE397" s="106"/>
      <c r="DF397" s="106"/>
      <c r="DG397" s="106"/>
      <c r="DH397" s="106"/>
      <c r="DI397" s="106"/>
      <c r="DJ397" s="106"/>
      <c r="DK397" s="106"/>
      <c r="DL397" s="106"/>
      <c r="DM397" s="106"/>
      <c r="DN397" s="106"/>
      <c r="DO397" s="106"/>
      <c r="DP397" s="106"/>
      <c r="DQ397" s="106"/>
      <c r="DR397" s="106"/>
      <c r="DS397" s="106"/>
      <c r="DT397" s="106"/>
      <c r="DU397" s="106"/>
      <c r="DV397" s="106"/>
      <c r="DW397" s="106"/>
      <c r="DX397" s="106"/>
      <c r="DY397" s="106"/>
      <c r="DZ397" s="106"/>
      <c r="EA397" s="106"/>
      <c r="EB397" s="106"/>
      <c r="EC397" s="106"/>
      <c r="ED397" s="106"/>
      <c r="EE397" s="106"/>
      <c r="EF397" s="106"/>
      <c r="EG397" s="106"/>
      <c r="EH397" s="106"/>
      <c r="EI397" s="106"/>
    </row>
    <row r="398" spans="3:139" ht="15.75" customHeight="1" x14ac:dyDescent="0.25"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  <c r="CR398" s="106"/>
      <c r="CS398" s="106"/>
      <c r="CT398" s="106"/>
      <c r="CU398" s="106"/>
      <c r="CV398" s="106"/>
      <c r="CW398" s="106"/>
      <c r="CX398" s="106"/>
      <c r="CY398" s="106"/>
      <c r="CZ398" s="106"/>
      <c r="DA398" s="106"/>
      <c r="DB398" s="106"/>
      <c r="DC398" s="106"/>
      <c r="DD398" s="106"/>
      <c r="DE398" s="106"/>
      <c r="DF398" s="106"/>
      <c r="DG398" s="106"/>
      <c r="DH398" s="106"/>
      <c r="DI398" s="106"/>
      <c r="DJ398" s="106"/>
      <c r="DK398" s="106"/>
      <c r="DL398" s="106"/>
      <c r="DM398" s="106"/>
      <c r="DN398" s="106"/>
      <c r="DO398" s="106"/>
      <c r="DP398" s="106"/>
      <c r="DQ398" s="106"/>
      <c r="DR398" s="106"/>
      <c r="DS398" s="106"/>
      <c r="DT398" s="106"/>
      <c r="DU398" s="106"/>
      <c r="DV398" s="106"/>
      <c r="DW398" s="106"/>
      <c r="DX398" s="106"/>
      <c r="DY398" s="106"/>
      <c r="DZ398" s="106"/>
      <c r="EA398" s="106"/>
      <c r="EB398" s="106"/>
      <c r="EC398" s="106"/>
      <c r="ED398" s="106"/>
      <c r="EE398" s="106"/>
      <c r="EF398" s="106"/>
      <c r="EG398" s="106"/>
      <c r="EH398" s="106"/>
      <c r="EI398" s="106"/>
    </row>
    <row r="399" spans="3:139" ht="15.75" customHeight="1" x14ac:dyDescent="0.25"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  <c r="CR399" s="106"/>
      <c r="CS399" s="106"/>
      <c r="CT399" s="106"/>
      <c r="CU399" s="106"/>
      <c r="CV399" s="106"/>
      <c r="CW399" s="106"/>
      <c r="CX399" s="106"/>
      <c r="CY399" s="106"/>
      <c r="CZ399" s="106"/>
      <c r="DA399" s="106"/>
      <c r="DB399" s="106"/>
      <c r="DC399" s="106"/>
      <c r="DD399" s="106"/>
      <c r="DE399" s="106"/>
      <c r="DF399" s="106"/>
      <c r="DG399" s="106"/>
      <c r="DH399" s="106"/>
      <c r="DI399" s="106"/>
      <c r="DJ399" s="106"/>
      <c r="DK399" s="106"/>
      <c r="DL399" s="106"/>
      <c r="DM399" s="106"/>
      <c r="DN399" s="106"/>
      <c r="DO399" s="106"/>
      <c r="DP399" s="106"/>
      <c r="DQ399" s="106"/>
      <c r="DR399" s="106"/>
      <c r="DS399" s="106"/>
      <c r="DT399" s="106"/>
      <c r="DU399" s="106"/>
      <c r="DV399" s="106"/>
      <c r="DW399" s="106"/>
      <c r="DX399" s="106"/>
      <c r="DY399" s="106"/>
      <c r="DZ399" s="106"/>
      <c r="EA399" s="106"/>
      <c r="EB399" s="106"/>
      <c r="EC399" s="106"/>
      <c r="ED399" s="106"/>
      <c r="EE399" s="106"/>
      <c r="EF399" s="106"/>
      <c r="EG399" s="106"/>
      <c r="EH399" s="106"/>
      <c r="EI399" s="106"/>
    </row>
    <row r="400" spans="3:139" ht="15.75" customHeight="1" x14ac:dyDescent="0.25"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  <c r="CR400" s="106"/>
      <c r="CS400" s="106"/>
      <c r="CT400" s="106"/>
      <c r="CU400" s="106"/>
      <c r="CV400" s="106"/>
      <c r="CW400" s="106"/>
      <c r="CX400" s="106"/>
      <c r="CY400" s="106"/>
      <c r="CZ400" s="106"/>
      <c r="DA400" s="106"/>
      <c r="DB400" s="106"/>
      <c r="DC400" s="106"/>
      <c r="DD400" s="106"/>
      <c r="DE400" s="106"/>
      <c r="DF400" s="106"/>
      <c r="DG400" s="106"/>
      <c r="DH400" s="106"/>
      <c r="DI400" s="106"/>
      <c r="DJ400" s="106"/>
      <c r="DK400" s="106"/>
      <c r="DL400" s="106"/>
      <c r="DM400" s="106"/>
      <c r="DN400" s="106"/>
      <c r="DO400" s="106"/>
      <c r="DP400" s="106"/>
      <c r="DQ400" s="106"/>
      <c r="DR400" s="106"/>
      <c r="DS400" s="106"/>
      <c r="DT400" s="106"/>
      <c r="DU400" s="106"/>
      <c r="DV400" s="106"/>
      <c r="DW400" s="106"/>
      <c r="DX400" s="106"/>
      <c r="DY400" s="106"/>
      <c r="DZ400" s="106"/>
      <c r="EA400" s="106"/>
      <c r="EB400" s="106"/>
      <c r="EC400" s="106"/>
      <c r="ED400" s="106"/>
      <c r="EE400" s="106"/>
      <c r="EF400" s="106"/>
      <c r="EG400" s="106"/>
      <c r="EH400" s="106"/>
      <c r="EI400" s="106"/>
    </row>
    <row r="401" spans="3:139" ht="15.75" customHeight="1" x14ac:dyDescent="0.25"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  <c r="CR401" s="106"/>
      <c r="CS401" s="106"/>
      <c r="CT401" s="106"/>
      <c r="CU401" s="106"/>
      <c r="CV401" s="106"/>
      <c r="CW401" s="106"/>
      <c r="CX401" s="106"/>
      <c r="CY401" s="106"/>
      <c r="CZ401" s="106"/>
      <c r="DA401" s="106"/>
      <c r="DB401" s="106"/>
      <c r="DC401" s="106"/>
      <c r="DD401" s="106"/>
      <c r="DE401" s="106"/>
      <c r="DF401" s="106"/>
      <c r="DG401" s="106"/>
      <c r="DH401" s="106"/>
      <c r="DI401" s="106"/>
      <c r="DJ401" s="106"/>
      <c r="DK401" s="106"/>
      <c r="DL401" s="106"/>
      <c r="DM401" s="106"/>
      <c r="DN401" s="106"/>
      <c r="DO401" s="106"/>
      <c r="DP401" s="106"/>
      <c r="DQ401" s="106"/>
      <c r="DR401" s="106"/>
      <c r="DS401" s="106"/>
      <c r="DT401" s="106"/>
      <c r="DU401" s="106"/>
      <c r="DV401" s="106"/>
      <c r="DW401" s="106"/>
      <c r="DX401" s="106"/>
      <c r="DY401" s="106"/>
      <c r="DZ401" s="106"/>
      <c r="EA401" s="106"/>
      <c r="EB401" s="106"/>
      <c r="EC401" s="106"/>
      <c r="ED401" s="106"/>
      <c r="EE401" s="106"/>
      <c r="EF401" s="106"/>
      <c r="EG401" s="106"/>
      <c r="EH401" s="106"/>
      <c r="EI401" s="106"/>
    </row>
    <row r="402" spans="3:139" ht="15.75" customHeight="1" x14ac:dyDescent="0.25"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  <c r="CR402" s="106"/>
      <c r="CS402" s="106"/>
      <c r="CT402" s="106"/>
      <c r="CU402" s="106"/>
      <c r="CV402" s="106"/>
      <c r="CW402" s="106"/>
      <c r="CX402" s="106"/>
      <c r="CY402" s="106"/>
      <c r="CZ402" s="106"/>
      <c r="DA402" s="106"/>
      <c r="DB402" s="106"/>
      <c r="DC402" s="106"/>
      <c r="DD402" s="106"/>
      <c r="DE402" s="106"/>
      <c r="DF402" s="106"/>
      <c r="DG402" s="106"/>
      <c r="DH402" s="106"/>
      <c r="DI402" s="106"/>
      <c r="DJ402" s="106"/>
      <c r="DK402" s="106"/>
      <c r="DL402" s="106"/>
      <c r="DM402" s="106"/>
      <c r="DN402" s="106"/>
      <c r="DO402" s="106"/>
      <c r="DP402" s="106"/>
      <c r="DQ402" s="106"/>
      <c r="DR402" s="106"/>
      <c r="DS402" s="106"/>
      <c r="DT402" s="106"/>
      <c r="DU402" s="106"/>
      <c r="DV402" s="106"/>
      <c r="DW402" s="106"/>
      <c r="DX402" s="106"/>
      <c r="DY402" s="106"/>
      <c r="DZ402" s="106"/>
      <c r="EA402" s="106"/>
      <c r="EB402" s="106"/>
      <c r="EC402" s="106"/>
      <c r="ED402" s="106"/>
      <c r="EE402" s="106"/>
      <c r="EF402" s="106"/>
      <c r="EG402" s="106"/>
      <c r="EH402" s="106"/>
      <c r="EI402" s="106"/>
    </row>
    <row r="403" spans="3:139" ht="15.75" customHeight="1" x14ac:dyDescent="0.25"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  <c r="CR403" s="106"/>
      <c r="CS403" s="106"/>
      <c r="CT403" s="106"/>
      <c r="CU403" s="106"/>
      <c r="CV403" s="106"/>
      <c r="CW403" s="106"/>
      <c r="CX403" s="106"/>
      <c r="CY403" s="106"/>
      <c r="CZ403" s="106"/>
      <c r="DA403" s="106"/>
      <c r="DB403" s="106"/>
      <c r="DC403" s="106"/>
      <c r="DD403" s="106"/>
      <c r="DE403" s="106"/>
      <c r="DF403" s="106"/>
      <c r="DG403" s="106"/>
      <c r="DH403" s="106"/>
      <c r="DI403" s="106"/>
      <c r="DJ403" s="106"/>
      <c r="DK403" s="106"/>
      <c r="DL403" s="106"/>
      <c r="DM403" s="106"/>
      <c r="DN403" s="106"/>
      <c r="DO403" s="106"/>
      <c r="DP403" s="106"/>
      <c r="DQ403" s="106"/>
      <c r="DR403" s="106"/>
      <c r="DS403" s="106"/>
      <c r="DT403" s="106"/>
      <c r="DU403" s="106"/>
      <c r="DV403" s="106"/>
      <c r="DW403" s="106"/>
      <c r="DX403" s="106"/>
      <c r="DY403" s="106"/>
      <c r="DZ403" s="106"/>
      <c r="EA403" s="106"/>
      <c r="EB403" s="106"/>
      <c r="EC403" s="106"/>
      <c r="ED403" s="106"/>
      <c r="EE403" s="106"/>
      <c r="EF403" s="106"/>
      <c r="EG403" s="106"/>
      <c r="EH403" s="106"/>
      <c r="EI403" s="106"/>
    </row>
    <row r="404" spans="3:139" ht="15.75" customHeight="1" x14ac:dyDescent="0.25"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  <c r="CR404" s="106"/>
      <c r="CS404" s="106"/>
      <c r="CT404" s="106"/>
      <c r="CU404" s="106"/>
      <c r="CV404" s="106"/>
      <c r="CW404" s="106"/>
      <c r="CX404" s="106"/>
      <c r="CY404" s="106"/>
      <c r="CZ404" s="106"/>
      <c r="DA404" s="106"/>
      <c r="DB404" s="106"/>
      <c r="DC404" s="106"/>
      <c r="DD404" s="106"/>
      <c r="DE404" s="106"/>
      <c r="DF404" s="106"/>
      <c r="DG404" s="106"/>
      <c r="DH404" s="106"/>
      <c r="DI404" s="106"/>
      <c r="DJ404" s="106"/>
      <c r="DK404" s="106"/>
      <c r="DL404" s="106"/>
      <c r="DM404" s="106"/>
      <c r="DN404" s="106"/>
      <c r="DO404" s="106"/>
      <c r="DP404" s="106"/>
      <c r="DQ404" s="106"/>
      <c r="DR404" s="106"/>
      <c r="DS404" s="106"/>
      <c r="DT404" s="106"/>
      <c r="DU404" s="106"/>
      <c r="DV404" s="106"/>
      <c r="DW404" s="106"/>
      <c r="DX404" s="106"/>
      <c r="DY404" s="106"/>
      <c r="DZ404" s="106"/>
      <c r="EA404" s="106"/>
      <c r="EB404" s="106"/>
      <c r="EC404" s="106"/>
      <c r="ED404" s="106"/>
      <c r="EE404" s="106"/>
      <c r="EF404" s="106"/>
      <c r="EG404" s="106"/>
      <c r="EH404" s="106"/>
      <c r="EI404" s="106"/>
    </row>
    <row r="405" spans="3:139" ht="15.75" customHeight="1" x14ac:dyDescent="0.25"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  <c r="CR405" s="106"/>
      <c r="CS405" s="106"/>
      <c r="CT405" s="106"/>
      <c r="CU405" s="106"/>
      <c r="CV405" s="106"/>
      <c r="CW405" s="106"/>
      <c r="CX405" s="106"/>
      <c r="CY405" s="106"/>
      <c r="CZ405" s="106"/>
      <c r="DA405" s="106"/>
      <c r="DB405" s="106"/>
      <c r="DC405" s="106"/>
      <c r="DD405" s="106"/>
      <c r="DE405" s="106"/>
      <c r="DF405" s="106"/>
      <c r="DG405" s="106"/>
      <c r="DH405" s="106"/>
      <c r="DI405" s="106"/>
      <c r="DJ405" s="106"/>
      <c r="DK405" s="106"/>
      <c r="DL405" s="106"/>
      <c r="DM405" s="106"/>
      <c r="DN405" s="106"/>
      <c r="DO405" s="106"/>
      <c r="DP405" s="106"/>
      <c r="DQ405" s="106"/>
      <c r="DR405" s="106"/>
      <c r="DS405" s="106"/>
      <c r="DT405" s="106"/>
      <c r="DU405" s="106"/>
      <c r="DV405" s="106"/>
      <c r="DW405" s="106"/>
      <c r="DX405" s="106"/>
      <c r="DY405" s="106"/>
      <c r="DZ405" s="106"/>
      <c r="EA405" s="106"/>
      <c r="EB405" s="106"/>
      <c r="EC405" s="106"/>
      <c r="ED405" s="106"/>
      <c r="EE405" s="106"/>
      <c r="EF405" s="106"/>
      <c r="EG405" s="106"/>
      <c r="EH405" s="106"/>
      <c r="EI405" s="106"/>
    </row>
    <row r="406" spans="3:139" ht="15.75" customHeight="1" x14ac:dyDescent="0.25"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  <c r="CR406" s="106"/>
      <c r="CS406" s="106"/>
      <c r="CT406" s="106"/>
      <c r="CU406" s="106"/>
      <c r="CV406" s="106"/>
      <c r="CW406" s="106"/>
      <c r="CX406" s="106"/>
      <c r="CY406" s="106"/>
      <c r="CZ406" s="106"/>
      <c r="DA406" s="106"/>
      <c r="DB406" s="106"/>
      <c r="DC406" s="106"/>
      <c r="DD406" s="106"/>
      <c r="DE406" s="106"/>
      <c r="DF406" s="106"/>
      <c r="DG406" s="106"/>
      <c r="DH406" s="106"/>
      <c r="DI406" s="106"/>
      <c r="DJ406" s="106"/>
      <c r="DK406" s="106"/>
      <c r="DL406" s="106"/>
      <c r="DM406" s="106"/>
      <c r="DN406" s="106"/>
      <c r="DO406" s="106"/>
      <c r="DP406" s="106"/>
      <c r="DQ406" s="106"/>
      <c r="DR406" s="106"/>
      <c r="DS406" s="106"/>
      <c r="DT406" s="106"/>
      <c r="DU406" s="106"/>
      <c r="DV406" s="106"/>
      <c r="DW406" s="106"/>
      <c r="DX406" s="106"/>
      <c r="DY406" s="106"/>
      <c r="DZ406" s="106"/>
      <c r="EA406" s="106"/>
      <c r="EB406" s="106"/>
      <c r="EC406" s="106"/>
      <c r="ED406" s="106"/>
      <c r="EE406" s="106"/>
      <c r="EF406" s="106"/>
      <c r="EG406" s="106"/>
      <c r="EH406" s="106"/>
      <c r="EI406" s="106"/>
    </row>
    <row r="407" spans="3:139" ht="15.75" customHeight="1" x14ac:dyDescent="0.25"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  <c r="CZ407" s="106"/>
      <c r="DA407" s="106"/>
      <c r="DB407" s="106"/>
      <c r="DC407" s="106"/>
      <c r="DD407" s="106"/>
      <c r="DE407" s="106"/>
      <c r="DF407" s="106"/>
      <c r="DG407" s="106"/>
      <c r="DH407" s="106"/>
      <c r="DI407" s="106"/>
      <c r="DJ407" s="106"/>
      <c r="DK407" s="106"/>
      <c r="DL407" s="106"/>
      <c r="DM407" s="106"/>
      <c r="DN407" s="106"/>
      <c r="DO407" s="106"/>
      <c r="DP407" s="106"/>
      <c r="DQ407" s="106"/>
      <c r="DR407" s="106"/>
      <c r="DS407" s="106"/>
      <c r="DT407" s="106"/>
      <c r="DU407" s="106"/>
      <c r="DV407" s="106"/>
      <c r="DW407" s="106"/>
      <c r="DX407" s="106"/>
      <c r="DY407" s="106"/>
      <c r="DZ407" s="106"/>
      <c r="EA407" s="106"/>
      <c r="EB407" s="106"/>
      <c r="EC407" s="106"/>
      <c r="ED407" s="106"/>
      <c r="EE407" s="106"/>
      <c r="EF407" s="106"/>
      <c r="EG407" s="106"/>
      <c r="EH407" s="106"/>
      <c r="EI407" s="106"/>
    </row>
    <row r="408" spans="3:139" ht="15.75" customHeight="1" x14ac:dyDescent="0.25"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  <c r="CZ408" s="106"/>
      <c r="DA408" s="106"/>
      <c r="DB408" s="106"/>
      <c r="DC408" s="106"/>
      <c r="DD408" s="106"/>
      <c r="DE408" s="106"/>
      <c r="DF408" s="106"/>
      <c r="DG408" s="106"/>
      <c r="DH408" s="106"/>
      <c r="DI408" s="106"/>
      <c r="DJ408" s="106"/>
      <c r="DK408" s="106"/>
      <c r="DL408" s="106"/>
      <c r="DM408" s="106"/>
      <c r="DN408" s="106"/>
      <c r="DO408" s="106"/>
      <c r="DP408" s="106"/>
      <c r="DQ408" s="106"/>
      <c r="DR408" s="106"/>
      <c r="DS408" s="106"/>
      <c r="DT408" s="106"/>
      <c r="DU408" s="106"/>
      <c r="DV408" s="106"/>
      <c r="DW408" s="106"/>
      <c r="DX408" s="106"/>
      <c r="DY408" s="106"/>
      <c r="DZ408" s="106"/>
      <c r="EA408" s="106"/>
      <c r="EB408" s="106"/>
      <c r="EC408" s="106"/>
      <c r="ED408" s="106"/>
      <c r="EE408" s="106"/>
      <c r="EF408" s="106"/>
      <c r="EG408" s="106"/>
      <c r="EH408" s="106"/>
      <c r="EI408" s="106"/>
    </row>
    <row r="409" spans="3:139" ht="15.75" customHeight="1" x14ac:dyDescent="0.25"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  <c r="CZ409" s="106"/>
      <c r="DA409" s="106"/>
      <c r="DB409" s="106"/>
      <c r="DC409" s="106"/>
      <c r="DD409" s="106"/>
      <c r="DE409" s="106"/>
      <c r="DF409" s="106"/>
      <c r="DG409" s="106"/>
      <c r="DH409" s="106"/>
      <c r="DI409" s="106"/>
      <c r="DJ409" s="106"/>
      <c r="DK409" s="106"/>
      <c r="DL409" s="106"/>
      <c r="DM409" s="106"/>
      <c r="DN409" s="106"/>
      <c r="DO409" s="106"/>
      <c r="DP409" s="106"/>
      <c r="DQ409" s="106"/>
      <c r="DR409" s="106"/>
      <c r="DS409" s="106"/>
      <c r="DT409" s="106"/>
      <c r="DU409" s="106"/>
      <c r="DV409" s="106"/>
      <c r="DW409" s="106"/>
      <c r="DX409" s="106"/>
      <c r="DY409" s="106"/>
      <c r="DZ409" s="106"/>
      <c r="EA409" s="106"/>
      <c r="EB409" s="106"/>
      <c r="EC409" s="106"/>
      <c r="ED409" s="106"/>
      <c r="EE409" s="106"/>
      <c r="EF409" s="106"/>
      <c r="EG409" s="106"/>
      <c r="EH409" s="106"/>
      <c r="EI409" s="106"/>
    </row>
    <row r="410" spans="3:139" ht="15.75" customHeight="1" x14ac:dyDescent="0.25"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  <c r="CZ410" s="106"/>
      <c r="DA410" s="106"/>
      <c r="DB410" s="106"/>
      <c r="DC410" s="106"/>
      <c r="DD410" s="106"/>
      <c r="DE410" s="106"/>
      <c r="DF410" s="106"/>
      <c r="DG410" s="106"/>
      <c r="DH410" s="106"/>
      <c r="DI410" s="106"/>
      <c r="DJ410" s="106"/>
      <c r="DK410" s="106"/>
      <c r="DL410" s="106"/>
      <c r="DM410" s="106"/>
      <c r="DN410" s="106"/>
      <c r="DO410" s="106"/>
      <c r="DP410" s="106"/>
      <c r="DQ410" s="106"/>
      <c r="DR410" s="106"/>
      <c r="DS410" s="106"/>
      <c r="DT410" s="106"/>
      <c r="DU410" s="106"/>
      <c r="DV410" s="106"/>
      <c r="DW410" s="106"/>
      <c r="DX410" s="106"/>
      <c r="DY410" s="106"/>
      <c r="DZ410" s="106"/>
      <c r="EA410" s="106"/>
      <c r="EB410" s="106"/>
      <c r="EC410" s="106"/>
      <c r="ED410" s="106"/>
      <c r="EE410" s="106"/>
      <c r="EF410" s="106"/>
      <c r="EG410" s="106"/>
      <c r="EH410" s="106"/>
      <c r="EI410" s="106"/>
    </row>
    <row r="411" spans="3:139" ht="15.75" customHeight="1" x14ac:dyDescent="0.25"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  <c r="CR411" s="106"/>
      <c r="CS411" s="106"/>
      <c r="CT411" s="106"/>
      <c r="CU411" s="106"/>
      <c r="CV411" s="106"/>
      <c r="CW411" s="106"/>
      <c r="CX411" s="106"/>
      <c r="CY411" s="106"/>
      <c r="CZ411" s="106"/>
      <c r="DA411" s="106"/>
      <c r="DB411" s="106"/>
      <c r="DC411" s="106"/>
      <c r="DD411" s="106"/>
      <c r="DE411" s="106"/>
      <c r="DF411" s="106"/>
      <c r="DG411" s="106"/>
      <c r="DH411" s="106"/>
      <c r="DI411" s="106"/>
      <c r="DJ411" s="106"/>
      <c r="DK411" s="106"/>
      <c r="DL411" s="106"/>
      <c r="DM411" s="106"/>
      <c r="DN411" s="106"/>
      <c r="DO411" s="106"/>
      <c r="DP411" s="106"/>
      <c r="DQ411" s="106"/>
      <c r="DR411" s="106"/>
      <c r="DS411" s="106"/>
      <c r="DT411" s="106"/>
      <c r="DU411" s="106"/>
      <c r="DV411" s="106"/>
      <c r="DW411" s="106"/>
      <c r="DX411" s="106"/>
      <c r="DY411" s="106"/>
      <c r="DZ411" s="106"/>
      <c r="EA411" s="106"/>
      <c r="EB411" s="106"/>
      <c r="EC411" s="106"/>
      <c r="ED411" s="106"/>
      <c r="EE411" s="106"/>
      <c r="EF411" s="106"/>
      <c r="EG411" s="106"/>
      <c r="EH411" s="106"/>
      <c r="EI411" s="106"/>
    </row>
    <row r="412" spans="3:139" ht="15.75" customHeight="1" x14ac:dyDescent="0.25"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  <c r="CR412" s="106"/>
      <c r="CS412" s="106"/>
      <c r="CT412" s="106"/>
      <c r="CU412" s="106"/>
      <c r="CV412" s="106"/>
      <c r="CW412" s="106"/>
      <c r="CX412" s="106"/>
      <c r="CY412" s="106"/>
      <c r="CZ412" s="106"/>
      <c r="DA412" s="106"/>
      <c r="DB412" s="106"/>
      <c r="DC412" s="106"/>
      <c r="DD412" s="106"/>
      <c r="DE412" s="106"/>
      <c r="DF412" s="106"/>
      <c r="DG412" s="106"/>
      <c r="DH412" s="106"/>
      <c r="DI412" s="106"/>
      <c r="DJ412" s="106"/>
      <c r="DK412" s="106"/>
      <c r="DL412" s="106"/>
      <c r="DM412" s="106"/>
      <c r="DN412" s="106"/>
      <c r="DO412" s="106"/>
      <c r="DP412" s="106"/>
      <c r="DQ412" s="106"/>
      <c r="DR412" s="106"/>
      <c r="DS412" s="106"/>
      <c r="DT412" s="106"/>
      <c r="DU412" s="106"/>
      <c r="DV412" s="106"/>
      <c r="DW412" s="106"/>
      <c r="DX412" s="106"/>
      <c r="DY412" s="106"/>
      <c r="DZ412" s="106"/>
      <c r="EA412" s="106"/>
      <c r="EB412" s="106"/>
      <c r="EC412" s="106"/>
      <c r="ED412" s="106"/>
      <c r="EE412" s="106"/>
      <c r="EF412" s="106"/>
      <c r="EG412" s="106"/>
      <c r="EH412" s="106"/>
      <c r="EI412" s="106"/>
    </row>
    <row r="413" spans="3:139" ht="15.75" customHeight="1" x14ac:dyDescent="0.25"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  <c r="CR413" s="106"/>
      <c r="CS413" s="106"/>
      <c r="CT413" s="106"/>
      <c r="CU413" s="106"/>
      <c r="CV413" s="106"/>
      <c r="CW413" s="106"/>
      <c r="CX413" s="106"/>
      <c r="CY413" s="106"/>
      <c r="CZ413" s="106"/>
      <c r="DA413" s="106"/>
      <c r="DB413" s="106"/>
      <c r="DC413" s="106"/>
      <c r="DD413" s="106"/>
      <c r="DE413" s="106"/>
      <c r="DF413" s="106"/>
      <c r="DG413" s="106"/>
      <c r="DH413" s="106"/>
      <c r="DI413" s="106"/>
      <c r="DJ413" s="106"/>
      <c r="DK413" s="106"/>
      <c r="DL413" s="106"/>
      <c r="DM413" s="106"/>
      <c r="DN413" s="106"/>
      <c r="DO413" s="106"/>
      <c r="DP413" s="106"/>
      <c r="DQ413" s="106"/>
      <c r="DR413" s="106"/>
      <c r="DS413" s="106"/>
      <c r="DT413" s="106"/>
      <c r="DU413" s="106"/>
      <c r="DV413" s="106"/>
      <c r="DW413" s="106"/>
      <c r="DX413" s="106"/>
      <c r="DY413" s="106"/>
      <c r="DZ413" s="106"/>
      <c r="EA413" s="106"/>
      <c r="EB413" s="106"/>
      <c r="EC413" s="106"/>
      <c r="ED413" s="106"/>
      <c r="EE413" s="106"/>
      <c r="EF413" s="106"/>
      <c r="EG413" s="106"/>
      <c r="EH413" s="106"/>
      <c r="EI413" s="106"/>
    </row>
    <row r="414" spans="3:139" ht="15.75" customHeight="1" x14ac:dyDescent="0.25"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  <c r="CR414" s="106"/>
      <c r="CS414" s="106"/>
      <c r="CT414" s="106"/>
      <c r="CU414" s="106"/>
      <c r="CV414" s="106"/>
      <c r="CW414" s="106"/>
      <c r="CX414" s="106"/>
      <c r="CY414" s="106"/>
      <c r="CZ414" s="106"/>
      <c r="DA414" s="106"/>
      <c r="DB414" s="106"/>
      <c r="DC414" s="106"/>
      <c r="DD414" s="106"/>
      <c r="DE414" s="106"/>
      <c r="DF414" s="106"/>
      <c r="DG414" s="106"/>
      <c r="DH414" s="106"/>
      <c r="DI414" s="106"/>
      <c r="DJ414" s="106"/>
      <c r="DK414" s="106"/>
      <c r="DL414" s="106"/>
      <c r="DM414" s="106"/>
      <c r="DN414" s="106"/>
      <c r="DO414" s="106"/>
      <c r="DP414" s="106"/>
      <c r="DQ414" s="106"/>
      <c r="DR414" s="106"/>
      <c r="DS414" s="106"/>
      <c r="DT414" s="106"/>
      <c r="DU414" s="106"/>
      <c r="DV414" s="106"/>
      <c r="DW414" s="106"/>
      <c r="DX414" s="106"/>
      <c r="DY414" s="106"/>
      <c r="DZ414" s="106"/>
      <c r="EA414" s="106"/>
      <c r="EB414" s="106"/>
      <c r="EC414" s="106"/>
      <c r="ED414" s="106"/>
      <c r="EE414" s="106"/>
      <c r="EF414" s="106"/>
      <c r="EG414" s="106"/>
      <c r="EH414" s="106"/>
      <c r="EI414" s="106"/>
    </row>
    <row r="415" spans="3:139" ht="15.75" customHeight="1" x14ac:dyDescent="0.25"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  <c r="CR415" s="106"/>
      <c r="CS415" s="106"/>
      <c r="CT415" s="106"/>
      <c r="CU415" s="106"/>
      <c r="CV415" s="106"/>
      <c r="CW415" s="106"/>
      <c r="CX415" s="106"/>
      <c r="CY415" s="106"/>
      <c r="CZ415" s="106"/>
      <c r="DA415" s="106"/>
      <c r="DB415" s="106"/>
      <c r="DC415" s="106"/>
      <c r="DD415" s="106"/>
      <c r="DE415" s="106"/>
      <c r="DF415" s="106"/>
      <c r="DG415" s="106"/>
      <c r="DH415" s="106"/>
      <c r="DI415" s="106"/>
      <c r="DJ415" s="106"/>
      <c r="DK415" s="106"/>
      <c r="DL415" s="106"/>
      <c r="DM415" s="106"/>
      <c r="DN415" s="106"/>
      <c r="DO415" s="106"/>
      <c r="DP415" s="106"/>
      <c r="DQ415" s="106"/>
      <c r="DR415" s="106"/>
      <c r="DS415" s="106"/>
      <c r="DT415" s="106"/>
      <c r="DU415" s="106"/>
      <c r="DV415" s="106"/>
      <c r="DW415" s="106"/>
      <c r="DX415" s="106"/>
      <c r="DY415" s="106"/>
      <c r="DZ415" s="106"/>
      <c r="EA415" s="106"/>
      <c r="EB415" s="106"/>
      <c r="EC415" s="106"/>
      <c r="ED415" s="106"/>
      <c r="EE415" s="106"/>
      <c r="EF415" s="106"/>
      <c r="EG415" s="106"/>
      <c r="EH415" s="106"/>
      <c r="EI415" s="106"/>
    </row>
    <row r="416" spans="3:139" ht="15.75" customHeight="1" x14ac:dyDescent="0.25"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  <c r="CR416" s="106"/>
      <c r="CS416" s="106"/>
      <c r="CT416" s="106"/>
      <c r="CU416" s="106"/>
      <c r="CV416" s="106"/>
      <c r="CW416" s="106"/>
      <c r="CX416" s="106"/>
      <c r="CY416" s="106"/>
      <c r="CZ416" s="106"/>
      <c r="DA416" s="106"/>
      <c r="DB416" s="106"/>
      <c r="DC416" s="106"/>
      <c r="DD416" s="106"/>
      <c r="DE416" s="106"/>
      <c r="DF416" s="106"/>
      <c r="DG416" s="106"/>
      <c r="DH416" s="106"/>
      <c r="DI416" s="106"/>
      <c r="DJ416" s="106"/>
      <c r="DK416" s="106"/>
      <c r="DL416" s="106"/>
      <c r="DM416" s="106"/>
      <c r="DN416" s="106"/>
      <c r="DO416" s="106"/>
      <c r="DP416" s="106"/>
      <c r="DQ416" s="106"/>
      <c r="DR416" s="106"/>
      <c r="DS416" s="106"/>
      <c r="DT416" s="106"/>
      <c r="DU416" s="106"/>
      <c r="DV416" s="106"/>
      <c r="DW416" s="106"/>
      <c r="DX416" s="106"/>
      <c r="DY416" s="106"/>
      <c r="DZ416" s="106"/>
      <c r="EA416" s="106"/>
      <c r="EB416" s="106"/>
      <c r="EC416" s="106"/>
      <c r="ED416" s="106"/>
      <c r="EE416" s="106"/>
      <c r="EF416" s="106"/>
      <c r="EG416" s="106"/>
      <c r="EH416" s="106"/>
      <c r="EI416" s="106"/>
    </row>
    <row r="417" spans="3:139" ht="15.75" customHeight="1" x14ac:dyDescent="0.25"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  <c r="CR417" s="106"/>
      <c r="CS417" s="106"/>
      <c r="CT417" s="106"/>
      <c r="CU417" s="106"/>
      <c r="CV417" s="106"/>
      <c r="CW417" s="106"/>
      <c r="CX417" s="106"/>
      <c r="CY417" s="106"/>
      <c r="CZ417" s="106"/>
      <c r="DA417" s="106"/>
      <c r="DB417" s="106"/>
      <c r="DC417" s="106"/>
      <c r="DD417" s="106"/>
      <c r="DE417" s="106"/>
      <c r="DF417" s="106"/>
      <c r="DG417" s="106"/>
      <c r="DH417" s="106"/>
      <c r="DI417" s="106"/>
      <c r="DJ417" s="106"/>
      <c r="DK417" s="106"/>
      <c r="DL417" s="106"/>
      <c r="DM417" s="106"/>
      <c r="DN417" s="106"/>
      <c r="DO417" s="106"/>
      <c r="DP417" s="106"/>
      <c r="DQ417" s="106"/>
      <c r="DR417" s="106"/>
      <c r="DS417" s="106"/>
      <c r="DT417" s="106"/>
      <c r="DU417" s="106"/>
      <c r="DV417" s="106"/>
      <c r="DW417" s="106"/>
      <c r="DX417" s="106"/>
      <c r="DY417" s="106"/>
      <c r="DZ417" s="106"/>
      <c r="EA417" s="106"/>
      <c r="EB417" s="106"/>
      <c r="EC417" s="106"/>
      <c r="ED417" s="106"/>
      <c r="EE417" s="106"/>
      <c r="EF417" s="106"/>
      <c r="EG417" s="106"/>
      <c r="EH417" s="106"/>
      <c r="EI417" s="106"/>
    </row>
    <row r="418" spans="3:139" ht="15.75" customHeight="1" x14ac:dyDescent="0.25"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  <c r="CR418" s="106"/>
      <c r="CS418" s="106"/>
      <c r="CT418" s="106"/>
      <c r="CU418" s="106"/>
      <c r="CV418" s="106"/>
      <c r="CW418" s="106"/>
      <c r="CX418" s="106"/>
      <c r="CY418" s="106"/>
      <c r="CZ418" s="106"/>
      <c r="DA418" s="106"/>
      <c r="DB418" s="106"/>
      <c r="DC418" s="106"/>
      <c r="DD418" s="106"/>
      <c r="DE418" s="106"/>
      <c r="DF418" s="106"/>
      <c r="DG418" s="106"/>
      <c r="DH418" s="106"/>
      <c r="DI418" s="106"/>
      <c r="DJ418" s="106"/>
      <c r="DK418" s="106"/>
      <c r="DL418" s="106"/>
      <c r="DM418" s="106"/>
      <c r="DN418" s="106"/>
      <c r="DO418" s="106"/>
      <c r="DP418" s="106"/>
      <c r="DQ418" s="106"/>
      <c r="DR418" s="106"/>
      <c r="DS418" s="106"/>
      <c r="DT418" s="106"/>
      <c r="DU418" s="106"/>
      <c r="DV418" s="106"/>
      <c r="DW418" s="106"/>
      <c r="DX418" s="106"/>
      <c r="DY418" s="106"/>
      <c r="DZ418" s="106"/>
      <c r="EA418" s="106"/>
      <c r="EB418" s="106"/>
      <c r="EC418" s="106"/>
      <c r="ED418" s="106"/>
      <c r="EE418" s="106"/>
      <c r="EF418" s="106"/>
      <c r="EG418" s="106"/>
      <c r="EH418" s="106"/>
      <c r="EI418" s="106"/>
    </row>
    <row r="419" spans="3:139" ht="15.75" customHeight="1" x14ac:dyDescent="0.25"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  <c r="CR419" s="106"/>
      <c r="CS419" s="106"/>
      <c r="CT419" s="106"/>
      <c r="CU419" s="106"/>
      <c r="CV419" s="106"/>
      <c r="CW419" s="106"/>
      <c r="CX419" s="106"/>
      <c r="CY419" s="106"/>
      <c r="CZ419" s="106"/>
      <c r="DA419" s="106"/>
      <c r="DB419" s="106"/>
      <c r="DC419" s="106"/>
      <c r="DD419" s="106"/>
      <c r="DE419" s="106"/>
      <c r="DF419" s="106"/>
      <c r="DG419" s="106"/>
      <c r="DH419" s="106"/>
      <c r="DI419" s="106"/>
      <c r="DJ419" s="106"/>
      <c r="DK419" s="106"/>
      <c r="DL419" s="106"/>
      <c r="DM419" s="106"/>
      <c r="DN419" s="106"/>
      <c r="DO419" s="106"/>
      <c r="DP419" s="106"/>
      <c r="DQ419" s="106"/>
      <c r="DR419" s="106"/>
      <c r="DS419" s="106"/>
      <c r="DT419" s="106"/>
      <c r="DU419" s="106"/>
      <c r="DV419" s="106"/>
      <c r="DW419" s="106"/>
      <c r="DX419" s="106"/>
      <c r="DY419" s="106"/>
      <c r="DZ419" s="106"/>
      <c r="EA419" s="106"/>
      <c r="EB419" s="106"/>
      <c r="EC419" s="106"/>
      <c r="ED419" s="106"/>
      <c r="EE419" s="106"/>
      <c r="EF419" s="106"/>
      <c r="EG419" s="106"/>
      <c r="EH419" s="106"/>
      <c r="EI419" s="106"/>
    </row>
    <row r="420" spans="3:139" ht="15.75" customHeight="1" x14ac:dyDescent="0.25"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  <c r="CR420" s="106"/>
      <c r="CS420" s="106"/>
      <c r="CT420" s="106"/>
      <c r="CU420" s="106"/>
      <c r="CV420" s="106"/>
      <c r="CW420" s="106"/>
      <c r="CX420" s="106"/>
      <c r="CY420" s="106"/>
      <c r="CZ420" s="106"/>
      <c r="DA420" s="106"/>
      <c r="DB420" s="106"/>
      <c r="DC420" s="106"/>
      <c r="DD420" s="106"/>
      <c r="DE420" s="106"/>
      <c r="DF420" s="106"/>
      <c r="DG420" s="106"/>
      <c r="DH420" s="106"/>
      <c r="DI420" s="106"/>
      <c r="DJ420" s="106"/>
      <c r="DK420" s="106"/>
      <c r="DL420" s="106"/>
      <c r="DM420" s="106"/>
      <c r="DN420" s="106"/>
      <c r="DO420" s="106"/>
      <c r="DP420" s="106"/>
      <c r="DQ420" s="106"/>
      <c r="DR420" s="106"/>
      <c r="DS420" s="106"/>
      <c r="DT420" s="106"/>
      <c r="DU420" s="106"/>
      <c r="DV420" s="106"/>
      <c r="DW420" s="106"/>
      <c r="DX420" s="106"/>
      <c r="DY420" s="106"/>
      <c r="DZ420" s="106"/>
      <c r="EA420" s="106"/>
      <c r="EB420" s="106"/>
      <c r="EC420" s="106"/>
      <c r="ED420" s="106"/>
      <c r="EE420" s="106"/>
      <c r="EF420" s="106"/>
      <c r="EG420" s="106"/>
      <c r="EH420" s="106"/>
      <c r="EI420" s="106"/>
    </row>
    <row r="421" spans="3:139" ht="15.75" customHeight="1" x14ac:dyDescent="0.25"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  <c r="CR421" s="106"/>
      <c r="CS421" s="106"/>
      <c r="CT421" s="106"/>
      <c r="CU421" s="106"/>
      <c r="CV421" s="106"/>
      <c r="CW421" s="106"/>
      <c r="CX421" s="106"/>
      <c r="CY421" s="106"/>
      <c r="CZ421" s="106"/>
      <c r="DA421" s="106"/>
      <c r="DB421" s="106"/>
      <c r="DC421" s="106"/>
      <c r="DD421" s="106"/>
      <c r="DE421" s="106"/>
      <c r="DF421" s="106"/>
      <c r="DG421" s="106"/>
      <c r="DH421" s="106"/>
      <c r="DI421" s="106"/>
      <c r="DJ421" s="106"/>
      <c r="DK421" s="106"/>
      <c r="DL421" s="106"/>
      <c r="DM421" s="106"/>
      <c r="DN421" s="106"/>
      <c r="DO421" s="106"/>
      <c r="DP421" s="106"/>
      <c r="DQ421" s="106"/>
      <c r="DR421" s="106"/>
      <c r="DS421" s="106"/>
      <c r="DT421" s="106"/>
      <c r="DU421" s="106"/>
      <c r="DV421" s="106"/>
      <c r="DW421" s="106"/>
      <c r="DX421" s="106"/>
      <c r="DY421" s="106"/>
      <c r="DZ421" s="106"/>
      <c r="EA421" s="106"/>
      <c r="EB421" s="106"/>
      <c r="EC421" s="106"/>
      <c r="ED421" s="106"/>
      <c r="EE421" s="106"/>
      <c r="EF421" s="106"/>
      <c r="EG421" s="106"/>
      <c r="EH421" s="106"/>
      <c r="EI421" s="106"/>
    </row>
    <row r="422" spans="3:139" ht="15.75" customHeight="1" x14ac:dyDescent="0.25"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  <c r="CR422" s="106"/>
      <c r="CS422" s="106"/>
      <c r="CT422" s="106"/>
      <c r="CU422" s="106"/>
      <c r="CV422" s="106"/>
      <c r="CW422" s="106"/>
      <c r="CX422" s="106"/>
      <c r="CY422" s="106"/>
      <c r="CZ422" s="106"/>
      <c r="DA422" s="106"/>
      <c r="DB422" s="106"/>
      <c r="DC422" s="106"/>
      <c r="DD422" s="106"/>
      <c r="DE422" s="106"/>
      <c r="DF422" s="106"/>
      <c r="DG422" s="106"/>
      <c r="DH422" s="106"/>
      <c r="DI422" s="106"/>
      <c r="DJ422" s="106"/>
      <c r="DK422" s="106"/>
      <c r="DL422" s="106"/>
      <c r="DM422" s="106"/>
      <c r="DN422" s="106"/>
      <c r="DO422" s="106"/>
      <c r="DP422" s="106"/>
      <c r="DQ422" s="106"/>
      <c r="DR422" s="106"/>
      <c r="DS422" s="106"/>
      <c r="DT422" s="106"/>
      <c r="DU422" s="106"/>
      <c r="DV422" s="106"/>
      <c r="DW422" s="106"/>
      <c r="DX422" s="106"/>
      <c r="DY422" s="106"/>
      <c r="DZ422" s="106"/>
      <c r="EA422" s="106"/>
      <c r="EB422" s="106"/>
      <c r="EC422" s="106"/>
      <c r="ED422" s="106"/>
      <c r="EE422" s="106"/>
      <c r="EF422" s="106"/>
      <c r="EG422" s="106"/>
      <c r="EH422" s="106"/>
      <c r="EI422" s="106"/>
    </row>
    <row r="423" spans="3:139" ht="15.75" customHeight="1" x14ac:dyDescent="0.25"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  <c r="CR423" s="106"/>
      <c r="CS423" s="106"/>
      <c r="CT423" s="106"/>
      <c r="CU423" s="106"/>
      <c r="CV423" s="106"/>
      <c r="CW423" s="106"/>
      <c r="CX423" s="106"/>
      <c r="CY423" s="106"/>
      <c r="CZ423" s="106"/>
      <c r="DA423" s="106"/>
      <c r="DB423" s="106"/>
      <c r="DC423" s="106"/>
      <c r="DD423" s="106"/>
      <c r="DE423" s="106"/>
      <c r="DF423" s="106"/>
      <c r="DG423" s="106"/>
      <c r="DH423" s="106"/>
      <c r="DI423" s="106"/>
      <c r="DJ423" s="106"/>
      <c r="DK423" s="106"/>
      <c r="DL423" s="106"/>
      <c r="DM423" s="106"/>
      <c r="DN423" s="106"/>
      <c r="DO423" s="106"/>
      <c r="DP423" s="106"/>
      <c r="DQ423" s="106"/>
      <c r="DR423" s="106"/>
      <c r="DS423" s="106"/>
      <c r="DT423" s="106"/>
      <c r="DU423" s="106"/>
      <c r="DV423" s="106"/>
      <c r="DW423" s="106"/>
      <c r="DX423" s="106"/>
      <c r="DY423" s="106"/>
      <c r="DZ423" s="106"/>
      <c r="EA423" s="106"/>
      <c r="EB423" s="106"/>
      <c r="EC423" s="106"/>
      <c r="ED423" s="106"/>
      <c r="EE423" s="106"/>
      <c r="EF423" s="106"/>
      <c r="EG423" s="106"/>
      <c r="EH423" s="106"/>
      <c r="EI423" s="106"/>
    </row>
    <row r="424" spans="3:139" ht="15.75" customHeight="1" x14ac:dyDescent="0.25"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  <c r="CR424" s="106"/>
      <c r="CS424" s="106"/>
      <c r="CT424" s="106"/>
      <c r="CU424" s="106"/>
      <c r="CV424" s="106"/>
      <c r="CW424" s="106"/>
      <c r="CX424" s="106"/>
      <c r="CY424" s="106"/>
      <c r="CZ424" s="106"/>
      <c r="DA424" s="106"/>
      <c r="DB424" s="106"/>
      <c r="DC424" s="106"/>
      <c r="DD424" s="106"/>
      <c r="DE424" s="106"/>
      <c r="DF424" s="106"/>
      <c r="DG424" s="106"/>
      <c r="DH424" s="106"/>
      <c r="DI424" s="106"/>
      <c r="DJ424" s="106"/>
      <c r="DK424" s="106"/>
      <c r="DL424" s="106"/>
      <c r="DM424" s="106"/>
      <c r="DN424" s="106"/>
      <c r="DO424" s="106"/>
      <c r="DP424" s="106"/>
      <c r="DQ424" s="106"/>
      <c r="DR424" s="106"/>
      <c r="DS424" s="106"/>
      <c r="DT424" s="106"/>
      <c r="DU424" s="106"/>
      <c r="DV424" s="106"/>
      <c r="DW424" s="106"/>
      <c r="DX424" s="106"/>
      <c r="DY424" s="106"/>
      <c r="DZ424" s="106"/>
      <c r="EA424" s="106"/>
      <c r="EB424" s="106"/>
      <c r="EC424" s="106"/>
      <c r="ED424" s="106"/>
      <c r="EE424" s="106"/>
      <c r="EF424" s="106"/>
      <c r="EG424" s="106"/>
      <c r="EH424" s="106"/>
      <c r="EI424" s="106"/>
    </row>
    <row r="425" spans="3:139" ht="15.75" customHeight="1" x14ac:dyDescent="0.25"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  <c r="CR425" s="106"/>
      <c r="CS425" s="106"/>
      <c r="CT425" s="106"/>
      <c r="CU425" s="106"/>
      <c r="CV425" s="106"/>
      <c r="CW425" s="106"/>
      <c r="CX425" s="106"/>
      <c r="CY425" s="106"/>
      <c r="CZ425" s="106"/>
      <c r="DA425" s="106"/>
      <c r="DB425" s="106"/>
      <c r="DC425" s="106"/>
      <c r="DD425" s="106"/>
      <c r="DE425" s="106"/>
      <c r="DF425" s="106"/>
      <c r="DG425" s="106"/>
      <c r="DH425" s="106"/>
      <c r="DI425" s="106"/>
      <c r="DJ425" s="106"/>
      <c r="DK425" s="106"/>
      <c r="DL425" s="106"/>
      <c r="DM425" s="106"/>
      <c r="DN425" s="106"/>
      <c r="DO425" s="106"/>
      <c r="DP425" s="106"/>
      <c r="DQ425" s="106"/>
      <c r="DR425" s="106"/>
      <c r="DS425" s="106"/>
      <c r="DT425" s="106"/>
      <c r="DU425" s="106"/>
      <c r="DV425" s="106"/>
      <c r="DW425" s="106"/>
      <c r="DX425" s="106"/>
      <c r="DY425" s="106"/>
      <c r="DZ425" s="106"/>
      <c r="EA425" s="106"/>
      <c r="EB425" s="106"/>
      <c r="EC425" s="106"/>
      <c r="ED425" s="106"/>
      <c r="EE425" s="106"/>
      <c r="EF425" s="106"/>
      <c r="EG425" s="106"/>
      <c r="EH425" s="106"/>
      <c r="EI425" s="106"/>
    </row>
    <row r="426" spans="3:139" ht="15.75" customHeight="1" x14ac:dyDescent="0.25"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  <c r="CR426" s="106"/>
      <c r="CS426" s="106"/>
      <c r="CT426" s="106"/>
      <c r="CU426" s="106"/>
      <c r="CV426" s="106"/>
      <c r="CW426" s="106"/>
      <c r="CX426" s="106"/>
      <c r="CY426" s="106"/>
      <c r="CZ426" s="106"/>
      <c r="DA426" s="106"/>
      <c r="DB426" s="106"/>
      <c r="DC426" s="106"/>
      <c r="DD426" s="106"/>
      <c r="DE426" s="106"/>
      <c r="DF426" s="106"/>
      <c r="DG426" s="106"/>
      <c r="DH426" s="106"/>
      <c r="DI426" s="106"/>
      <c r="DJ426" s="106"/>
      <c r="DK426" s="106"/>
      <c r="DL426" s="106"/>
      <c r="DM426" s="106"/>
      <c r="DN426" s="106"/>
      <c r="DO426" s="106"/>
      <c r="DP426" s="106"/>
      <c r="DQ426" s="106"/>
      <c r="DR426" s="106"/>
      <c r="DS426" s="106"/>
      <c r="DT426" s="106"/>
      <c r="DU426" s="106"/>
      <c r="DV426" s="106"/>
      <c r="DW426" s="106"/>
      <c r="DX426" s="106"/>
      <c r="DY426" s="106"/>
      <c r="DZ426" s="106"/>
      <c r="EA426" s="106"/>
      <c r="EB426" s="106"/>
      <c r="EC426" s="106"/>
      <c r="ED426" s="106"/>
      <c r="EE426" s="106"/>
      <c r="EF426" s="106"/>
      <c r="EG426" s="106"/>
      <c r="EH426" s="106"/>
      <c r="EI426" s="106"/>
    </row>
    <row r="427" spans="3:139" ht="15.75" customHeight="1" x14ac:dyDescent="0.25"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  <c r="CR427" s="106"/>
      <c r="CS427" s="106"/>
      <c r="CT427" s="106"/>
      <c r="CU427" s="106"/>
      <c r="CV427" s="106"/>
      <c r="CW427" s="106"/>
      <c r="CX427" s="106"/>
      <c r="CY427" s="106"/>
      <c r="CZ427" s="106"/>
      <c r="DA427" s="106"/>
      <c r="DB427" s="106"/>
      <c r="DC427" s="106"/>
      <c r="DD427" s="106"/>
      <c r="DE427" s="106"/>
      <c r="DF427" s="106"/>
      <c r="DG427" s="106"/>
      <c r="DH427" s="106"/>
      <c r="DI427" s="106"/>
      <c r="DJ427" s="106"/>
      <c r="DK427" s="106"/>
      <c r="DL427" s="106"/>
      <c r="DM427" s="106"/>
      <c r="DN427" s="106"/>
      <c r="DO427" s="106"/>
      <c r="DP427" s="106"/>
      <c r="DQ427" s="106"/>
      <c r="DR427" s="106"/>
      <c r="DS427" s="106"/>
      <c r="DT427" s="106"/>
      <c r="DU427" s="106"/>
      <c r="DV427" s="106"/>
      <c r="DW427" s="106"/>
      <c r="DX427" s="106"/>
      <c r="DY427" s="106"/>
      <c r="DZ427" s="106"/>
      <c r="EA427" s="106"/>
      <c r="EB427" s="106"/>
      <c r="EC427" s="106"/>
      <c r="ED427" s="106"/>
      <c r="EE427" s="106"/>
      <c r="EF427" s="106"/>
      <c r="EG427" s="106"/>
      <c r="EH427" s="106"/>
      <c r="EI427" s="106"/>
    </row>
    <row r="428" spans="3:139" ht="15.75" customHeight="1" x14ac:dyDescent="0.25"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  <c r="CR428" s="106"/>
      <c r="CS428" s="106"/>
      <c r="CT428" s="106"/>
      <c r="CU428" s="106"/>
      <c r="CV428" s="106"/>
      <c r="CW428" s="106"/>
      <c r="CX428" s="106"/>
      <c r="CY428" s="106"/>
      <c r="CZ428" s="106"/>
      <c r="DA428" s="106"/>
      <c r="DB428" s="106"/>
      <c r="DC428" s="106"/>
      <c r="DD428" s="106"/>
      <c r="DE428" s="106"/>
      <c r="DF428" s="106"/>
      <c r="DG428" s="106"/>
      <c r="DH428" s="106"/>
      <c r="DI428" s="106"/>
      <c r="DJ428" s="106"/>
      <c r="DK428" s="106"/>
      <c r="DL428" s="106"/>
      <c r="DM428" s="106"/>
      <c r="DN428" s="106"/>
      <c r="DO428" s="106"/>
      <c r="DP428" s="106"/>
      <c r="DQ428" s="106"/>
      <c r="DR428" s="106"/>
      <c r="DS428" s="106"/>
      <c r="DT428" s="106"/>
      <c r="DU428" s="106"/>
      <c r="DV428" s="106"/>
      <c r="DW428" s="106"/>
      <c r="DX428" s="106"/>
      <c r="DY428" s="106"/>
      <c r="DZ428" s="106"/>
      <c r="EA428" s="106"/>
      <c r="EB428" s="106"/>
      <c r="EC428" s="106"/>
      <c r="ED428" s="106"/>
      <c r="EE428" s="106"/>
      <c r="EF428" s="106"/>
      <c r="EG428" s="106"/>
      <c r="EH428" s="106"/>
      <c r="EI428" s="106"/>
    </row>
    <row r="429" spans="3:139" ht="15.75" customHeight="1" x14ac:dyDescent="0.25"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  <c r="CR429" s="106"/>
      <c r="CS429" s="106"/>
      <c r="CT429" s="106"/>
      <c r="CU429" s="106"/>
      <c r="CV429" s="106"/>
      <c r="CW429" s="106"/>
      <c r="CX429" s="106"/>
      <c r="CY429" s="106"/>
      <c r="CZ429" s="106"/>
      <c r="DA429" s="106"/>
      <c r="DB429" s="106"/>
      <c r="DC429" s="106"/>
      <c r="DD429" s="106"/>
      <c r="DE429" s="106"/>
      <c r="DF429" s="106"/>
      <c r="DG429" s="106"/>
      <c r="DH429" s="106"/>
      <c r="DI429" s="106"/>
      <c r="DJ429" s="106"/>
      <c r="DK429" s="106"/>
      <c r="DL429" s="106"/>
      <c r="DM429" s="106"/>
      <c r="DN429" s="106"/>
      <c r="DO429" s="106"/>
      <c r="DP429" s="106"/>
      <c r="DQ429" s="106"/>
      <c r="DR429" s="106"/>
      <c r="DS429" s="106"/>
      <c r="DT429" s="106"/>
      <c r="DU429" s="106"/>
      <c r="DV429" s="106"/>
      <c r="DW429" s="106"/>
      <c r="DX429" s="106"/>
      <c r="DY429" s="106"/>
      <c r="DZ429" s="106"/>
      <c r="EA429" s="106"/>
      <c r="EB429" s="106"/>
      <c r="EC429" s="106"/>
      <c r="ED429" s="106"/>
      <c r="EE429" s="106"/>
      <c r="EF429" s="106"/>
      <c r="EG429" s="106"/>
      <c r="EH429" s="106"/>
      <c r="EI429" s="106"/>
    </row>
    <row r="430" spans="3:139" ht="15.75" customHeight="1" x14ac:dyDescent="0.25"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  <c r="CR430" s="106"/>
      <c r="CS430" s="106"/>
      <c r="CT430" s="106"/>
      <c r="CU430" s="106"/>
      <c r="CV430" s="106"/>
      <c r="CW430" s="106"/>
      <c r="CX430" s="106"/>
      <c r="CY430" s="106"/>
      <c r="CZ430" s="106"/>
      <c r="DA430" s="106"/>
      <c r="DB430" s="106"/>
      <c r="DC430" s="106"/>
      <c r="DD430" s="106"/>
      <c r="DE430" s="106"/>
      <c r="DF430" s="106"/>
      <c r="DG430" s="106"/>
      <c r="DH430" s="106"/>
      <c r="DI430" s="106"/>
      <c r="DJ430" s="106"/>
      <c r="DK430" s="106"/>
      <c r="DL430" s="106"/>
      <c r="DM430" s="106"/>
      <c r="DN430" s="106"/>
      <c r="DO430" s="106"/>
      <c r="DP430" s="106"/>
      <c r="DQ430" s="106"/>
      <c r="DR430" s="106"/>
      <c r="DS430" s="106"/>
      <c r="DT430" s="106"/>
      <c r="DU430" s="106"/>
      <c r="DV430" s="106"/>
      <c r="DW430" s="106"/>
      <c r="DX430" s="106"/>
      <c r="DY430" s="106"/>
      <c r="DZ430" s="106"/>
      <c r="EA430" s="106"/>
      <c r="EB430" s="106"/>
      <c r="EC430" s="106"/>
      <c r="ED430" s="106"/>
      <c r="EE430" s="106"/>
      <c r="EF430" s="106"/>
      <c r="EG430" s="106"/>
      <c r="EH430" s="106"/>
      <c r="EI430" s="106"/>
    </row>
    <row r="431" spans="3:139" ht="15.75" customHeight="1" x14ac:dyDescent="0.25"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  <c r="CR431" s="106"/>
      <c r="CS431" s="106"/>
      <c r="CT431" s="106"/>
      <c r="CU431" s="106"/>
      <c r="CV431" s="106"/>
      <c r="CW431" s="106"/>
      <c r="CX431" s="106"/>
      <c r="CY431" s="106"/>
      <c r="CZ431" s="106"/>
      <c r="DA431" s="106"/>
      <c r="DB431" s="106"/>
      <c r="DC431" s="106"/>
      <c r="DD431" s="106"/>
      <c r="DE431" s="106"/>
      <c r="DF431" s="106"/>
      <c r="DG431" s="106"/>
      <c r="DH431" s="106"/>
      <c r="DI431" s="106"/>
      <c r="DJ431" s="106"/>
      <c r="DK431" s="106"/>
      <c r="DL431" s="106"/>
      <c r="DM431" s="106"/>
      <c r="DN431" s="106"/>
      <c r="DO431" s="106"/>
      <c r="DP431" s="106"/>
      <c r="DQ431" s="106"/>
      <c r="DR431" s="106"/>
      <c r="DS431" s="106"/>
      <c r="DT431" s="106"/>
      <c r="DU431" s="106"/>
      <c r="DV431" s="106"/>
      <c r="DW431" s="106"/>
      <c r="DX431" s="106"/>
      <c r="DY431" s="106"/>
      <c r="DZ431" s="106"/>
      <c r="EA431" s="106"/>
      <c r="EB431" s="106"/>
      <c r="EC431" s="106"/>
      <c r="ED431" s="106"/>
      <c r="EE431" s="106"/>
      <c r="EF431" s="106"/>
      <c r="EG431" s="106"/>
      <c r="EH431" s="106"/>
      <c r="EI431" s="106"/>
    </row>
    <row r="432" spans="3:139" ht="15.75" customHeight="1" x14ac:dyDescent="0.25"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  <c r="CR432" s="106"/>
      <c r="CS432" s="106"/>
      <c r="CT432" s="106"/>
      <c r="CU432" s="106"/>
      <c r="CV432" s="106"/>
      <c r="CW432" s="106"/>
      <c r="CX432" s="106"/>
      <c r="CY432" s="106"/>
      <c r="CZ432" s="106"/>
      <c r="DA432" s="106"/>
      <c r="DB432" s="106"/>
      <c r="DC432" s="106"/>
      <c r="DD432" s="106"/>
      <c r="DE432" s="106"/>
      <c r="DF432" s="106"/>
      <c r="DG432" s="106"/>
      <c r="DH432" s="106"/>
      <c r="DI432" s="106"/>
      <c r="DJ432" s="106"/>
      <c r="DK432" s="106"/>
      <c r="DL432" s="106"/>
      <c r="DM432" s="106"/>
      <c r="DN432" s="106"/>
      <c r="DO432" s="106"/>
      <c r="DP432" s="106"/>
      <c r="DQ432" s="106"/>
      <c r="DR432" s="106"/>
      <c r="DS432" s="106"/>
      <c r="DT432" s="106"/>
      <c r="DU432" s="106"/>
      <c r="DV432" s="106"/>
      <c r="DW432" s="106"/>
      <c r="DX432" s="106"/>
      <c r="DY432" s="106"/>
      <c r="DZ432" s="106"/>
      <c r="EA432" s="106"/>
      <c r="EB432" s="106"/>
      <c r="EC432" s="106"/>
      <c r="ED432" s="106"/>
      <c r="EE432" s="106"/>
      <c r="EF432" s="106"/>
      <c r="EG432" s="106"/>
      <c r="EH432" s="106"/>
      <c r="EI432" s="106"/>
    </row>
    <row r="433" spans="3:139" ht="15.75" customHeight="1" x14ac:dyDescent="0.25"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  <c r="CR433" s="106"/>
      <c r="CS433" s="106"/>
      <c r="CT433" s="106"/>
      <c r="CU433" s="106"/>
      <c r="CV433" s="106"/>
      <c r="CW433" s="106"/>
      <c r="CX433" s="106"/>
      <c r="CY433" s="106"/>
      <c r="CZ433" s="106"/>
      <c r="DA433" s="106"/>
      <c r="DB433" s="106"/>
      <c r="DC433" s="106"/>
      <c r="DD433" s="106"/>
      <c r="DE433" s="106"/>
      <c r="DF433" s="106"/>
      <c r="DG433" s="106"/>
      <c r="DH433" s="106"/>
      <c r="DI433" s="106"/>
      <c r="DJ433" s="106"/>
      <c r="DK433" s="106"/>
      <c r="DL433" s="106"/>
      <c r="DM433" s="106"/>
      <c r="DN433" s="106"/>
      <c r="DO433" s="106"/>
      <c r="DP433" s="106"/>
      <c r="DQ433" s="106"/>
      <c r="DR433" s="106"/>
      <c r="DS433" s="106"/>
      <c r="DT433" s="106"/>
      <c r="DU433" s="106"/>
      <c r="DV433" s="106"/>
      <c r="DW433" s="106"/>
      <c r="DX433" s="106"/>
      <c r="DY433" s="106"/>
      <c r="DZ433" s="106"/>
      <c r="EA433" s="106"/>
      <c r="EB433" s="106"/>
      <c r="EC433" s="106"/>
      <c r="ED433" s="106"/>
      <c r="EE433" s="106"/>
      <c r="EF433" s="106"/>
      <c r="EG433" s="106"/>
      <c r="EH433" s="106"/>
      <c r="EI433" s="106"/>
    </row>
    <row r="434" spans="3:139" ht="15.75" customHeight="1" x14ac:dyDescent="0.25"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  <c r="CR434" s="106"/>
      <c r="CS434" s="106"/>
      <c r="CT434" s="106"/>
      <c r="CU434" s="106"/>
      <c r="CV434" s="106"/>
      <c r="CW434" s="106"/>
      <c r="CX434" s="106"/>
      <c r="CY434" s="106"/>
      <c r="CZ434" s="106"/>
      <c r="DA434" s="106"/>
      <c r="DB434" s="106"/>
      <c r="DC434" s="106"/>
      <c r="DD434" s="106"/>
      <c r="DE434" s="106"/>
      <c r="DF434" s="106"/>
      <c r="DG434" s="106"/>
      <c r="DH434" s="106"/>
      <c r="DI434" s="106"/>
      <c r="DJ434" s="106"/>
      <c r="DK434" s="106"/>
      <c r="DL434" s="106"/>
      <c r="DM434" s="106"/>
      <c r="DN434" s="106"/>
      <c r="DO434" s="106"/>
      <c r="DP434" s="106"/>
      <c r="DQ434" s="106"/>
      <c r="DR434" s="106"/>
      <c r="DS434" s="106"/>
      <c r="DT434" s="106"/>
      <c r="DU434" s="106"/>
      <c r="DV434" s="106"/>
      <c r="DW434" s="106"/>
      <c r="DX434" s="106"/>
      <c r="DY434" s="106"/>
      <c r="DZ434" s="106"/>
      <c r="EA434" s="106"/>
      <c r="EB434" s="106"/>
      <c r="EC434" s="106"/>
      <c r="ED434" s="106"/>
      <c r="EE434" s="106"/>
      <c r="EF434" s="106"/>
      <c r="EG434" s="106"/>
      <c r="EH434" s="106"/>
      <c r="EI434" s="106"/>
    </row>
    <row r="435" spans="3:139" ht="15.75" customHeight="1" x14ac:dyDescent="0.25"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  <c r="CR435" s="106"/>
      <c r="CS435" s="106"/>
      <c r="CT435" s="106"/>
      <c r="CU435" s="106"/>
      <c r="CV435" s="106"/>
      <c r="CW435" s="106"/>
      <c r="CX435" s="106"/>
      <c r="CY435" s="106"/>
      <c r="CZ435" s="106"/>
      <c r="DA435" s="106"/>
      <c r="DB435" s="106"/>
      <c r="DC435" s="106"/>
      <c r="DD435" s="106"/>
      <c r="DE435" s="106"/>
      <c r="DF435" s="106"/>
      <c r="DG435" s="106"/>
      <c r="DH435" s="106"/>
      <c r="DI435" s="106"/>
      <c r="DJ435" s="106"/>
      <c r="DK435" s="106"/>
      <c r="DL435" s="106"/>
      <c r="DM435" s="106"/>
      <c r="DN435" s="106"/>
      <c r="DO435" s="106"/>
      <c r="DP435" s="106"/>
      <c r="DQ435" s="106"/>
      <c r="DR435" s="106"/>
      <c r="DS435" s="106"/>
      <c r="DT435" s="106"/>
      <c r="DU435" s="106"/>
      <c r="DV435" s="106"/>
      <c r="DW435" s="106"/>
      <c r="DX435" s="106"/>
      <c r="DY435" s="106"/>
      <c r="DZ435" s="106"/>
      <c r="EA435" s="106"/>
      <c r="EB435" s="106"/>
      <c r="EC435" s="106"/>
      <c r="ED435" s="106"/>
      <c r="EE435" s="106"/>
      <c r="EF435" s="106"/>
      <c r="EG435" s="106"/>
      <c r="EH435" s="106"/>
      <c r="EI435" s="106"/>
    </row>
    <row r="436" spans="3:139" ht="15.75" customHeight="1" x14ac:dyDescent="0.25"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  <c r="CZ436" s="106"/>
      <c r="DA436" s="106"/>
      <c r="DB436" s="106"/>
      <c r="DC436" s="106"/>
      <c r="DD436" s="106"/>
      <c r="DE436" s="106"/>
      <c r="DF436" s="106"/>
      <c r="DG436" s="106"/>
      <c r="DH436" s="106"/>
      <c r="DI436" s="106"/>
      <c r="DJ436" s="106"/>
      <c r="DK436" s="106"/>
      <c r="DL436" s="106"/>
      <c r="DM436" s="106"/>
      <c r="DN436" s="106"/>
      <c r="DO436" s="106"/>
      <c r="DP436" s="106"/>
      <c r="DQ436" s="106"/>
      <c r="DR436" s="106"/>
      <c r="DS436" s="106"/>
      <c r="DT436" s="106"/>
      <c r="DU436" s="106"/>
      <c r="DV436" s="106"/>
      <c r="DW436" s="106"/>
      <c r="DX436" s="106"/>
      <c r="DY436" s="106"/>
      <c r="DZ436" s="106"/>
      <c r="EA436" s="106"/>
      <c r="EB436" s="106"/>
      <c r="EC436" s="106"/>
      <c r="ED436" s="106"/>
      <c r="EE436" s="106"/>
      <c r="EF436" s="106"/>
      <c r="EG436" s="106"/>
      <c r="EH436" s="106"/>
      <c r="EI436" s="106"/>
    </row>
    <row r="437" spans="3:139" ht="15.75" customHeight="1" x14ac:dyDescent="0.25"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  <c r="CR437" s="106"/>
      <c r="CS437" s="106"/>
      <c r="CT437" s="106"/>
      <c r="CU437" s="106"/>
      <c r="CV437" s="106"/>
      <c r="CW437" s="106"/>
      <c r="CX437" s="106"/>
      <c r="CY437" s="106"/>
      <c r="CZ437" s="106"/>
      <c r="DA437" s="106"/>
      <c r="DB437" s="106"/>
      <c r="DC437" s="106"/>
      <c r="DD437" s="106"/>
      <c r="DE437" s="106"/>
      <c r="DF437" s="106"/>
      <c r="DG437" s="106"/>
      <c r="DH437" s="106"/>
      <c r="DI437" s="106"/>
      <c r="DJ437" s="106"/>
      <c r="DK437" s="106"/>
      <c r="DL437" s="106"/>
      <c r="DM437" s="106"/>
      <c r="DN437" s="106"/>
      <c r="DO437" s="106"/>
      <c r="DP437" s="106"/>
      <c r="DQ437" s="106"/>
      <c r="DR437" s="106"/>
      <c r="DS437" s="106"/>
      <c r="DT437" s="106"/>
      <c r="DU437" s="106"/>
      <c r="DV437" s="106"/>
      <c r="DW437" s="106"/>
      <c r="DX437" s="106"/>
      <c r="DY437" s="106"/>
      <c r="DZ437" s="106"/>
      <c r="EA437" s="106"/>
      <c r="EB437" s="106"/>
      <c r="EC437" s="106"/>
      <c r="ED437" s="106"/>
      <c r="EE437" s="106"/>
      <c r="EF437" s="106"/>
      <c r="EG437" s="106"/>
      <c r="EH437" s="106"/>
      <c r="EI437" s="106"/>
    </row>
    <row r="438" spans="3:139" ht="15.75" customHeight="1" x14ac:dyDescent="0.25"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  <c r="CZ438" s="106"/>
      <c r="DA438" s="106"/>
      <c r="DB438" s="106"/>
      <c r="DC438" s="106"/>
      <c r="DD438" s="106"/>
      <c r="DE438" s="106"/>
      <c r="DF438" s="106"/>
      <c r="DG438" s="106"/>
      <c r="DH438" s="106"/>
      <c r="DI438" s="106"/>
      <c r="DJ438" s="106"/>
      <c r="DK438" s="106"/>
      <c r="DL438" s="106"/>
      <c r="DM438" s="106"/>
      <c r="DN438" s="106"/>
      <c r="DO438" s="106"/>
      <c r="DP438" s="106"/>
      <c r="DQ438" s="106"/>
      <c r="DR438" s="106"/>
      <c r="DS438" s="106"/>
      <c r="DT438" s="106"/>
      <c r="DU438" s="106"/>
      <c r="DV438" s="106"/>
      <c r="DW438" s="106"/>
      <c r="DX438" s="106"/>
      <c r="DY438" s="106"/>
      <c r="DZ438" s="106"/>
      <c r="EA438" s="106"/>
      <c r="EB438" s="106"/>
      <c r="EC438" s="106"/>
      <c r="ED438" s="106"/>
      <c r="EE438" s="106"/>
      <c r="EF438" s="106"/>
      <c r="EG438" s="106"/>
      <c r="EH438" s="106"/>
      <c r="EI438" s="106"/>
    </row>
    <row r="439" spans="3:139" ht="15.75" customHeight="1" x14ac:dyDescent="0.25"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  <c r="CR439" s="106"/>
      <c r="CS439" s="106"/>
      <c r="CT439" s="106"/>
      <c r="CU439" s="106"/>
      <c r="CV439" s="106"/>
      <c r="CW439" s="106"/>
      <c r="CX439" s="106"/>
      <c r="CY439" s="106"/>
      <c r="CZ439" s="106"/>
      <c r="DA439" s="106"/>
      <c r="DB439" s="106"/>
      <c r="DC439" s="106"/>
      <c r="DD439" s="106"/>
      <c r="DE439" s="106"/>
      <c r="DF439" s="106"/>
      <c r="DG439" s="106"/>
      <c r="DH439" s="106"/>
      <c r="DI439" s="106"/>
      <c r="DJ439" s="106"/>
      <c r="DK439" s="106"/>
      <c r="DL439" s="106"/>
      <c r="DM439" s="106"/>
      <c r="DN439" s="106"/>
      <c r="DO439" s="106"/>
      <c r="DP439" s="106"/>
      <c r="DQ439" s="106"/>
      <c r="DR439" s="106"/>
      <c r="DS439" s="106"/>
      <c r="DT439" s="106"/>
      <c r="DU439" s="106"/>
      <c r="DV439" s="106"/>
      <c r="DW439" s="106"/>
      <c r="DX439" s="106"/>
      <c r="DY439" s="106"/>
      <c r="DZ439" s="106"/>
      <c r="EA439" s="106"/>
      <c r="EB439" s="106"/>
      <c r="EC439" s="106"/>
      <c r="ED439" s="106"/>
      <c r="EE439" s="106"/>
      <c r="EF439" s="106"/>
      <c r="EG439" s="106"/>
      <c r="EH439" s="106"/>
      <c r="EI439" s="106"/>
    </row>
    <row r="440" spans="3:139" ht="15.75" customHeight="1" x14ac:dyDescent="0.25"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  <c r="CR440" s="106"/>
      <c r="CS440" s="106"/>
      <c r="CT440" s="106"/>
      <c r="CU440" s="106"/>
      <c r="CV440" s="106"/>
      <c r="CW440" s="106"/>
      <c r="CX440" s="106"/>
      <c r="CY440" s="106"/>
      <c r="CZ440" s="106"/>
      <c r="DA440" s="106"/>
      <c r="DB440" s="106"/>
      <c r="DC440" s="106"/>
      <c r="DD440" s="106"/>
      <c r="DE440" s="106"/>
      <c r="DF440" s="106"/>
      <c r="DG440" s="106"/>
      <c r="DH440" s="106"/>
      <c r="DI440" s="106"/>
      <c r="DJ440" s="106"/>
      <c r="DK440" s="106"/>
      <c r="DL440" s="106"/>
      <c r="DM440" s="106"/>
      <c r="DN440" s="106"/>
      <c r="DO440" s="106"/>
      <c r="DP440" s="106"/>
      <c r="DQ440" s="106"/>
      <c r="DR440" s="106"/>
      <c r="DS440" s="106"/>
      <c r="DT440" s="106"/>
      <c r="DU440" s="106"/>
      <c r="DV440" s="106"/>
      <c r="DW440" s="106"/>
      <c r="DX440" s="106"/>
      <c r="DY440" s="106"/>
      <c r="DZ440" s="106"/>
      <c r="EA440" s="106"/>
      <c r="EB440" s="106"/>
      <c r="EC440" s="106"/>
      <c r="ED440" s="106"/>
      <c r="EE440" s="106"/>
      <c r="EF440" s="106"/>
      <c r="EG440" s="106"/>
      <c r="EH440" s="106"/>
      <c r="EI440" s="106"/>
    </row>
    <row r="441" spans="3:139" ht="15.75" customHeight="1" x14ac:dyDescent="0.25"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  <c r="CR441" s="106"/>
      <c r="CS441" s="106"/>
      <c r="CT441" s="106"/>
      <c r="CU441" s="106"/>
      <c r="CV441" s="106"/>
      <c r="CW441" s="106"/>
      <c r="CX441" s="106"/>
      <c r="CY441" s="106"/>
      <c r="CZ441" s="106"/>
      <c r="DA441" s="106"/>
      <c r="DB441" s="106"/>
      <c r="DC441" s="106"/>
      <c r="DD441" s="106"/>
      <c r="DE441" s="106"/>
      <c r="DF441" s="106"/>
      <c r="DG441" s="106"/>
      <c r="DH441" s="106"/>
      <c r="DI441" s="106"/>
      <c r="DJ441" s="106"/>
      <c r="DK441" s="106"/>
      <c r="DL441" s="106"/>
      <c r="DM441" s="106"/>
      <c r="DN441" s="106"/>
      <c r="DO441" s="106"/>
      <c r="DP441" s="106"/>
      <c r="DQ441" s="106"/>
      <c r="DR441" s="106"/>
      <c r="DS441" s="106"/>
      <c r="DT441" s="106"/>
      <c r="DU441" s="106"/>
      <c r="DV441" s="106"/>
      <c r="DW441" s="106"/>
      <c r="DX441" s="106"/>
      <c r="DY441" s="106"/>
      <c r="DZ441" s="106"/>
      <c r="EA441" s="106"/>
      <c r="EB441" s="106"/>
      <c r="EC441" s="106"/>
      <c r="ED441" s="106"/>
      <c r="EE441" s="106"/>
      <c r="EF441" s="106"/>
      <c r="EG441" s="106"/>
      <c r="EH441" s="106"/>
      <c r="EI441" s="106"/>
    </row>
    <row r="442" spans="3:139" ht="15.75" customHeight="1" x14ac:dyDescent="0.25"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  <c r="CR442" s="106"/>
      <c r="CS442" s="106"/>
      <c r="CT442" s="106"/>
      <c r="CU442" s="106"/>
      <c r="CV442" s="106"/>
      <c r="CW442" s="106"/>
      <c r="CX442" s="106"/>
      <c r="CY442" s="106"/>
      <c r="CZ442" s="106"/>
      <c r="DA442" s="106"/>
      <c r="DB442" s="106"/>
      <c r="DC442" s="106"/>
      <c r="DD442" s="106"/>
      <c r="DE442" s="106"/>
      <c r="DF442" s="106"/>
      <c r="DG442" s="106"/>
      <c r="DH442" s="106"/>
      <c r="DI442" s="106"/>
      <c r="DJ442" s="106"/>
      <c r="DK442" s="106"/>
      <c r="DL442" s="106"/>
      <c r="DM442" s="106"/>
      <c r="DN442" s="106"/>
      <c r="DO442" s="106"/>
      <c r="DP442" s="106"/>
      <c r="DQ442" s="106"/>
      <c r="DR442" s="106"/>
      <c r="DS442" s="106"/>
      <c r="DT442" s="106"/>
      <c r="DU442" s="106"/>
      <c r="DV442" s="106"/>
      <c r="DW442" s="106"/>
      <c r="DX442" s="106"/>
      <c r="DY442" s="106"/>
      <c r="DZ442" s="106"/>
      <c r="EA442" s="106"/>
      <c r="EB442" s="106"/>
      <c r="EC442" s="106"/>
      <c r="ED442" s="106"/>
      <c r="EE442" s="106"/>
      <c r="EF442" s="106"/>
      <c r="EG442" s="106"/>
      <c r="EH442" s="106"/>
      <c r="EI442" s="106"/>
    </row>
    <row r="443" spans="3:139" ht="15.75" customHeight="1" x14ac:dyDescent="0.25"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  <c r="CR443" s="106"/>
      <c r="CS443" s="106"/>
      <c r="CT443" s="106"/>
      <c r="CU443" s="106"/>
      <c r="CV443" s="106"/>
      <c r="CW443" s="106"/>
      <c r="CX443" s="106"/>
      <c r="CY443" s="106"/>
      <c r="CZ443" s="106"/>
      <c r="DA443" s="106"/>
      <c r="DB443" s="106"/>
      <c r="DC443" s="106"/>
      <c r="DD443" s="106"/>
      <c r="DE443" s="106"/>
      <c r="DF443" s="106"/>
      <c r="DG443" s="106"/>
      <c r="DH443" s="106"/>
      <c r="DI443" s="106"/>
      <c r="DJ443" s="106"/>
      <c r="DK443" s="106"/>
      <c r="DL443" s="106"/>
      <c r="DM443" s="106"/>
      <c r="DN443" s="106"/>
      <c r="DO443" s="106"/>
      <c r="DP443" s="106"/>
      <c r="DQ443" s="106"/>
      <c r="DR443" s="106"/>
      <c r="DS443" s="106"/>
      <c r="DT443" s="106"/>
      <c r="DU443" s="106"/>
      <c r="DV443" s="106"/>
      <c r="DW443" s="106"/>
      <c r="DX443" s="106"/>
      <c r="DY443" s="106"/>
      <c r="DZ443" s="106"/>
      <c r="EA443" s="106"/>
      <c r="EB443" s="106"/>
      <c r="EC443" s="106"/>
      <c r="ED443" s="106"/>
      <c r="EE443" s="106"/>
      <c r="EF443" s="106"/>
      <c r="EG443" s="106"/>
      <c r="EH443" s="106"/>
      <c r="EI443" s="106"/>
    </row>
    <row r="444" spans="3:139" ht="15.75" customHeight="1" x14ac:dyDescent="0.25"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  <c r="CZ444" s="106"/>
      <c r="DA444" s="106"/>
      <c r="DB444" s="106"/>
      <c r="DC444" s="106"/>
      <c r="DD444" s="106"/>
      <c r="DE444" s="106"/>
      <c r="DF444" s="106"/>
      <c r="DG444" s="106"/>
      <c r="DH444" s="106"/>
      <c r="DI444" s="106"/>
      <c r="DJ444" s="106"/>
      <c r="DK444" s="106"/>
      <c r="DL444" s="106"/>
      <c r="DM444" s="106"/>
      <c r="DN444" s="106"/>
      <c r="DO444" s="106"/>
      <c r="DP444" s="106"/>
      <c r="DQ444" s="106"/>
      <c r="DR444" s="106"/>
      <c r="DS444" s="106"/>
      <c r="DT444" s="106"/>
      <c r="DU444" s="106"/>
      <c r="DV444" s="106"/>
      <c r="DW444" s="106"/>
      <c r="DX444" s="106"/>
      <c r="DY444" s="106"/>
      <c r="DZ444" s="106"/>
      <c r="EA444" s="106"/>
      <c r="EB444" s="106"/>
      <c r="EC444" s="106"/>
      <c r="ED444" s="106"/>
      <c r="EE444" s="106"/>
      <c r="EF444" s="106"/>
      <c r="EG444" s="106"/>
      <c r="EH444" s="106"/>
      <c r="EI444" s="106"/>
    </row>
    <row r="445" spans="3:139" ht="15.75" customHeight="1" x14ac:dyDescent="0.25"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  <c r="CR445" s="106"/>
      <c r="CS445" s="106"/>
      <c r="CT445" s="106"/>
      <c r="CU445" s="106"/>
      <c r="CV445" s="106"/>
      <c r="CW445" s="106"/>
      <c r="CX445" s="106"/>
      <c r="CY445" s="106"/>
      <c r="CZ445" s="106"/>
      <c r="DA445" s="106"/>
      <c r="DB445" s="106"/>
      <c r="DC445" s="106"/>
      <c r="DD445" s="106"/>
      <c r="DE445" s="106"/>
      <c r="DF445" s="106"/>
      <c r="DG445" s="106"/>
      <c r="DH445" s="106"/>
      <c r="DI445" s="106"/>
      <c r="DJ445" s="106"/>
      <c r="DK445" s="106"/>
      <c r="DL445" s="106"/>
      <c r="DM445" s="106"/>
      <c r="DN445" s="106"/>
      <c r="DO445" s="106"/>
      <c r="DP445" s="106"/>
      <c r="DQ445" s="106"/>
      <c r="DR445" s="106"/>
      <c r="DS445" s="106"/>
      <c r="DT445" s="106"/>
      <c r="DU445" s="106"/>
      <c r="DV445" s="106"/>
      <c r="DW445" s="106"/>
      <c r="DX445" s="106"/>
      <c r="DY445" s="106"/>
      <c r="DZ445" s="106"/>
      <c r="EA445" s="106"/>
      <c r="EB445" s="106"/>
      <c r="EC445" s="106"/>
      <c r="ED445" s="106"/>
      <c r="EE445" s="106"/>
      <c r="EF445" s="106"/>
      <c r="EG445" s="106"/>
      <c r="EH445" s="106"/>
      <c r="EI445" s="106"/>
    </row>
    <row r="446" spans="3:139" ht="15.75" customHeight="1" x14ac:dyDescent="0.25"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  <c r="CR446" s="106"/>
      <c r="CS446" s="106"/>
      <c r="CT446" s="106"/>
      <c r="CU446" s="106"/>
      <c r="CV446" s="106"/>
      <c r="CW446" s="106"/>
      <c r="CX446" s="106"/>
      <c r="CY446" s="106"/>
      <c r="CZ446" s="106"/>
      <c r="DA446" s="106"/>
      <c r="DB446" s="106"/>
      <c r="DC446" s="106"/>
      <c r="DD446" s="106"/>
      <c r="DE446" s="106"/>
      <c r="DF446" s="106"/>
      <c r="DG446" s="106"/>
      <c r="DH446" s="106"/>
      <c r="DI446" s="106"/>
      <c r="DJ446" s="106"/>
      <c r="DK446" s="106"/>
      <c r="DL446" s="106"/>
      <c r="DM446" s="106"/>
      <c r="DN446" s="106"/>
      <c r="DO446" s="106"/>
      <c r="DP446" s="106"/>
      <c r="DQ446" s="106"/>
      <c r="DR446" s="106"/>
      <c r="DS446" s="106"/>
      <c r="DT446" s="106"/>
      <c r="DU446" s="106"/>
      <c r="DV446" s="106"/>
      <c r="DW446" s="106"/>
      <c r="DX446" s="106"/>
      <c r="DY446" s="106"/>
      <c r="DZ446" s="106"/>
      <c r="EA446" s="106"/>
      <c r="EB446" s="106"/>
      <c r="EC446" s="106"/>
      <c r="ED446" s="106"/>
      <c r="EE446" s="106"/>
      <c r="EF446" s="106"/>
      <c r="EG446" s="106"/>
      <c r="EH446" s="106"/>
      <c r="EI446" s="106"/>
    </row>
    <row r="447" spans="3:139" ht="15.75" customHeight="1" x14ac:dyDescent="0.25"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  <c r="CR447" s="106"/>
      <c r="CS447" s="106"/>
      <c r="CT447" s="106"/>
      <c r="CU447" s="106"/>
      <c r="CV447" s="106"/>
      <c r="CW447" s="106"/>
      <c r="CX447" s="106"/>
      <c r="CY447" s="106"/>
      <c r="CZ447" s="106"/>
      <c r="DA447" s="106"/>
      <c r="DB447" s="106"/>
      <c r="DC447" s="106"/>
      <c r="DD447" s="106"/>
      <c r="DE447" s="106"/>
      <c r="DF447" s="106"/>
      <c r="DG447" s="106"/>
      <c r="DH447" s="106"/>
      <c r="DI447" s="106"/>
      <c r="DJ447" s="106"/>
      <c r="DK447" s="106"/>
      <c r="DL447" s="106"/>
      <c r="DM447" s="106"/>
      <c r="DN447" s="106"/>
      <c r="DO447" s="106"/>
      <c r="DP447" s="106"/>
      <c r="DQ447" s="106"/>
      <c r="DR447" s="106"/>
      <c r="DS447" s="106"/>
      <c r="DT447" s="106"/>
      <c r="DU447" s="106"/>
      <c r="DV447" s="106"/>
      <c r="DW447" s="106"/>
      <c r="DX447" s="106"/>
      <c r="DY447" s="106"/>
      <c r="DZ447" s="106"/>
      <c r="EA447" s="106"/>
      <c r="EB447" s="106"/>
      <c r="EC447" s="106"/>
      <c r="ED447" s="106"/>
      <c r="EE447" s="106"/>
      <c r="EF447" s="106"/>
      <c r="EG447" s="106"/>
      <c r="EH447" s="106"/>
      <c r="EI447" s="106"/>
    </row>
    <row r="448" spans="3:139" ht="15.75" customHeight="1" x14ac:dyDescent="0.25"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  <c r="CR448" s="106"/>
      <c r="CS448" s="106"/>
      <c r="CT448" s="106"/>
      <c r="CU448" s="106"/>
      <c r="CV448" s="106"/>
      <c r="CW448" s="106"/>
      <c r="CX448" s="106"/>
      <c r="CY448" s="106"/>
      <c r="CZ448" s="106"/>
      <c r="DA448" s="106"/>
      <c r="DB448" s="106"/>
      <c r="DC448" s="106"/>
      <c r="DD448" s="106"/>
      <c r="DE448" s="106"/>
      <c r="DF448" s="106"/>
      <c r="DG448" s="106"/>
      <c r="DH448" s="106"/>
      <c r="DI448" s="106"/>
      <c r="DJ448" s="106"/>
      <c r="DK448" s="106"/>
      <c r="DL448" s="106"/>
      <c r="DM448" s="106"/>
      <c r="DN448" s="106"/>
      <c r="DO448" s="106"/>
      <c r="DP448" s="106"/>
      <c r="DQ448" s="106"/>
      <c r="DR448" s="106"/>
      <c r="DS448" s="106"/>
      <c r="DT448" s="106"/>
      <c r="DU448" s="106"/>
      <c r="DV448" s="106"/>
      <c r="DW448" s="106"/>
      <c r="DX448" s="106"/>
      <c r="DY448" s="106"/>
      <c r="DZ448" s="106"/>
      <c r="EA448" s="106"/>
      <c r="EB448" s="106"/>
      <c r="EC448" s="106"/>
      <c r="ED448" s="106"/>
      <c r="EE448" s="106"/>
      <c r="EF448" s="106"/>
      <c r="EG448" s="106"/>
      <c r="EH448" s="106"/>
      <c r="EI448" s="106"/>
    </row>
    <row r="449" spans="3:139" ht="15.75" customHeight="1" x14ac:dyDescent="0.25"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  <c r="CR449" s="106"/>
      <c r="CS449" s="106"/>
      <c r="CT449" s="106"/>
      <c r="CU449" s="106"/>
      <c r="CV449" s="106"/>
      <c r="CW449" s="106"/>
      <c r="CX449" s="106"/>
      <c r="CY449" s="106"/>
      <c r="CZ449" s="106"/>
      <c r="DA449" s="106"/>
      <c r="DB449" s="106"/>
      <c r="DC449" s="106"/>
      <c r="DD449" s="106"/>
      <c r="DE449" s="106"/>
      <c r="DF449" s="106"/>
      <c r="DG449" s="106"/>
      <c r="DH449" s="106"/>
      <c r="DI449" s="106"/>
      <c r="DJ449" s="106"/>
      <c r="DK449" s="106"/>
      <c r="DL449" s="106"/>
      <c r="DM449" s="106"/>
      <c r="DN449" s="106"/>
      <c r="DO449" s="106"/>
      <c r="DP449" s="106"/>
      <c r="DQ449" s="106"/>
      <c r="DR449" s="106"/>
      <c r="DS449" s="106"/>
      <c r="DT449" s="106"/>
      <c r="DU449" s="106"/>
      <c r="DV449" s="106"/>
      <c r="DW449" s="106"/>
      <c r="DX449" s="106"/>
      <c r="DY449" s="106"/>
      <c r="DZ449" s="106"/>
      <c r="EA449" s="106"/>
      <c r="EB449" s="106"/>
      <c r="EC449" s="106"/>
      <c r="ED449" s="106"/>
      <c r="EE449" s="106"/>
      <c r="EF449" s="106"/>
      <c r="EG449" s="106"/>
      <c r="EH449" s="106"/>
      <c r="EI449" s="106"/>
    </row>
    <row r="450" spans="3:139" ht="15.75" customHeight="1" x14ac:dyDescent="0.25"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  <c r="CR450" s="106"/>
      <c r="CS450" s="106"/>
      <c r="CT450" s="106"/>
      <c r="CU450" s="106"/>
      <c r="CV450" s="106"/>
      <c r="CW450" s="106"/>
      <c r="CX450" s="106"/>
      <c r="CY450" s="106"/>
      <c r="CZ450" s="106"/>
      <c r="DA450" s="106"/>
      <c r="DB450" s="106"/>
      <c r="DC450" s="106"/>
      <c r="DD450" s="106"/>
      <c r="DE450" s="106"/>
      <c r="DF450" s="106"/>
      <c r="DG450" s="106"/>
      <c r="DH450" s="106"/>
      <c r="DI450" s="106"/>
      <c r="DJ450" s="106"/>
      <c r="DK450" s="106"/>
      <c r="DL450" s="106"/>
      <c r="DM450" s="106"/>
      <c r="DN450" s="106"/>
      <c r="DO450" s="106"/>
      <c r="DP450" s="106"/>
      <c r="DQ450" s="106"/>
      <c r="DR450" s="106"/>
      <c r="DS450" s="106"/>
      <c r="DT450" s="106"/>
      <c r="DU450" s="106"/>
      <c r="DV450" s="106"/>
      <c r="DW450" s="106"/>
      <c r="DX450" s="106"/>
      <c r="DY450" s="106"/>
      <c r="DZ450" s="106"/>
      <c r="EA450" s="106"/>
      <c r="EB450" s="106"/>
      <c r="EC450" s="106"/>
      <c r="ED450" s="106"/>
      <c r="EE450" s="106"/>
      <c r="EF450" s="106"/>
      <c r="EG450" s="106"/>
      <c r="EH450" s="106"/>
      <c r="EI450" s="106"/>
    </row>
    <row r="451" spans="3:139" ht="15.75" customHeight="1" x14ac:dyDescent="0.25"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  <c r="CR451" s="106"/>
      <c r="CS451" s="106"/>
      <c r="CT451" s="106"/>
      <c r="CU451" s="106"/>
      <c r="CV451" s="106"/>
      <c r="CW451" s="106"/>
      <c r="CX451" s="106"/>
      <c r="CY451" s="106"/>
      <c r="CZ451" s="106"/>
      <c r="DA451" s="106"/>
      <c r="DB451" s="106"/>
      <c r="DC451" s="106"/>
      <c r="DD451" s="106"/>
      <c r="DE451" s="106"/>
      <c r="DF451" s="106"/>
      <c r="DG451" s="106"/>
      <c r="DH451" s="106"/>
      <c r="DI451" s="106"/>
      <c r="DJ451" s="106"/>
      <c r="DK451" s="106"/>
      <c r="DL451" s="106"/>
      <c r="DM451" s="106"/>
      <c r="DN451" s="106"/>
      <c r="DO451" s="106"/>
      <c r="DP451" s="106"/>
      <c r="DQ451" s="106"/>
      <c r="DR451" s="106"/>
      <c r="DS451" s="106"/>
      <c r="DT451" s="106"/>
      <c r="DU451" s="106"/>
      <c r="DV451" s="106"/>
      <c r="DW451" s="106"/>
      <c r="DX451" s="106"/>
      <c r="DY451" s="106"/>
      <c r="DZ451" s="106"/>
      <c r="EA451" s="106"/>
      <c r="EB451" s="106"/>
      <c r="EC451" s="106"/>
      <c r="ED451" s="106"/>
      <c r="EE451" s="106"/>
      <c r="EF451" s="106"/>
      <c r="EG451" s="106"/>
      <c r="EH451" s="106"/>
      <c r="EI451" s="106"/>
    </row>
    <row r="452" spans="3:139" ht="15.75" customHeight="1" x14ac:dyDescent="0.25"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  <c r="CR452" s="106"/>
      <c r="CS452" s="106"/>
      <c r="CT452" s="106"/>
      <c r="CU452" s="106"/>
      <c r="CV452" s="106"/>
      <c r="CW452" s="106"/>
      <c r="CX452" s="106"/>
      <c r="CY452" s="106"/>
      <c r="CZ452" s="106"/>
      <c r="DA452" s="106"/>
      <c r="DB452" s="106"/>
      <c r="DC452" s="106"/>
      <c r="DD452" s="106"/>
      <c r="DE452" s="106"/>
      <c r="DF452" s="106"/>
      <c r="DG452" s="106"/>
      <c r="DH452" s="106"/>
      <c r="DI452" s="106"/>
      <c r="DJ452" s="106"/>
      <c r="DK452" s="106"/>
      <c r="DL452" s="106"/>
      <c r="DM452" s="106"/>
      <c r="DN452" s="106"/>
      <c r="DO452" s="106"/>
      <c r="DP452" s="106"/>
      <c r="DQ452" s="106"/>
      <c r="DR452" s="106"/>
      <c r="DS452" s="106"/>
      <c r="DT452" s="106"/>
      <c r="DU452" s="106"/>
      <c r="DV452" s="106"/>
      <c r="DW452" s="106"/>
      <c r="DX452" s="106"/>
      <c r="DY452" s="106"/>
      <c r="DZ452" s="106"/>
      <c r="EA452" s="106"/>
      <c r="EB452" s="106"/>
      <c r="EC452" s="106"/>
      <c r="ED452" s="106"/>
      <c r="EE452" s="106"/>
      <c r="EF452" s="106"/>
      <c r="EG452" s="106"/>
      <c r="EH452" s="106"/>
      <c r="EI452" s="106"/>
    </row>
    <row r="453" spans="3:139" ht="15.75" customHeight="1" x14ac:dyDescent="0.25"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  <c r="CR453" s="106"/>
      <c r="CS453" s="106"/>
      <c r="CT453" s="106"/>
      <c r="CU453" s="106"/>
      <c r="CV453" s="106"/>
      <c r="CW453" s="106"/>
      <c r="CX453" s="106"/>
      <c r="CY453" s="106"/>
      <c r="CZ453" s="106"/>
      <c r="DA453" s="106"/>
      <c r="DB453" s="106"/>
      <c r="DC453" s="106"/>
      <c r="DD453" s="106"/>
      <c r="DE453" s="106"/>
      <c r="DF453" s="106"/>
      <c r="DG453" s="106"/>
      <c r="DH453" s="106"/>
      <c r="DI453" s="106"/>
      <c r="DJ453" s="106"/>
      <c r="DK453" s="106"/>
      <c r="DL453" s="106"/>
      <c r="DM453" s="106"/>
      <c r="DN453" s="106"/>
      <c r="DO453" s="106"/>
      <c r="DP453" s="106"/>
      <c r="DQ453" s="106"/>
      <c r="DR453" s="106"/>
      <c r="DS453" s="106"/>
      <c r="DT453" s="106"/>
      <c r="DU453" s="106"/>
      <c r="DV453" s="106"/>
      <c r="DW453" s="106"/>
      <c r="DX453" s="106"/>
      <c r="DY453" s="106"/>
      <c r="DZ453" s="106"/>
      <c r="EA453" s="106"/>
      <c r="EB453" s="106"/>
      <c r="EC453" s="106"/>
      <c r="ED453" s="106"/>
      <c r="EE453" s="106"/>
      <c r="EF453" s="106"/>
      <c r="EG453" s="106"/>
      <c r="EH453" s="106"/>
      <c r="EI453" s="106"/>
    </row>
    <row r="454" spans="3:139" ht="15.75" customHeight="1" x14ac:dyDescent="0.25"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  <c r="CR454" s="106"/>
      <c r="CS454" s="106"/>
      <c r="CT454" s="106"/>
      <c r="CU454" s="106"/>
      <c r="CV454" s="106"/>
      <c r="CW454" s="106"/>
      <c r="CX454" s="106"/>
      <c r="CY454" s="106"/>
      <c r="CZ454" s="106"/>
      <c r="DA454" s="106"/>
      <c r="DB454" s="106"/>
      <c r="DC454" s="106"/>
      <c r="DD454" s="106"/>
      <c r="DE454" s="106"/>
      <c r="DF454" s="106"/>
      <c r="DG454" s="106"/>
      <c r="DH454" s="106"/>
      <c r="DI454" s="106"/>
      <c r="DJ454" s="106"/>
      <c r="DK454" s="106"/>
      <c r="DL454" s="106"/>
      <c r="DM454" s="106"/>
      <c r="DN454" s="106"/>
      <c r="DO454" s="106"/>
      <c r="DP454" s="106"/>
      <c r="DQ454" s="106"/>
      <c r="DR454" s="106"/>
      <c r="DS454" s="106"/>
      <c r="DT454" s="106"/>
      <c r="DU454" s="106"/>
      <c r="DV454" s="106"/>
      <c r="DW454" s="106"/>
      <c r="DX454" s="106"/>
      <c r="DY454" s="106"/>
      <c r="DZ454" s="106"/>
      <c r="EA454" s="106"/>
      <c r="EB454" s="106"/>
      <c r="EC454" s="106"/>
      <c r="ED454" s="106"/>
      <c r="EE454" s="106"/>
      <c r="EF454" s="106"/>
      <c r="EG454" s="106"/>
      <c r="EH454" s="106"/>
      <c r="EI454" s="106"/>
    </row>
    <row r="455" spans="3:139" ht="15.75" customHeight="1" x14ac:dyDescent="0.25"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  <c r="CR455" s="106"/>
      <c r="CS455" s="106"/>
      <c r="CT455" s="106"/>
      <c r="CU455" s="106"/>
      <c r="CV455" s="106"/>
      <c r="CW455" s="106"/>
      <c r="CX455" s="106"/>
      <c r="CY455" s="106"/>
      <c r="CZ455" s="106"/>
      <c r="DA455" s="106"/>
      <c r="DB455" s="106"/>
      <c r="DC455" s="106"/>
      <c r="DD455" s="106"/>
      <c r="DE455" s="106"/>
      <c r="DF455" s="106"/>
      <c r="DG455" s="106"/>
      <c r="DH455" s="106"/>
      <c r="DI455" s="106"/>
      <c r="DJ455" s="106"/>
      <c r="DK455" s="106"/>
      <c r="DL455" s="106"/>
      <c r="DM455" s="106"/>
      <c r="DN455" s="106"/>
      <c r="DO455" s="106"/>
      <c r="DP455" s="106"/>
      <c r="DQ455" s="106"/>
      <c r="DR455" s="106"/>
      <c r="DS455" s="106"/>
      <c r="DT455" s="106"/>
      <c r="DU455" s="106"/>
      <c r="DV455" s="106"/>
      <c r="DW455" s="106"/>
      <c r="DX455" s="106"/>
      <c r="DY455" s="106"/>
      <c r="DZ455" s="106"/>
      <c r="EA455" s="106"/>
      <c r="EB455" s="106"/>
      <c r="EC455" s="106"/>
      <c r="ED455" s="106"/>
      <c r="EE455" s="106"/>
      <c r="EF455" s="106"/>
      <c r="EG455" s="106"/>
      <c r="EH455" s="106"/>
      <c r="EI455" s="106"/>
    </row>
    <row r="456" spans="3:139" ht="15.75" customHeight="1" x14ac:dyDescent="0.25"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  <c r="CR456" s="106"/>
      <c r="CS456" s="106"/>
      <c r="CT456" s="106"/>
      <c r="CU456" s="106"/>
      <c r="CV456" s="106"/>
      <c r="CW456" s="106"/>
      <c r="CX456" s="106"/>
      <c r="CY456" s="106"/>
      <c r="CZ456" s="106"/>
      <c r="DA456" s="106"/>
      <c r="DB456" s="106"/>
      <c r="DC456" s="106"/>
      <c r="DD456" s="106"/>
      <c r="DE456" s="106"/>
      <c r="DF456" s="106"/>
      <c r="DG456" s="106"/>
      <c r="DH456" s="106"/>
      <c r="DI456" s="106"/>
      <c r="DJ456" s="106"/>
      <c r="DK456" s="106"/>
      <c r="DL456" s="106"/>
      <c r="DM456" s="106"/>
      <c r="DN456" s="106"/>
      <c r="DO456" s="106"/>
      <c r="DP456" s="106"/>
      <c r="DQ456" s="106"/>
      <c r="DR456" s="106"/>
      <c r="DS456" s="106"/>
      <c r="DT456" s="106"/>
      <c r="DU456" s="106"/>
      <c r="DV456" s="106"/>
      <c r="DW456" s="106"/>
      <c r="DX456" s="106"/>
      <c r="DY456" s="106"/>
      <c r="DZ456" s="106"/>
      <c r="EA456" s="106"/>
      <c r="EB456" s="106"/>
      <c r="EC456" s="106"/>
      <c r="ED456" s="106"/>
      <c r="EE456" s="106"/>
      <c r="EF456" s="106"/>
      <c r="EG456" s="106"/>
      <c r="EH456" s="106"/>
      <c r="EI456" s="106"/>
    </row>
    <row r="457" spans="3:139" ht="15.75" customHeight="1" x14ac:dyDescent="0.25"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  <c r="CR457" s="106"/>
      <c r="CS457" s="106"/>
      <c r="CT457" s="106"/>
      <c r="CU457" s="106"/>
      <c r="CV457" s="106"/>
      <c r="CW457" s="106"/>
      <c r="CX457" s="106"/>
      <c r="CY457" s="106"/>
      <c r="CZ457" s="106"/>
      <c r="DA457" s="106"/>
      <c r="DB457" s="106"/>
      <c r="DC457" s="106"/>
      <c r="DD457" s="106"/>
      <c r="DE457" s="106"/>
      <c r="DF457" s="106"/>
      <c r="DG457" s="106"/>
      <c r="DH457" s="106"/>
      <c r="DI457" s="106"/>
      <c r="DJ457" s="106"/>
      <c r="DK457" s="106"/>
      <c r="DL457" s="106"/>
      <c r="DM457" s="106"/>
      <c r="DN457" s="106"/>
      <c r="DO457" s="106"/>
      <c r="DP457" s="106"/>
      <c r="DQ457" s="106"/>
      <c r="DR457" s="106"/>
      <c r="DS457" s="106"/>
      <c r="DT457" s="106"/>
      <c r="DU457" s="106"/>
      <c r="DV457" s="106"/>
      <c r="DW457" s="106"/>
      <c r="DX457" s="106"/>
      <c r="DY457" s="106"/>
      <c r="DZ457" s="106"/>
      <c r="EA457" s="106"/>
      <c r="EB457" s="106"/>
      <c r="EC457" s="106"/>
      <c r="ED457" s="106"/>
      <c r="EE457" s="106"/>
      <c r="EF457" s="106"/>
      <c r="EG457" s="106"/>
      <c r="EH457" s="106"/>
      <c r="EI457" s="106"/>
    </row>
    <row r="458" spans="3:139" ht="15.75" customHeight="1" x14ac:dyDescent="0.25"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  <c r="CR458" s="106"/>
      <c r="CS458" s="106"/>
      <c r="CT458" s="106"/>
      <c r="CU458" s="106"/>
      <c r="CV458" s="106"/>
      <c r="CW458" s="106"/>
      <c r="CX458" s="106"/>
      <c r="CY458" s="106"/>
      <c r="CZ458" s="106"/>
      <c r="DA458" s="106"/>
      <c r="DB458" s="106"/>
      <c r="DC458" s="106"/>
      <c r="DD458" s="106"/>
      <c r="DE458" s="106"/>
      <c r="DF458" s="106"/>
      <c r="DG458" s="106"/>
      <c r="DH458" s="106"/>
      <c r="DI458" s="106"/>
      <c r="DJ458" s="106"/>
      <c r="DK458" s="106"/>
      <c r="DL458" s="106"/>
      <c r="DM458" s="106"/>
      <c r="DN458" s="106"/>
      <c r="DO458" s="106"/>
      <c r="DP458" s="106"/>
      <c r="DQ458" s="106"/>
      <c r="DR458" s="106"/>
      <c r="DS458" s="106"/>
      <c r="DT458" s="106"/>
      <c r="DU458" s="106"/>
      <c r="DV458" s="106"/>
      <c r="DW458" s="106"/>
      <c r="DX458" s="106"/>
      <c r="DY458" s="106"/>
      <c r="DZ458" s="106"/>
      <c r="EA458" s="106"/>
      <c r="EB458" s="106"/>
      <c r="EC458" s="106"/>
      <c r="ED458" s="106"/>
      <c r="EE458" s="106"/>
      <c r="EF458" s="106"/>
      <c r="EG458" s="106"/>
      <c r="EH458" s="106"/>
      <c r="EI458" s="106"/>
    </row>
    <row r="459" spans="3:139" ht="15.75" customHeight="1" x14ac:dyDescent="0.25"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  <c r="CR459" s="106"/>
      <c r="CS459" s="106"/>
      <c r="CT459" s="106"/>
      <c r="CU459" s="106"/>
      <c r="CV459" s="106"/>
      <c r="CW459" s="106"/>
      <c r="CX459" s="106"/>
      <c r="CY459" s="106"/>
      <c r="CZ459" s="106"/>
      <c r="DA459" s="106"/>
      <c r="DB459" s="106"/>
      <c r="DC459" s="106"/>
      <c r="DD459" s="106"/>
      <c r="DE459" s="106"/>
      <c r="DF459" s="106"/>
      <c r="DG459" s="106"/>
      <c r="DH459" s="106"/>
      <c r="DI459" s="106"/>
      <c r="DJ459" s="106"/>
      <c r="DK459" s="106"/>
      <c r="DL459" s="106"/>
      <c r="DM459" s="106"/>
      <c r="DN459" s="106"/>
      <c r="DO459" s="106"/>
      <c r="DP459" s="106"/>
      <c r="DQ459" s="106"/>
      <c r="DR459" s="106"/>
      <c r="DS459" s="106"/>
      <c r="DT459" s="106"/>
      <c r="DU459" s="106"/>
      <c r="DV459" s="106"/>
      <c r="DW459" s="106"/>
      <c r="DX459" s="106"/>
      <c r="DY459" s="106"/>
      <c r="DZ459" s="106"/>
      <c r="EA459" s="106"/>
      <c r="EB459" s="106"/>
      <c r="EC459" s="106"/>
      <c r="ED459" s="106"/>
      <c r="EE459" s="106"/>
      <c r="EF459" s="106"/>
      <c r="EG459" s="106"/>
      <c r="EH459" s="106"/>
      <c r="EI459" s="106"/>
    </row>
    <row r="460" spans="3:139" ht="15.75" customHeight="1" x14ac:dyDescent="0.25"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  <c r="CR460" s="106"/>
      <c r="CS460" s="106"/>
      <c r="CT460" s="106"/>
      <c r="CU460" s="106"/>
      <c r="CV460" s="106"/>
      <c r="CW460" s="106"/>
      <c r="CX460" s="106"/>
      <c r="CY460" s="106"/>
      <c r="CZ460" s="106"/>
      <c r="DA460" s="106"/>
      <c r="DB460" s="106"/>
      <c r="DC460" s="106"/>
      <c r="DD460" s="106"/>
      <c r="DE460" s="106"/>
      <c r="DF460" s="106"/>
      <c r="DG460" s="106"/>
      <c r="DH460" s="106"/>
      <c r="DI460" s="106"/>
      <c r="DJ460" s="106"/>
      <c r="DK460" s="106"/>
      <c r="DL460" s="106"/>
      <c r="DM460" s="106"/>
      <c r="DN460" s="106"/>
      <c r="DO460" s="106"/>
      <c r="DP460" s="106"/>
      <c r="DQ460" s="106"/>
      <c r="DR460" s="106"/>
      <c r="DS460" s="106"/>
      <c r="DT460" s="106"/>
      <c r="DU460" s="106"/>
      <c r="DV460" s="106"/>
      <c r="DW460" s="106"/>
      <c r="DX460" s="106"/>
      <c r="DY460" s="106"/>
      <c r="DZ460" s="106"/>
      <c r="EA460" s="106"/>
      <c r="EB460" s="106"/>
      <c r="EC460" s="106"/>
      <c r="ED460" s="106"/>
      <c r="EE460" s="106"/>
      <c r="EF460" s="106"/>
      <c r="EG460" s="106"/>
      <c r="EH460" s="106"/>
      <c r="EI460" s="106"/>
    </row>
    <row r="461" spans="3:139" ht="15.75" customHeight="1" x14ac:dyDescent="0.25"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  <c r="CR461" s="106"/>
      <c r="CS461" s="106"/>
      <c r="CT461" s="106"/>
      <c r="CU461" s="106"/>
      <c r="CV461" s="106"/>
      <c r="CW461" s="106"/>
      <c r="CX461" s="106"/>
      <c r="CY461" s="106"/>
      <c r="CZ461" s="106"/>
      <c r="DA461" s="106"/>
      <c r="DB461" s="106"/>
      <c r="DC461" s="106"/>
      <c r="DD461" s="106"/>
      <c r="DE461" s="106"/>
      <c r="DF461" s="106"/>
      <c r="DG461" s="106"/>
      <c r="DH461" s="106"/>
      <c r="DI461" s="106"/>
      <c r="DJ461" s="106"/>
      <c r="DK461" s="106"/>
      <c r="DL461" s="106"/>
      <c r="DM461" s="106"/>
      <c r="DN461" s="106"/>
      <c r="DO461" s="106"/>
      <c r="DP461" s="106"/>
      <c r="DQ461" s="106"/>
      <c r="DR461" s="106"/>
      <c r="DS461" s="106"/>
      <c r="DT461" s="106"/>
      <c r="DU461" s="106"/>
      <c r="DV461" s="106"/>
      <c r="DW461" s="106"/>
      <c r="DX461" s="106"/>
      <c r="DY461" s="106"/>
      <c r="DZ461" s="106"/>
      <c r="EA461" s="106"/>
      <c r="EB461" s="106"/>
      <c r="EC461" s="106"/>
      <c r="ED461" s="106"/>
      <c r="EE461" s="106"/>
      <c r="EF461" s="106"/>
      <c r="EG461" s="106"/>
      <c r="EH461" s="106"/>
      <c r="EI461" s="106"/>
    </row>
    <row r="462" spans="3:139" ht="15.75" customHeight="1" x14ac:dyDescent="0.25"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  <c r="CZ462" s="106"/>
      <c r="DA462" s="106"/>
      <c r="DB462" s="106"/>
      <c r="DC462" s="106"/>
      <c r="DD462" s="106"/>
      <c r="DE462" s="106"/>
      <c r="DF462" s="106"/>
      <c r="DG462" s="106"/>
      <c r="DH462" s="106"/>
      <c r="DI462" s="106"/>
      <c r="DJ462" s="106"/>
      <c r="DK462" s="106"/>
      <c r="DL462" s="106"/>
      <c r="DM462" s="106"/>
      <c r="DN462" s="106"/>
      <c r="DO462" s="106"/>
      <c r="DP462" s="106"/>
      <c r="DQ462" s="106"/>
      <c r="DR462" s="106"/>
      <c r="DS462" s="106"/>
      <c r="DT462" s="106"/>
      <c r="DU462" s="106"/>
      <c r="DV462" s="106"/>
      <c r="DW462" s="106"/>
      <c r="DX462" s="106"/>
      <c r="DY462" s="106"/>
      <c r="DZ462" s="106"/>
      <c r="EA462" s="106"/>
      <c r="EB462" s="106"/>
      <c r="EC462" s="106"/>
      <c r="ED462" s="106"/>
      <c r="EE462" s="106"/>
      <c r="EF462" s="106"/>
      <c r="EG462" s="106"/>
      <c r="EH462" s="106"/>
      <c r="EI462" s="106"/>
    </row>
    <row r="463" spans="3:139" ht="15.75" customHeight="1" x14ac:dyDescent="0.25"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  <c r="CR463" s="106"/>
      <c r="CS463" s="106"/>
      <c r="CT463" s="106"/>
      <c r="CU463" s="106"/>
      <c r="CV463" s="106"/>
      <c r="CW463" s="106"/>
      <c r="CX463" s="106"/>
      <c r="CY463" s="106"/>
      <c r="CZ463" s="106"/>
      <c r="DA463" s="106"/>
      <c r="DB463" s="106"/>
      <c r="DC463" s="106"/>
      <c r="DD463" s="106"/>
      <c r="DE463" s="106"/>
      <c r="DF463" s="106"/>
      <c r="DG463" s="106"/>
      <c r="DH463" s="106"/>
      <c r="DI463" s="106"/>
      <c r="DJ463" s="106"/>
      <c r="DK463" s="106"/>
      <c r="DL463" s="106"/>
      <c r="DM463" s="106"/>
      <c r="DN463" s="106"/>
      <c r="DO463" s="106"/>
      <c r="DP463" s="106"/>
      <c r="DQ463" s="106"/>
      <c r="DR463" s="106"/>
      <c r="DS463" s="106"/>
      <c r="DT463" s="106"/>
      <c r="DU463" s="106"/>
      <c r="DV463" s="106"/>
      <c r="DW463" s="106"/>
      <c r="DX463" s="106"/>
      <c r="DY463" s="106"/>
      <c r="DZ463" s="106"/>
      <c r="EA463" s="106"/>
      <c r="EB463" s="106"/>
      <c r="EC463" s="106"/>
      <c r="ED463" s="106"/>
      <c r="EE463" s="106"/>
      <c r="EF463" s="106"/>
      <c r="EG463" s="106"/>
      <c r="EH463" s="106"/>
      <c r="EI463" s="106"/>
    </row>
    <row r="464" spans="3:139" ht="15.75" customHeight="1" x14ac:dyDescent="0.25"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  <c r="CR464" s="106"/>
      <c r="CS464" s="106"/>
      <c r="CT464" s="106"/>
      <c r="CU464" s="106"/>
      <c r="CV464" s="106"/>
      <c r="CW464" s="106"/>
      <c r="CX464" s="106"/>
      <c r="CY464" s="106"/>
      <c r="CZ464" s="106"/>
      <c r="DA464" s="106"/>
      <c r="DB464" s="106"/>
      <c r="DC464" s="106"/>
      <c r="DD464" s="106"/>
      <c r="DE464" s="106"/>
      <c r="DF464" s="106"/>
      <c r="DG464" s="106"/>
      <c r="DH464" s="106"/>
      <c r="DI464" s="106"/>
      <c r="DJ464" s="106"/>
      <c r="DK464" s="106"/>
      <c r="DL464" s="106"/>
      <c r="DM464" s="106"/>
      <c r="DN464" s="106"/>
      <c r="DO464" s="106"/>
      <c r="DP464" s="106"/>
      <c r="DQ464" s="106"/>
      <c r="DR464" s="106"/>
      <c r="DS464" s="106"/>
      <c r="DT464" s="106"/>
      <c r="DU464" s="106"/>
      <c r="DV464" s="106"/>
      <c r="DW464" s="106"/>
      <c r="DX464" s="106"/>
      <c r="DY464" s="106"/>
      <c r="DZ464" s="106"/>
      <c r="EA464" s="106"/>
      <c r="EB464" s="106"/>
      <c r="EC464" s="106"/>
      <c r="ED464" s="106"/>
      <c r="EE464" s="106"/>
      <c r="EF464" s="106"/>
      <c r="EG464" s="106"/>
      <c r="EH464" s="106"/>
      <c r="EI464" s="106"/>
    </row>
    <row r="465" spans="3:139" ht="15.75" customHeight="1" x14ac:dyDescent="0.25"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  <c r="CR465" s="106"/>
      <c r="CS465" s="106"/>
      <c r="CT465" s="106"/>
      <c r="CU465" s="106"/>
      <c r="CV465" s="106"/>
      <c r="CW465" s="106"/>
      <c r="CX465" s="106"/>
      <c r="CY465" s="106"/>
      <c r="CZ465" s="106"/>
      <c r="DA465" s="106"/>
      <c r="DB465" s="106"/>
      <c r="DC465" s="106"/>
      <c r="DD465" s="106"/>
      <c r="DE465" s="106"/>
      <c r="DF465" s="106"/>
      <c r="DG465" s="106"/>
      <c r="DH465" s="106"/>
      <c r="DI465" s="106"/>
      <c r="DJ465" s="106"/>
      <c r="DK465" s="106"/>
      <c r="DL465" s="106"/>
      <c r="DM465" s="106"/>
      <c r="DN465" s="106"/>
      <c r="DO465" s="106"/>
      <c r="DP465" s="106"/>
      <c r="DQ465" s="106"/>
      <c r="DR465" s="106"/>
      <c r="DS465" s="106"/>
      <c r="DT465" s="106"/>
      <c r="DU465" s="106"/>
      <c r="DV465" s="106"/>
      <c r="DW465" s="106"/>
      <c r="DX465" s="106"/>
      <c r="DY465" s="106"/>
      <c r="DZ465" s="106"/>
      <c r="EA465" s="106"/>
      <c r="EB465" s="106"/>
      <c r="EC465" s="106"/>
      <c r="ED465" s="106"/>
      <c r="EE465" s="106"/>
      <c r="EF465" s="106"/>
      <c r="EG465" s="106"/>
      <c r="EH465" s="106"/>
      <c r="EI465" s="106"/>
    </row>
    <row r="466" spans="3:139" ht="15.75" customHeight="1" x14ac:dyDescent="0.25"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  <c r="CR466" s="106"/>
      <c r="CS466" s="106"/>
      <c r="CT466" s="106"/>
      <c r="CU466" s="106"/>
      <c r="CV466" s="106"/>
      <c r="CW466" s="106"/>
      <c r="CX466" s="106"/>
      <c r="CY466" s="106"/>
      <c r="CZ466" s="106"/>
      <c r="DA466" s="106"/>
      <c r="DB466" s="106"/>
      <c r="DC466" s="106"/>
      <c r="DD466" s="106"/>
      <c r="DE466" s="106"/>
      <c r="DF466" s="106"/>
      <c r="DG466" s="106"/>
      <c r="DH466" s="106"/>
      <c r="DI466" s="106"/>
      <c r="DJ466" s="106"/>
      <c r="DK466" s="106"/>
      <c r="DL466" s="106"/>
      <c r="DM466" s="106"/>
      <c r="DN466" s="106"/>
      <c r="DO466" s="106"/>
      <c r="DP466" s="106"/>
      <c r="DQ466" s="106"/>
      <c r="DR466" s="106"/>
      <c r="DS466" s="106"/>
      <c r="DT466" s="106"/>
      <c r="DU466" s="106"/>
      <c r="DV466" s="106"/>
      <c r="DW466" s="106"/>
      <c r="DX466" s="106"/>
      <c r="DY466" s="106"/>
      <c r="DZ466" s="106"/>
      <c r="EA466" s="106"/>
      <c r="EB466" s="106"/>
      <c r="EC466" s="106"/>
      <c r="ED466" s="106"/>
      <c r="EE466" s="106"/>
      <c r="EF466" s="106"/>
      <c r="EG466" s="106"/>
      <c r="EH466" s="106"/>
      <c r="EI466" s="106"/>
    </row>
    <row r="467" spans="3:139" ht="15.75" customHeight="1" x14ac:dyDescent="0.25"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  <c r="CR467" s="106"/>
      <c r="CS467" s="106"/>
      <c r="CT467" s="106"/>
      <c r="CU467" s="106"/>
      <c r="CV467" s="106"/>
      <c r="CW467" s="106"/>
      <c r="CX467" s="106"/>
      <c r="CY467" s="106"/>
      <c r="CZ467" s="106"/>
      <c r="DA467" s="106"/>
      <c r="DB467" s="106"/>
      <c r="DC467" s="106"/>
      <c r="DD467" s="106"/>
      <c r="DE467" s="106"/>
      <c r="DF467" s="106"/>
      <c r="DG467" s="106"/>
      <c r="DH467" s="106"/>
      <c r="DI467" s="106"/>
      <c r="DJ467" s="106"/>
      <c r="DK467" s="106"/>
      <c r="DL467" s="106"/>
      <c r="DM467" s="106"/>
      <c r="DN467" s="106"/>
      <c r="DO467" s="106"/>
      <c r="DP467" s="106"/>
      <c r="DQ467" s="106"/>
      <c r="DR467" s="106"/>
      <c r="DS467" s="106"/>
      <c r="DT467" s="106"/>
      <c r="DU467" s="106"/>
      <c r="DV467" s="106"/>
      <c r="DW467" s="106"/>
      <c r="DX467" s="106"/>
      <c r="DY467" s="106"/>
      <c r="DZ467" s="106"/>
      <c r="EA467" s="106"/>
      <c r="EB467" s="106"/>
      <c r="EC467" s="106"/>
      <c r="ED467" s="106"/>
      <c r="EE467" s="106"/>
      <c r="EF467" s="106"/>
      <c r="EG467" s="106"/>
      <c r="EH467" s="106"/>
      <c r="EI467" s="106"/>
    </row>
    <row r="468" spans="3:139" ht="15.75" customHeight="1" x14ac:dyDescent="0.25"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  <c r="CR468" s="106"/>
      <c r="CS468" s="106"/>
      <c r="CT468" s="106"/>
      <c r="CU468" s="106"/>
      <c r="CV468" s="106"/>
      <c r="CW468" s="106"/>
      <c r="CX468" s="106"/>
      <c r="CY468" s="106"/>
      <c r="CZ468" s="106"/>
      <c r="DA468" s="106"/>
      <c r="DB468" s="106"/>
      <c r="DC468" s="106"/>
      <c r="DD468" s="106"/>
      <c r="DE468" s="106"/>
      <c r="DF468" s="106"/>
      <c r="DG468" s="106"/>
      <c r="DH468" s="106"/>
      <c r="DI468" s="106"/>
      <c r="DJ468" s="106"/>
      <c r="DK468" s="106"/>
      <c r="DL468" s="106"/>
      <c r="DM468" s="106"/>
      <c r="DN468" s="106"/>
      <c r="DO468" s="106"/>
      <c r="DP468" s="106"/>
      <c r="DQ468" s="106"/>
      <c r="DR468" s="106"/>
      <c r="DS468" s="106"/>
      <c r="DT468" s="106"/>
      <c r="DU468" s="106"/>
      <c r="DV468" s="106"/>
      <c r="DW468" s="106"/>
      <c r="DX468" s="106"/>
      <c r="DY468" s="106"/>
      <c r="DZ468" s="106"/>
      <c r="EA468" s="106"/>
      <c r="EB468" s="106"/>
      <c r="EC468" s="106"/>
      <c r="ED468" s="106"/>
      <c r="EE468" s="106"/>
      <c r="EF468" s="106"/>
      <c r="EG468" s="106"/>
      <c r="EH468" s="106"/>
      <c r="EI468" s="106"/>
    </row>
    <row r="469" spans="3:139" ht="15.75" customHeight="1" x14ac:dyDescent="0.25"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  <c r="CR469" s="106"/>
      <c r="CS469" s="106"/>
      <c r="CT469" s="106"/>
      <c r="CU469" s="106"/>
      <c r="CV469" s="106"/>
      <c r="CW469" s="106"/>
      <c r="CX469" s="106"/>
      <c r="CY469" s="106"/>
      <c r="CZ469" s="106"/>
      <c r="DA469" s="106"/>
      <c r="DB469" s="106"/>
      <c r="DC469" s="106"/>
      <c r="DD469" s="106"/>
      <c r="DE469" s="106"/>
      <c r="DF469" s="106"/>
      <c r="DG469" s="106"/>
      <c r="DH469" s="106"/>
      <c r="DI469" s="106"/>
      <c r="DJ469" s="106"/>
      <c r="DK469" s="106"/>
      <c r="DL469" s="106"/>
      <c r="DM469" s="106"/>
      <c r="DN469" s="106"/>
      <c r="DO469" s="106"/>
      <c r="DP469" s="106"/>
      <c r="DQ469" s="106"/>
      <c r="DR469" s="106"/>
      <c r="DS469" s="106"/>
      <c r="DT469" s="106"/>
      <c r="DU469" s="106"/>
      <c r="DV469" s="106"/>
      <c r="DW469" s="106"/>
      <c r="DX469" s="106"/>
      <c r="DY469" s="106"/>
      <c r="DZ469" s="106"/>
      <c r="EA469" s="106"/>
      <c r="EB469" s="106"/>
      <c r="EC469" s="106"/>
      <c r="ED469" s="106"/>
      <c r="EE469" s="106"/>
      <c r="EF469" s="106"/>
      <c r="EG469" s="106"/>
      <c r="EH469" s="106"/>
      <c r="EI469" s="106"/>
    </row>
    <row r="470" spans="3:139" ht="15.75" customHeight="1" x14ac:dyDescent="0.25"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  <c r="CR470" s="106"/>
      <c r="CS470" s="106"/>
      <c r="CT470" s="106"/>
      <c r="CU470" s="106"/>
      <c r="CV470" s="106"/>
      <c r="CW470" s="106"/>
      <c r="CX470" s="106"/>
      <c r="CY470" s="106"/>
      <c r="CZ470" s="106"/>
      <c r="DA470" s="106"/>
      <c r="DB470" s="106"/>
      <c r="DC470" s="106"/>
      <c r="DD470" s="106"/>
      <c r="DE470" s="106"/>
      <c r="DF470" s="106"/>
      <c r="DG470" s="106"/>
      <c r="DH470" s="106"/>
      <c r="DI470" s="106"/>
      <c r="DJ470" s="106"/>
      <c r="DK470" s="106"/>
      <c r="DL470" s="106"/>
      <c r="DM470" s="106"/>
      <c r="DN470" s="106"/>
      <c r="DO470" s="106"/>
      <c r="DP470" s="106"/>
      <c r="DQ470" s="106"/>
      <c r="DR470" s="106"/>
      <c r="DS470" s="106"/>
      <c r="DT470" s="106"/>
      <c r="DU470" s="106"/>
      <c r="DV470" s="106"/>
      <c r="DW470" s="106"/>
      <c r="DX470" s="106"/>
      <c r="DY470" s="106"/>
      <c r="DZ470" s="106"/>
      <c r="EA470" s="106"/>
      <c r="EB470" s="106"/>
      <c r="EC470" s="106"/>
      <c r="ED470" s="106"/>
      <c r="EE470" s="106"/>
      <c r="EF470" s="106"/>
      <c r="EG470" s="106"/>
      <c r="EH470" s="106"/>
      <c r="EI470" s="106"/>
    </row>
    <row r="471" spans="3:139" ht="15.75" customHeight="1" x14ac:dyDescent="0.25"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  <c r="CR471" s="106"/>
      <c r="CS471" s="106"/>
      <c r="CT471" s="106"/>
      <c r="CU471" s="106"/>
      <c r="CV471" s="106"/>
      <c r="CW471" s="106"/>
      <c r="CX471" s="106"/>
      <c r="CY471" s="106"/>
      <c r="CZ471" s="106"/>
      <c r="DA471" s="106"/>
      <c r="DB471" s="106"/>
      <c r="DC471" s="106"/>
      <c r="DD471" s="106"/>
      <c r="DE471" s="106"/>
      <c r="DF471" s="106"/>
      <c r="DG471" s="106"/>
      <c r="DH471" s="106"/>
      <c r="DI471" s="106"/>
      <c r="DJ471" s="106"/>
      <c r="DK471" s="106"/>
      <c r="DL471" s="106"/>
      <c r="DM471" s="106"/>
      <c r="DN471" s="106"/>
      <c r="DO471" s="106"/>
      <c r="DP471" s="106"/>
      <c r="DQ471" s="106"/>
      <c r="DR471" s="106"/>
      <c r="DS471" s="106"/>
      <c r="DT471" s="106"/>
      <c r="DU471" s="106"/>
      <c r="DV471" s="106"/>
      <c r="DW471" s="106"/>
      <c r="DX471" s="106"/>
      <c r="DY471" s="106"/>
      <c r="DZ471" s="106"/>
      <c r="EA471" s="106"/>
      <c r="EB471" s="106"/>
      <c r="EC471" s="106"/>
      <c r="ED471" s="106"/>
      <c r="EE471" s="106"/>
      <c r="EF471" s="106"/>
      <c r="EG471" s="106"/>
      <c r="EH471" s="106"/>
      <c r="EI471" s="106"/>
    </row>
    <row r="472" spans="3:139" ht="15.75" customHeight="1" x14ac:dyDescent="0.25"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  <c r="CR472" s="106"/>
      <c r="CS472" s="106"/>
      <c r="CT472" s="106"/>
      <c r="CU472" s="106"/>
      <c r="CV472" s="106"/>
      <c r="CW472" s="106"/>
      <c r="CX472" s="106"/>
      <c r="CY472" s="106"/>
      <c r="CZ472" s="106"/>
      <c r="DA472" s="106"/>
      <c r="DB472" s="106"/>
      <c r="DC472" s="106"/>
      <c r="DD472" s="106"/>
      <c r="DE472" s="106"/>
      <c r="DF472" s="106"/>
      <c r="DG472" s="106"/>
      <c r="DH472" s="106"/>
      <c r="DI472" s="106"/>
      <c r="DJ472" s="106"/>
      <c r="DK472" s="106"/>
      <c r="DL472" s="106"/>
      <c r="DM472" s="106"/>
      <c r="DN472" s="106"/>
      <c r="DO472" s="106"/>
      <c r="DP472" s="106"/>
      <c r="DQ472" s="106"/>
      <c r="DR472" s="106"/>
      <c r="DS472" s="106"/>
      <c r="DT472" s="106"/>
      <c r="DU472" s="106"/>
      <c r="DV472" s="106"/>
      <c r="DW472" s="106"/>
      <c r="DX472" s="106"/>
      <c r="DY472" s="106"/>
      <c r="DZ472" s="106"/>
      <c r="EA472" s="106"/>
      <c r="EB472" s="106"/>
      <c r="EC472" s="106"/>
      <c r="ED472" s="106"/>
      <c r="EE472" s="106"/>
      <c r="EF472" s="106"/>
      <c r="EG472" s="106"/>
      <c r="EH472" s="106"/>
      <c r="EI472" s="106"/>
    </row>
    <row r="473" spans="3:139" ht="15.75" customHeight="1" x14ac:dyDescent="0.25"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  <c r="CR473" s="106"/>
      <c r="CS473" s="106"/>
      <c r="CT473" s="106"/>
      <c r="CU473" s="106"/>
      <c r="CV473" s="106"/>
      <c r="CW473" s="106"/>
      <c r="CX473" s="106"/>
      <c r="CY473" s="106"/>
      <c r="CZ473" s="106"/>
      <c r="DA473" s="106"/>
      <c r="DB473" s="106"/>
      <c r="DC473" s="106"/>
      <c r="DD473" s="106"/>
      <c r="DE473" s="106"/>
      <c r="DF473" s="106"/>
      <c r="DG473" s="106"/>
      <c r="DH473" s="106"/>
      <c r="DI473" s="106"/>
      <c r="DJ473" s="106"/>
      <c r="DK473" s="106"/>
      <c r="DL473" s="106"/>
      <c r="DM473" s="106"/>
      <c r="DN473" s="106"/>
      <c r="DO473" s="106"/>
      <c r="DP473" s="106"/>
      <c r="DQ473" s="106"/>
      <c r="DR473" s="106"/>
      <c r="DS473" s="106"/>
      <c r="DT473" s="106"/>
      <c r="DU473" s="106"/>
      <c r="DV473" s="106"/>
      <c r="DW473" s="106"/>
      <c r="DX473" s="106"/>
      <c r="DY473" s="106"/>
      <c r="DZ473" s="106"/>
      <c r="EA473" s="106"/>
      <c r="EB473" s="106"/>
      <c r="EC473" s="106"/>
      <c r="ED473" s="106"/>
      <c r="EE473" s="106"/>
      <c r="EF473" s="106"/>
      <c r="EG473" s="106"/>
      <c r="EH473" s="106"/>
      <c r="EI473" s="106"/>
    </row>
    <row r="474" spans="3:139" ht="15.75" customHeight="1" x14ac:dyDescent="0.25"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  <c r="CR474" s="106"/>
      <c r="CS474" s="106"/>
      <c r="CT474" s="106"/>
      <c r="CU474" s="106"/>
      <c r="CV474" s="106"/>
      <c r="CW474" s="106"/>
      <c r="CX474" s="106"/>
      <c r="CY474" s="106"/>
      <c r="CZ474" s="106"/>
      <c r="DA474" s="106"/>
      <c r="DB474" s="106"/>
      <c r="DC474" s="106"/>
      <c r="DD474" s="106"/>
      <c r="DE474" s="106"/>
      <c r="DF474" s="106"/>
      <c r="DG474" s="106"/>
      <c r="DH474" s="106"/>
      <c r="DI474" s="106"/>
      <c r="DJ474" s="106"/>
      <c r="DK474" s="106"/>
      <c r="DL474" s="106"/>
      <c r="DM474" s="106"/>
      <c r="DN474" s="106"/>
      <c r="DO474" s="106"/>
      <c r="DP474" s="106"/>
      <c r="DQ474" s="106"/>
      <c r="DR474" s="106"/>
      <c r="DS474" s="106"/>
      <c r="DT474" s="106"/>
      <c r="DU474" s="106"/>
      <c r="DV474" s="106"/>
      <c r="DW474" s="106"/>
      <c r="DX474" s="106"/>
      <c r="DY474" s="106"/>
      <c r="DZ474" s="106"/>
      <c r="EA474" s="106"/>
      <c r="EB474" s="106"/>
      <c r="EC474" s="106"/>
      <c r="ED474" s="106"/>
      <c r="EE474" s="106"/>
      <c r="EF474" s="106"/>
      <c r="EG474" s="106"/>
      <c r="EH474" s="106"/>
      <c r="EI474" s="106"/>
    </row>
    <row r="475" spans="3:139" ht="15.75" customHeight="1" x14ac:dyDescent="0.25"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  <c r="CR475" s="106"/>
      <c r="CS475" s="106"/>
      <c r="CT475" s="106"/>
      <c r="CU475" s="106"/>
      <c r="CV475" s="106"/>
      <c r="CW475" s="106"/>
      <c r="CX475" s="106"/>
      <c r="CY475" s="106"/>
      <c r="CZ475" s="106"/>
      <c r="DA475" s="106"/>
      <c r="DB475" s="106"/>
      <c r="DC475" s="106"/>
      <c r="DD475" s="106"/>
      <c r="DE475" s="106"/>
      <c r="DF475" s="106"/>
      <c r="DG475" s="106"/>
      <c r="DH475" s="106"/>
      <c r="DI475" s="106"/>
      <c r="DJ475" s="106"/>
      <c r="DK475" s="106"/>
      <c r="DL475" s="106"/>
      <c r="DM475" s="106"/>
      <c r="DN475" s="106"/>
      <c r="DO475" s="106"/>
      <c r="DP475" s="106"/>
      <c r="DQ475" s="106"/>
      <c r="DR475" s="106"/>
      <c r="DS475" s="106"/>
      <c r="DT475" s="106"/>
      <c r="DU475" s="106"/>
      <c r="DV475" s="106"/>
      <c r="DW475" s="106"/>
      <c r="DX475" s="106"/>
      <c r="DY475" s="106"/>
      <c r="DZ475" s="106"/>
      <c r="EA475" s="106"/>
      <c r="EB475" s="106"/>
      <c r="EC475" s="106"/>
      <c r="ED475" s="106"/>
      <c r="EE475" s="106"/>
      <c r="EF475" s="106"/>
      <c r="EG475" s="106"/>
      <c r="EH475" s="106"/>
      <c r="EI475" s="106"/>
    </row>
    <row r="476" spans="3:139" ht="15.75" customHeight="1" x14ac:dyDescent="0.25"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  <c r="CR476" s="106"/>
      <c r="CS476" s="106"/>
      <c r="CT476" s="106"/>
      <c r="CU476" s="106"/>
      <c r="CV476" s="106"/>
      <c r="CW476" s="106"/>
      <c r="CX476" s="106"/>
      <c r="CY476" s="106"/>
      <c r="CZ476" s="106"/>
      <c r="DA476" s="106"/>
      <c r="DB476" s="106"/>
      <c r="DC476" s="106"/>
      <c r="DD476" s="106"/>
      <c r="DE476" s="106"/>
      <c r="DF476" s="106"/>
      <c r="DG476" s="106"/>
      <c r="DH476" s="106"/>
      <c r="DI476" s="106"/>
      <c r="DJ476" s="106"/>
      <c r="DK476" s="106"/>
      <c r="DL476" s="106"/>
      <c r="DM476" s="106"/>
      <c r="DN476" s="106"/>
      <c r="DO476" s="106"/>
      <c r="DP476" s="106"/>
      <c r="DQ476" s="106"/>
      <c r="DR476" s="106"/>
      <c r="DS476" s="106"/>
      <c r="DT476" s="106"/>
      <c r="DU476" s="106"/>
      <c r="DV476" s="106"/>
      <c r="DW476" s="106"/>
      <c r="DX476" s="106"/>
      <c r="DY476" s="106"/>
      <c r="DZ476" s="106"/>
      <c r="EA476" s="106"/>
      <c r="EB476" s="106"/>
      <c r="EC476" s="106"/>
      <c r="ED476" s="106"/>
      <c r="EE476" s="106"/>
      <c r="EF476" s="106"/>
      <c r="EG476" s="106"/>
      <c r="EH476" s="106"/>
      <c r="EI476" s="106"/>
    </row>
    <row r="477" spans="3:139" ht="15.75" customHeight="1" x14ac:dyDescent="0.25"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  <c r="CR477" s="106"/>
      <c r="CS477" s="106"/>
      <c r="CT477" s="106"/>
      <c r="CU477" s="106"/>
      <c r="CV477" s="106"/>
      <c r="CW477" s="106"/>
      <c r="CX477" s="106"/>
      <c r="CY477" s="106"/>
      <c r="CZ477" s="106"/>
      <c r="DA477" s="106"/>
      <c r="DB477" s="106"/>
      <c r="DC477" s="106"/>
      <c r="DD477" s="106"/>
      <c r="DE477" s="106"/>
      <c r="DF477" s="106"/>
      <c r="DG477" s="106"/>
      <c r="DH477" s="106"/>
      <c r="DI477" s="106"/>
      <c r="DJ477" s="106"/>
      <c r="DK477" s="106"/>
      <c r="DL477" s="106"/>
      <c r="DM477" s="106"/>
      <c r="DN477" s="106"/>
      <c r="DO477" s="106"/>
      <c r="DP477" s="106"/>
      <c r="DQ477" s="106"/>
      <c r="DR477" s="106"/>
      <c r="DS477" s="106"/>
      <c r="DT477" s="106"/>
      <c r="DU477" s="106"/>
      <c r="DV477" s="106"/>
      <c r="DW477" s="106"/>
      <c r="DX477" s="106"/>
      <c r="DY477" s="106"/>
      <c r="DZ477" s="106"/>
      <c r="EA477" s="106"/>
      <c r="EB477" s="106"/>
      <c r="EC477" s="106"/>
      <c r="ED477" s="106"/>
      <c r="EE477" s="106"/>
      <c r="EF477" s="106"/>
      <c r="EG477" s="106"/>
      <c r="EH477" s="106"/>
      <c r="EI477" s="106"/>
    </row>
    <row r="478" spans="3:139" ht="15.75" customHeight="1" x14ac:dyDescent="0.25"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  <c r="CR478" s="106"/>
      <c r="CS478" s="106"/>
      <c r="CT478" s="106"/>
      <c r="CU478" s="106"/>
      <c r="CV478" s="106"/>
      <c r="CW478" s="106"/>
      <c r="CX478" s="106"/>
      <c r="CY478" s="106"/>
      <c r="CZ478" s="106"/>
      <c r="DA478" s="106"/>
      <c r="DB478" s="106"/>
      <c r="DC478" s="106"/>
      <c r="DD478" s="106"/>
      <c r="DE478" s="106"/>
      <c r="DF478" s="106"/>
      <c r="DG478" s="106"/>
      <c r="DH478" s="106"/>
      <c r="DI478" s="106"/>
      <c r="DJ478" s="106"/>
      <c r="DK478" s="106"/>
      <c r="DL478" s="106"/>
      <c r="DM478" s="106"/>
      <c r="DN478" s="106"/>
      <c r="DO478" s="106"/>
      <c r="DP478" s="106"/>
      <c r="DQ478" s="106"/>
      <c r="DR478" s="106"/>
      <c r="DS478" s="106"/>
      <c r="DT478" s="106"/>
      <c r="DU478" s="106"/>
      <c r="DV478" s="106"/>
      <c r="DW478" s="106"/>
      <c r="DX478" s="106"/>
      <c r="DY478" s="106"/>
      <c r="DZ478" s="106"/>
      <c r="EA478" s="106"/>
      <c r="EB478" s="106"/>
      <c r="EC478" s="106"/>
      <c r="ED478" s="106"/>
      <c r="EE478" s="106"/>
      <c r="EF478" s="106"/>
      <c r="EG478" s="106"/>
      <c r="EH478" s="106"/>
      <c r="EI478" s="106"/>
    </row>
    <row r="479" spans="3:139" ht="15.75" customHeight="1" x14ac:dyDescent="0.25"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  <c r="CR479" s="106"/>
      <c r="CS479" s="106"/>
      <c r="CT479" s="106"/>
      <c r="CU479" s="106"/>
      <c r="CV479" s="106"/>
      <c r="CW479" s="106"/>
      <c r="CX479" s="106"/>
      <c r="CY479" s="106"/>
      <c r="CZ479" s="106"/>
      <c r="DA479" s="106"/>
      <c r="DB479" s="106"/>
      <c r="DC479" s="106"/>
      <c r="DD479" s="106"/>
      <c r="DE479" s="106"/>
      <c r="DF479" s="106"/>
      <c r="DG479" s="106"/>
      <c r="DH479" s="106"/>
      <c r="DI479" s="106"/>
      <c r="DJ479" s="106"/>
      <c r="DK479" s="106"/>
      <c r="DL479" s="106"/>
      <c r="DM479" s="106"/>
      <c r="DN479" s="106"/>
      <c r="DO479" s="106"/>
      <c r="DP479" s="106"/>
      <c r="DQ479" s="106"/>
      <c r="DR479" s="106"/>
      <c r="DS479" s="106"/>
      <c r="DT479" s="106"/>
      <c r="DU479" s="106"/>
      <c r="DV479" s="106"/>
      <c r="DW479" s="106"/>
      <c r="DX479" s="106"/>
      <c r="DY479" s="106"/>
      <c r="DZ479" s="106"/>
      <c r="EA479" s="106"/>
      <c r="EB479" s="106"/>
      <c r="EC479" s="106"/>
      <c r="ED479" s="106"/>
      <c r="EE479" s="106"/>
      <c r="EF479" s="106"/>
      <c r="EG479" s="106"/>
      <c r="EH479" s="106"/>
      <c r="EI479" s="106"/>
    </row>
    <row r="480" spans="3:139" ht="15.75" customHeight="1" x14ac:dyDescent="0.25"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  <c r="CR480" s="106"/>
      <c r="CS480" s="106"/>
      <c r="CT480" s="106"/>
      <c r="CU480" s="106"/>
      <c r="CV480" s="106"/>
      <c r="CW480" s="106"/>
      <c r="CX480" s="106"/>
      <c r="CY480" s="106"/>
      <c r="CZ480" s="106"/>
      <c r="DA480" s="106"/>
      <c r="DB480" s="106"/>
      <c r="DC480" s="106"/>
      <c r="DD480" s="106"/>
      <c r="DE480" s="106"/>
      <c r="DF480" s="106"/>
      <c r="DG480" s="106"/>
      <c r="DH480" s="106"/>
      <c r="DI480" s="106"/>
      <c r="DJ480" s="106"/>
      <c r="DK480" s="106"/>
      <c r="DL480" s="106"/>
      <c r="DM480" s="106"/>
      <c r="DN480" s="106"/>
      <c r="DO480" s="106"/>
      <c r="DP480" s="106"/>
      <c r="DQ480" s="106"/>
      <c r="DR480" s="106"/>
      <c r="DS480" s="106"/>
      <c r="DT480" s="106"/>
      <c r="DU480" s="106"/>
      <c r="DV480" s="106"/>
      <c r="DW480" s="106"/>
      <c r="DX480" s="106"/>
      <c r="DY480" s="106"/>
      <c r="DZ480" s="106"/>
      <c r="EA480" s="106"/>
      <c r="EB480" s="106"/>
      <c r="EC480" s="106"/>
      <c r="ED480" s="106"/>
      <c r="EE480" s="106"/>
      <c r="EF480" s="106"/>
      <c r="EG480" s="106"/>
      <c r="EH480" s="106"/>
      <c r="EI480" s="106"/>
    </row>
    <row r="481" spans="3:139" ht="15.75" customHeight="1" x14ac:dyDescent="0.25"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  <c r="CR481" s="106"/>
      <c r="CS481" s="106"/>
      <c r="CT481" s="106"/>
      <c r="CU481" s="106"/>
      <c r="CV481" s="106"/>
      <c r="CW481" s="106"/>
      <c r="CX481" s="106"/>
      <c r="CY481" s="106"/>
      <c r="CZ481" s="106"/>
      <c r="DA481" s="106"/>
      <c r="DB481" s="106"/>
      <c r="DC481" s="106"/>
      <c r="DD481" s="106"/>
      <c r="DE481" s="106"/>
      <c r="DF481" s="106"/>
      <c r="DG481" s="106"/>
      <c r="DH481" s="106"/>
      <c r="DI481" s="106"/>
      <c r="DJ481" s="106"/>
      <c r="DK481" s="106"/>
      <c r="DL481" s="106"/>
      <c r="DM481" s="106"/>
      <c r="DN481" s="106"/>
      <c r="DO481" s="106"/>
      <c r="DP481" s="106"/>
      <c r="DQ481" s="106"/>
      <c r="DR481" s="106"/>
      <c r="DS481" s="106"/>
      <c r="DT481" s="106"/>
      <c r="DU481" s="106"/>
      <c r="DV481" s="106"/>
      <c r="DW481" s="106"/>
      <c r="DX481" s="106"/>
      <c r="DY481" s="106"/>
      <c r="DZ481" s="106"/>
      <c r="EA481" s="106"/>
      <c r="EB481" s="106"/>
      <c r="EC481" s="106"/>
      <c r="ED481" s="106"/>
      <c r="EE481" s="106"/>
      <c r="EF481" s="106"/>
      <c r="EG481" s="106"/>
      <c r="EH481" s="106"/>
      <c r="EI481" s="106"/>
    </row>
    <row r="482" spans="3:139" ht="15.75" customHeight="1" x14ac:dyDescent="0.25"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  <c r="CR482" s="106"/>
      <c r="CS482" s="106"/>
      <c r="CT482" s="106"/>
      <c r="CU482" s="106"/>
      <c r="CV482" s="106"/>
      <c r="CW482" s="106"/>
      <c r="CX482" s="106"/>
      <c r="CY482" s="106"/>
      <c r="CZ482" s="106"/>
      <c r="DA482" s="106"/>
      <c r="DB482" s="106"/>
      <c r="DC482" s="106"/>
      <c r="DD482" s="106"/>
      <c r="DE482" s="106"/>
      <c r="DF482" s="106"/>
      <c r="DG482" s="106"/>
      <c r="DH482" s="106"/>
      <c r="DI482" s="106"/>
      <c r="DJ482" s="106"/>
      <c r="DK482" s="106"/>
      <c r="DL482" s="106"/>
      <c r="DM482" s="106"/>
      <c r="DN482" s="106"/>
      <c r="DO482" s="106"/>
      <c r="DP482" s="106"/>
      <c r="DQ482" s="106"/>
      <c r="DR482" s="106"/>
      <c r="DS482" s="106"/>
      <c r="DT482" s="106"/>
      <c r="DU482" s="106"/>
      <c r="DV482" s="106"/>
      <c r="DW482" s="106"/>
      <c r="DX482" s="106"/>
      <c r="DY482" s="106"/>
      <c r="DZ482" s="106"/>
      <c r="EA482" s="106"/>
      <c r="EB482" s="106"/>
      <c r="EC482" s="106"/>
      <c r="ED482" s="106"/>
      <c r="EE482" s="106"/>
      <c r="EF482" s="106"/>
      <c r="EG482" s="106"/>
      <c r="EH482" s="106"/>
      <c r="EI482" s="106"/>
    </row>
    <row r="483" spans="3:139" ht="15.75" customHeight="1" x14ac:dyDescent="0.25"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  <c r="CR483" s="106"/>
      <c r="CS483" s="106"/>
      <c r="CT483" s="106"/>
      <c r="CU483" s="106"/>
      <c r="CV483" s="106"/>
      <c r="CW483" s="106"/>
      <c r="CX483" s="106"/>
      <c r="CY483" s="106"/>
      <c r="CZ483" s="106"/>
      <c r="DA483" s="106"/>
      <c r="DB483" s="106"/>
      <c r="DC483" s="106"/>
      <c r="DD483" s="106"/>
      <c r="DE483" s="106"/>
      <c r="DF483" s="106"/>
      <c r="DG483" s="106"/>
      <c r="DH483" s="106"/>
      <c r="DI483" s="106"/>
      <c r="DJ483" s="106"/>
      <c r="DK483" s="106"/>
      <c r="DL483" s="106"/>
      <c r="DM483" s="106"/>
      <c r="DN483" s="106"/>
      <c r="DO483" s="106"/>
      <c r="DP483" s="106"/>
      <c r="DQ483" s="106"/>
      <c r="DR483" s="106"/>
      <c r="DS483" s="106"/>
      <c r="DT483" s="106"/>
      <c r="DU483" s="106"/>
      <c r="DV483" s="106"/>
      <c r="DW483" s="106"/>
      <c r="DX483" s="106"/>
      <c r="DY483" s="106"/>
      <c r="DZ483" s="106"/>
      <c r="EA483" s="106"/>
      <c r="EB483" s="106"/>
      <c r="EC483" s="106"/>
      <c r="ED483" s="106"/>
      <c r="EE483" s="106"/>
      <c r="EF483" s="106"/>
      <c r="EG483" s="106"/>
      <c r="EH483" s="106"/>
      <c r="EI483" s="106"/>
    </row>
    <row r="484" spans="3:139" ht="15.75" customHeight="1" x14ac:dyDescent="0.25"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  <c r="CR484" s="106"/>
      <c r="CS484" s="106"/>
      <c r="CT484" s="106"/>
      <c r="CU484" s="106"/>
      <c r="CV484" s="106"/>
      <c r="CW484" s="106"/>
      <c r="CX484" s="106"/>
      <c r="CY484" s="106"/>
      <c r="CZ484" s="106"/>
      <c r="DA484" s="106"/>
      <c r="DB484" s="106"/>
      <c r="DC484" s="106"/>
      <c r="DD484" s="106"/>
      <c r="DE484" s="106"/>
      <c r="DF484" s="106"/>
      <c r="DG484" s="106"/>
      <c r="DH484" s="106"/>
      <c r="DI484" s="106"/>
      <c r="DJ484" s="106"/>
      <c r="DK484" s="106"/>
      <c r="DL484" s="106"/>
      <c r="DM484" s="106"/>
      <c r="DN484" s="106"/>
      <c r="DO484" s="106"/>
      <c r="DP484" s="106"/>
      <c r="DQ484" s="106"/>
      <c r="DR484" s="106"/>
      <c r="DS484" s="106"/>
      <c r="DT484" s="106"/>
      <c r="DU484" s="106"/>
      <c r="DV484" s="106"/>
      <c r="DW484" s="106"/>
      <c r="DX484" s="106"/>
      <c r="DY484" s="106"/>
      <c r="DZ484" s="106"/>
      <c r="EA484" s="106"/>
      <c r="EB484" s="106"/>
      <c r="EC484" s="106"/>
      <c r="ED484" s="106"/>
      <c r="EE484" s="106"/>
      <c r="EF484" s="106"/>
      <c r="EG484" s="106"/>
      <c r="EH484" s="106"/>
      <c r="EI484" s="106"/>
    </row>
    <row r="485" spans="3:139" ht="15.75" customHeight="1" x14ac:dyDescent="0.25"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  <c r="CR485" s="106"/>
      <c r="CS485" s="106"/>
      <c r="CT485" s="106"/>
      <c r="CU485" s="106"/>
      <c r="CV485" s="106"/>
      <c r="CW485" s="106"/>
      <c r="CX485" s="106"/>
      <c r="CY485" s="106"/>
      <c r="CZ485" s="106"/>
      <c r="DA485" s="106"/>
      <c r="DB485" s="106"/>
      <c r="DC485" s="106"/>
      <c r="DD485" s="106"/>
      <c r="DE485" s="106"/>
      <c r="DF485" s="106"/>
      <c r="DG485" s="106"/>
      <c r="DH485" s="106"/>
      <c r="DI485" s="106"/>
      <c r="DJ485" s="106"/>
      <c r="DK485" s="106"/>
      <c r="DL485" s="106"/>
      <c r="DM485" s="106"/>
      <c r="DN485" s="106"/>
      <c r="DO485" s="106"/>
      <c r="DP485" s="106"/>
      <c r="DQ485" s="106"/>
      <c r="DR485" s="106"/>
      <c r="DS485" s="106"/>
      <c r="DT485" s="106"/>
      <c r="DU485" s="106"/>
      <c r="DV485" s="106"/>
      <c r="DW485" s="106"/>
      <c r="DX485" s="106"/>
      <c r="DY485" s="106"/>
      <c r="DZ485" s="106"/>
      <c r="EA485" s="106"/>
      <c r="EB485" s="106"/>
      <c r="EC485" s="106"/>
      <c r="ED485" s="106"/>
      <c r="EE485" s="106"/>
      <c r="EF485" s="106"/>
      <c r="EG485" s="106"/>
      <c r="EH485" s="106"/>
      <c r="EI485" s="106"/>
    </row>
    <row r="486" spans="3:139" ht="15.75" customHeight="1" x14ac:dyDescent="0.25"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  <c r="CR486" s="106"/>
      <c r="CS486" s="106"/>
      <c r="CT486" s="106"/>
      <c r="CU486" s="106"/>
      <c r="CV486" s="106"/>
      <c r="CW486" s="106"/>
      <c r="CX486" s="106"/>
      <c r="CY486" s="106"/>
      <c r="CZ486" s="106"/>
      <c r="DA486" s="106"/>
      <c r="DB486" s="106"/>
      <c r="DC486" s="106"/>
      <c r="DD486" s="106"/>
      <c r="DE486" s="106"/>
      <c r="DF486" s="106"/>
      <c r="DG486" s="106"/>
      <c r="DH486" s="106"/>
      <c r="DI486" s="106"/>
      <c r="DJ486" s="106"/>
      <c r="DK486" s="106"/>
      <c r="DL486" s="106"/>
      <c r="DM486" s="106"/>
      <c r="DN486" s="106"/>
      <c r="DO486" s="106"/>
      <c r="DP486" s="106"/>
      <c r="DQ486" s="106"/>
      <c r="DR486" s="106"/>
      <c r="DS486" s="106"/>
      <c r="DT486" s="106"/>
      <c r="DU486" s="106"/>
      <c r="DV486" s="106"/>
      <c r="DW486" s="106"/>
      <c r="DX486" s="106"/>
      <c r="DY486" s="106"/>
      <c r="DZ486" s="106"/>
      <c r="EA486" s="106"/>
      <c r="EB486" s="106"/>
      <c r="EC486" s="106"/>
      <c r="ED486" s="106"/>
      <c r="EE486" s="106"/>
      <c r="EF486" s="106"/>
      <c r="EG486" s="106"/>
      <c r="EH486" s="106"/>
      <c r="EI486" s="106"/>
    </row>
    <row r="487" spans="3:139" ht="15.75" customHeight="1" x14ac:dyDescent="0.25"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  <c r="CR487" s="106"/>
      <c r="CS487" s="106"/>
      <c r="CT487" s="106"/>
      <c r="CU487" s="106"/>
      <c r="CV487" s="106"/>
      <c r="CW487" s="106"/>
      <c r="CX487" s="106"/>
      <c r="CY487" s="106"/>
      <c r="CZ487" s="106"/>
      <c r="DA487" s="106"/>
      <c r="DB487" s="106"/>
      <c r="DC487" s="106"/>
      <c r="DD487" s="106"/>
      <c r="DE487" s="106"/>
      <c r="DF487" s="106"/>
      <c r="DG487" s="106"/>
      <c r="DH487" s="106"/>
      <c r="DI487" s="106"/>
      <c r="DJ487" s="106"/>
      <c r="DK487" s="106"/>
      <c r="DL487" s="106"/>
      <c r="DM487" s="106"/>
      <c r="DN487" s="106"/>
      <c r="DO487" s="106"/>
      <c r="DP487" s="106"/>
      <c r="DQ487" s="106"/>
      <c r="DR487" s="106"/>
      <c r="DS487" s="106"/>
      <c r="DT487" s="106"/>
      <c r="DU487" s="106"/>
      <c r="DV487" s="106"/>
      <c r="DW487" s="106"/>
      <c r="DX487" s="106"/>
      <c r="DY487" s="106"/>
      <c r="DZ487" s="106"/>
      <c r="EA487" s="106"/>
      <c r="EB487" s="106"/>
      <c r="EC487" s="106"/>
      <c r="ED487" s="106"/>
      <c r="EE487" s="106"/>
      <c r="EF487" s="106"/>
      <c r="EG487" s="106"/>
      <c r="EH487" s="106"/>
      <c r="EI487" s="106"/>
    </row>
    <row r="488" spans="3:139" ht="15.75" customHeight="1" x14ac:dyDescent="0.25"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  <c r="CR488" s="106"/>
      <c r="CS488" s="106"/>
      <c r="CT488" s="106"/>
      <c r="CU488" s="106"/>
      <c r="CV488" s="106"/>
      <c r="CW488" s="106"/>
      <c r="CX488" s="106"/>
      <c r="CY488" s="106"/>
      <c r="CZ488" s="106"/>
      <c r="DA488" s="106"/>
      <c r="DB488" s="106"/>
      <c r="DC488" s="106"/>
      <c r="DD488" s="106"/>
      <c r="DE488" s="106"/>
      <c r="DF488" s="106"/>
      <c r="DG488" s="106"/>
      <c r="DH488" s="106"/>
      <c r="DI488" s="106"/>
      <c r="DJ488" s="106"/>
      <c r="DK488" s="106"/>
      <c r="DL488" s="106"/>
      <c r="DM488" s="106"/>
      <c r="DN488" s="106"/>
      <c r="DO488" s="106"/>
      <c r="DP488" s="106"/>
      <c r="DQ488" s="106"/>
      <c r="DR488" s="106"/>
      <c r="DS488" s="106"/>
      <c r="DT488" s="106"/>
      <c r="DU488" s="106"/>
      <c r="DV488" s="106"/>
      <c r="DW488" s="106"/>
      <c r="DX488" s="106"/>
      <c r="DY488" s="106"/>
      <c r="DZ488" s="106"/>
      <c r="EA488" s="106"/>
      <c r="EB488" s="106"/>
      <c r="EC488" s="106"/>
      <c r="ED488" s="106"/>
      <c r="EE488" s="106"/>
      <c r="EF488" s="106"/>
      <c r="EG488" s="106"/>
      <c r="EH488" s="106"/>
      <c r="EI488" s="106"/>
    </row>
    <row r="489" spans="3:139" ht="15.75" customHeight="1" x14ac:dyDescent="0.25"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  <c r="CR489" s="106"/>
      <c r="CS489" s="106"/>
      <c r="CT489" s="106"/>
      <c r="CU489" s="106"/>
      <c r="CV489" s="106"/>
      <c r="CW489" s="106"/>
      <c r="CX489" s="106"/>
      <c r="CY489" s="106"/>
      <c r="CZ489" s="106"/>
      <c r="DA489" s="106"/>
      <c r="DB489" s="106"/>
      <c r="DC489" s="106"/>
      <c r="DD489" s="106"/>
      <c r="DE489" s="106"/>
      <c r="DF489" s="106"/>
      <c r="DG489" s="106"/>
      <c r="DH489" s="106"/>
      <c r="DI489" s="106"/>
      <c r="DJ489" s="106"/>
      <c r="DK489" s="106"/>
      <c r="DL489" s="106"/>
      <c r="DM489" s="106"/>
      <c r="DN489" s="106"/>
      <c r="DO489" s="106"/>
      <c r="DP489" s="106"/>
      <c r="DQ489" s="106"/>
      <c r="DR489" s="106"/>
      <c r="DS489" s="106"/>
      <c r="DT489" s="106"/>
      <c r="DU489" s="106"/>
      <c r="DV489" s="106"/>
      <c r="DW489" s="106"/>
      <c r="DX489" s="106"/>
      <c r="DY489" s="106"/>
      <c r="DZ489" s="106"/>
      <c r="EA489" s="106"/>
      <c r="EB489" s="106"/>
      <c r="EC489" s="106"/>
      <c r="ED489" s="106"/>
      <c r="EE489" s="106"/>
      <c r="EF489" s="106"/>
      <c r="EG489" s="106"/>
      <c r="EH489" s="106"/>
      <c r="EI489" s="106"/>
    </row>
    <row r="490" spans="3:139" ht="15.75" customHeight="1" x14ac:dyDescent="0.25"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  <c r="CR490" s="106"/>
      <c r="CS490" s="106"/>
      <c r="CT490" s="106"/>
      <c r="CU490" s="106"/>
      <c r="CV490" s="106"/>
      <c r="CW490" s="106"/>
      <c r="CX490" s="106"/>
      <c r="CY490" s="106"/>
      <c r="CZ490" s="106"/>
      <c r="DA490" s="106"/>
      <c r="DB490" s="106"/>
      <c r="DC490" s="106"/>
      <c r="DD490" s="106"/>
      <c r="DE490" s="106"/>
      <c r="DF490" s="106"/>
      <c r="DG490" s="106"/>
      <c r="DH490" s="106"/>
      <c r="DI490" s="106"/>
      <c r="DJ490" s="106"/>
      <c r="DK490" s="106"/>
      <c r="DL490" s="106"/>
      <c r="DM490" s="106"/>
      <c r="DN490" s="106"/>
      <c r="DO490" s="106"/>
      <c r="DP490" s="106"/>
      <c r="DQ490" s="106"/>
      <c r="DR490" s="106"/>
      <c r="DS490" s="106"/>
      <c r="DT490" s="106"/>
      <c r="DU490" s="106"/>
      <c r="DV490" s="106"/>
      <c r="DW490" s="106"/>
      <c r="DX490" s="106"/>
      <c r="DY490" s="106"/>
      <c r="DZ490" s="106"/>
      <c r="EA490" s="106"/>
      <c r="EB490" s="106"/>
      <c r="EC490" s="106"/>
      <c r="ED490" s="106"/>
      <c r="EE490" s="106"/>
      <c r="EF490" s="106"/>
      <c r="EG490" s="106"/>
      <c r="EH490" s="106"/>
      <c r="EI490" s="106"/>
    </row>
    <row r="491" spans="3:139" ht="15.75" customHeight="1" x14ac:dyDescent="0.25"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  <c r="CR491" s="106"/>
      <c r="CS491" s="106"/>
      <c r="CT491" s="106"/>
      <c r="CU491" s="106"/>
      <c r="CV491" s="106"/>
      <c r="CW491" s="106"/>
      <c r="CX491" s="106"/>
      <c r="CY491" s="106"/>
      <c r="CZ491" s="106"/>
      <c r="DA491" s="106"/>
      <c r="DB491" s="106"/>
      <c r="DC491" s="106"/>
      <c r="DD491" s="106"/>
      <c r="DE491" s="106"/>
      <c r="DF491" s="106"/>
      <c r="DG491" s="106"/>
      <c r="DH491" s="106"/>
      <c r="DI491" s="106"/>
      <c r="DJ491" s="106"/>
      <c r="DK491" s="106"/>
      <c r="DL491" s="106"/>
      <c r="DM491" s="106"/>
      <c r="DN491" s="106"/>
      <c r="DO491" s="106"/>
      <c r="DP491" s="106"/>
      <c r="DQ491" s="106"/>
      <c r="DR491" s="106"/>
      <c r="DS491" s="106"/>
      <c r="DT491" s="106"/>
      <c r="DU491" s="106"/>
      <c r="DV491" s="106"/>
      <c r="DW491" s="106"/>
      <c r="DX491" s="106"/>
      <c r="DY491" s="106"/>
      <c r="DZ491" s="106"/>
      <c r="EA491" s="106"/>
      <c r="EB491" s="106"/>
      <c r="EC491" s="106"/>
      <c r="ED491" s="106"/>
      <c r="EE491" s="106"/>
      <c r="EF491" s="106"/>
      <c r="EG491" s="106"/>
      <c r="EH491" s="106"/>
      <c r="EI491" s="106"/>
    </row>
    <row r="492" spans="3:139" ht="15.75" customHeight="1" x14ac:dyDescent="0.25"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  <c r="CR492" s="106"/>
      <c r="CS492" s="106"/>
      <c r="CT492" s="106"/>
      <c r="CU492" s="106"/>
      <c r="CV492" s="106"/>
      <c r="CW492" s="106"/>
      <c r="CX492" s="106"/>
      <c r="CY492" s="106"/>
      <c r="CZ492" s="106"/>
      <c r="DA492" s="106"/>
      <c r="DB492" s="106"/>
      <c r="DC492" s="106"/>
      <c r="DD492" s="106"/>
      <c r="DE492" s="106"/>
      <c r="DF492" s="106"/>
      <c r="DG492" s="106"/>
      <c r="DH492" s="106"/>
      <c r="DI492" s="106"/>
      <c r="DJ492" s="106"/>
      <c r="DK492" s="106"/>
      <c r="DL492" s="106"/>
      <c r="DM492" s="106"/>
      <c r="DN492" s="106"/>
      <c r="DO492" s="106"/>
      <c r="DP492" s="106"/>
      <c r="DQ492" s="106"/>
      <c r="DR492" s="106"/>
      <c r="DS492" s="106"/>
      <c r="DT492" s="106"/>
      <c r="DU492" s="106"/>
      <c r="DV492" s="106"/>
      <c r="DW492" s="106"/>
      <c r="DX492" s="106"/>
      <c r="DY492" s="106"/>
      <c r="DZ492" s="106"/>
      <c r="EA492" s="106"/>
      <c r="EB492" s="106"/>
      <c r="EC492" s="106"/>
      <c r="ED492" s="106"/>
      <c r="EE492" s="106"/>
      <c r="EF492" s="106"/>
      <c r="EG492" s="106"/>
      <c r="EH492" s="106"/>
      <c r="EI492" s="106"/>
    </row>
    <row r="493" spans="3:139" ht="15.75" customHeight="1" x14ac:dyDescent="0.25"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  <c r="CR493" s="106"/>
      <c r="CS493" s="106"/>
      <c r="CT493" s="106"/>
      <c r="CU493" s="106"/>
      <c r="CV493" s="106"/>
      <c r="CW493" s="106"/>
      <c r="CX493" s="106"/>
      <c r="CY493" s="106"/>
      <c r="CZ493" s="106"/>
      <c r="DA493" s="106"/>
      <c r="DB493" s="106"/>
      <c r="DC493" s="106"/>
      <c r="DD493" s="106"/>
      <c r="DE493" s="106"/>
      <c r="DF493" s="106"/>
      <c r="DG493" s="106"/>
      <c r="DH493" s="106"/>
      <c r="DI493" s="106"/>
      <c r="DJ493" s="106"/>
      <c r="DK493" s="106"/>
      <c r="DL493" s="106"/>
      <c r="DM493" s="106"/>
      <c r="DN493" s="106"/>
      <c r="DO493" s="106"/>
      <c r="DP493" s="106"/>
      <c r="DQ493" s="106"/>
      <c r="DR493" s="106"/>
      <c r="DS493" s="106"/>
      <c r="DT493" s="106"/>
      <c r="DU493" s="106"/>
      <c r="DV493" s="106"/>
      <c r="DW493" s="106"/>
      <c r="DX493" s="106"/>
      <c r="DY493" s="106"/>
      <c r="DZ493" s="106"/>
      <c r="EA493" s="106"/>
      <c r="EB493" s="106"/>
      <c r="EC493" s="106"/>
      <c r="ED493" s="106"/>
      <c r="EE493" s="106"/>
      <c r="EF493" s="106"/>
      <c r="EG493" s="106"/>
      <c r="EH493" s="106"/>
      <c r="EI493" s="106"/>
    </row>
    <row r="494" spans="3:139" ht="15.75" customHeight="1" x14ac:dyDescent="0.25"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  <c r="CR494" s="106"/>
      <c r="CS494" s="106"/>
      <c r="CT494" s="106"/>
      <c r="CU494" s="106"/>
      <c r="CV494" s="106"/>
      <c r="CW494" s="106"/>
      <c r="CX494" s="106"/>
      <c r="CY494" s="106"/>
      <c r="CZ494" s="106"/>
      <c r="DA494" s="106"/>
      <c r="DB494" s="106"/>
      <c r="DC494" s="106"/>
      <c r="DD494" s="106"/>
      <c r="DE494" s="106"/>
      <c r="DF494" s="106"/>
      <c r="DG494" s="106"/>
      <c r="DH494" s="106"/>
      <c r="DI494" s="106"/>
      <c r="DJ494" s="106"/>
      <c r="DK494" s="106"/>
      <c r="DL494" s="106"/>
      <c r="DM494" s="106"/>
      <c r="DN494" s="106"/>
      <c r="DO494" s="106"/>
      <c r="DP494" s="106"/>
      <c r="DQ494" s="106"/>
      <c r="DR494" s="106"/>
      <c r="DS494" s="106"/>
      <c r="DT494" s="106"/>
      <c r="DU494" s="106"/>
      <c r="DV494" s="106"/>
      <c r="DW494" s="106"/>
      <c r="DX494" s="106"/>
      <c r="DY494" s="106"/>
      <c r="DZ494" s="106"/>
      <c r="EA494" s="106"/>
      <c r="EB494" s="106"/>
      <c r="EC494" s="106"/>
      <c r="ED494" s="106"/>
      <c r="EE494" s="106"/>
      <c r="EF494" s="106"/>
      <c r="EG494" s="106"/>
      <c r="EH494" s="106"/>
      <c r="EI494" s="106"/>
    </row>
    <row r="495" spans="3:139" ht="15.75" customHeight="1" x14ac:dyDescent="0.25"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  <c r="CR495" s="106"/>
      <c r="CS495" s="106"/>
      <c r="CT495" s="106"/>
      <c r="CU495" s="106"/>
      <c r="CV495" s="106"/>
      <c r="CW495" s="106"/>
      <c r="CX495" s="106"/>
      <c r="CY495" s="106"/>
      <c r="CZ495" s="106"/>
      <c r="DA495" s="106"/>
      <c r="DB495" s="106"/>
      <c r="DC495" s="106"/>
      <c r="DD495" s="106"/>
      <c r="DE495" s="106"/>
      <c r="DF495" s="106"/>
      <c r="DG495" s="106"/>
      <c r="DH495" s="106"/>
      <c r="DI495" s="106"/>
      <c r="DJ495" s="106"/>
      <c r="DK495" s="106"/>
      <c r="DL495" s="106"/>
      <c r="DM495" s="106"/>
      <c r="DN495" s="106"/>
      <c r="DO495" s="106"/>
      <c r="DP495" s="106"/>
      <c r="DQ495" s="106"/>
      <c r="DR495" s="106"/>
      <c r="DS495" s="106"/>
      <c r="DT495" s="106"/>
      <c r="DU495" s="106"/>
      <c r="DV495" s="106"/>
      <c r="DW495" s="106"/>
      <c r="DX495" s="106"/>
      <c r="DY495" s="106"/>
      <c r="DZ495" s="106"/>
      <c r="EA495" s="106"/>
      <c r="EB495" s="106"/>
      <c r="EC495" s="106"/>
      <c r="ED495" s="106"/>
      <c r="EE495" s="106"/>
      <c r="EF495" s="106"/>
      <c r="EG495" s="106"/>
      <c r="EH495" s="106"/>
      <c r="EI495" s="106"/>
    </row>
    <row r="496" spans="3:139" ht="15.75" customHeight="1" x14ac:dyDescent="0.25"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  <c r="CR496" s="106"/>
      <c r="CS496" s="106"/>
      <c r="CT496" s="106"/>
      <c r="CU496" s="106"/>
      <c r="CV496" s="106"/>
      <c r="CW496" s="106"/>
      <c r="CX496" s="106"/>
      <c r="CY496" s="106"/>
      <c r="CZ496" s="106"/>
      <c r="DA496" s="106"/>
      <c r="DB496" s="106"/>
      <c r="DC496" s="106"/>
      <c r="DD496" s="106"/>
      <c r="DE496" s="106"/>
      <c r="DF496" s="106"/>
      <c r="DG496" s="106"/>
      <c r="DH496" s="106"/>
      <c r="DI496" s="106"/>
      <c r="DJ496" s="106"/>
      <c r="DK496" s="106"/>
      <c r="DL496" s="106"/>
      <c r="DM496" s="106"/>
      <c r="DN496" s="106"/>
      <c r="DO496" s="106"/>
      <c r="DP496" s="106"/>
      <c r="DQ496" s="106"/>
      <c r="DR496" s="106"/>
      <c r="DS496" s="106"/>
      <c r="DT496" s="106"/>
      <c r="DU496" s="106"/>
      <c r="DV496" s="106"/>
      <c r="DW496" s="106"/>
      <c r="DX496" s="106"/>
      <c r="DY496" s="106"/>
      <c r="DZ496" s="106"/>
      <c r="EA496" s="106"/>
      <c r="EB496" s="106"/>
      <c r="EC496" s="106"/>
      <c r="ED496" s="106"/>
      <c r="EE496" s="106"/>
      <c r="EF496" s="106"/>
      <c r="EG496" s="106"/>
      <c r="EH496" s="106"/>
      <c r="EI496" s="106"/>
    </row>
    <row r="497" spans="3:139" ht="15.75" customHeight="1" x14ac:dyDescent="0.25"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  <c r="CR497" s="106"/>
      <c r="CS497" s="106"/>
      <c r="CT497" s="106"/>
      <c r="CU497" s="106"/>
      <c r="CV497" s="106"/>
      <c r="CW497" s="106"/>
      <c r="CX497" s="106"/>
      <c r="CY497" s="106"/>
      <c r="CZ497" s="106"/>
      <c r="DA497" s="106"/>
      <c r="DB497" s="106"/>
      <c r="DC497" s="106"/>
      <c r="DD497" s="106"/>
      <c r="DE497" s="106"/>
      <c r="DF497" s="106"/>
      <c r="DG497" s="106"/>
      <c r="DH497" s="106"/>
      <c r="DI497" s="106"/>
      <c r="DJ497" s="106"/>
      <c r="DK497" s="106"/>
      <c r="DL497" s="106"/>
      <c r="DM497" s="106"/>
      <c r="DN497" s="106"/>
      <c r="DO497" s="106"/>
      <c r="DP497" s="106"/>
      <c r="DQ497" s="106"/>
      <c r="DR497" s="106"/>
      <c r="DS497" s="106"/>
      <c r="DT497" s="106"/>
      <c r="DU497" s="106"/>
      <c r="DV497" s="106"/>
      <c r="DW497" s="106"/>
      <c r="DX497" s="106"/>
      <c r="DY497" s="106"/>
      <c r="DZ497" s="106"/>
      <c r="EA497" s="106"/>
      <c r="EB497" s="106"/>
      <c r="EC497" s="106"/>
      <c r="ED497" s="106"/>
      <c r="EE497" s="106"/>
      <c r="EF497" s="106"/>
      <c r="EG497" s="106"/>
      <c r="EH497" s="106"/>
      <c r="EI497" s="106"/>
    </row>
    <row r="498" spans="3:139" ht="15.75" customHeight="1" x14ac:dyDescent="0.25"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  <c r="CR498" s="106"/>
      <c r="CS498" s="106"/>
      <c r="CT498" s="106"/>
      <c r="CU498" s="106"/>
      <c r="CV498" s="106"/>
      <c r="CW498" s="106"/>
      <c r="CX498" s="106"/>
      <c r="CY498" s="106"/>
      <c r="CZ498" s="106"/>
      <c r="DA498" s="106"/>
      <c r="DB498" s="106"/>
      <c r="DC498" s="106"/>
      <c r="DD498" s="106"/>
      <c r="DE498" s="106"/>
      <c r="DF498" s="106"/>
      <c r="DG498" s="106"/>
      <c r="DH498" s="106"/>
      <c r="DI498" s="106"/>
      <c r="DJ498" s="106"/>
      <c r="DK498" s="106"/>
      <c r="DL498" s="106"/>
      <c r="DM498" s="106"/>
      <c r="DN498" s="106"/>
      <c r="DO498" s="106"/>
      <c r="DP498" s="106"/>
      <c r="DQ498" s="106"/>
      <c r="DR498" s="106"/>
      <c r="DS498" s="106"/>
      <c r="DT498" s="106"/>
      <c r="DU498" s="106"/>
      <c r="DV498" s="106"/>
      <c r="DW498" s="106"/>
      <c r="DX498" s="106"/>
      <c r="DY498" s="106"/>
      <c r="DZ498" s="106"/>
      <c r="EA498" s="106"/>
      <c r="EB498" s="106"/>
      <c r="EC498" s="106"/>
      <c r="ED498" s="106"/>
      <c r="EE498" s="106"/>
      <c r="EF498" s="106"/>
      <c r="EG498" s="106"/>
      <c r="EH498" s="106"/>
      <c r="EI498" s="106"/>
    </row>
    <row r="499" spans="3:139" ht="15.75" customHeight="1" x14ac:dyDescent="0.25"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  <c r="CR499" s="106"/>
      <c r="CS499" s="106"/>
      <c r="CT499" s="106"/>
      <c r="CU499" s="106"/>
      <c r="CV499" s="106"/>
      <c r="CW499" s="106"/>
      <c r="CX499" s="106"/>
      <c r="CY499" s="106"/>
      <c r="CZ499" s="106"/>
      <c r="DA499" s="106"/>
      <c r="DB499" s="106"/>
      <c r="DC499" s="106"/>
      <c r="DD499" s="106"/>
      <c r="DE499" s="106"/>
      <c r="DF499" s="106"/>
      <c r="DG499" s="106"/>
      <c r="DH499" s="106"/>
      <c r="DI499" s="106"/>
      <c r="DJ499" s="106"/>
      <c r="DK499" s="106"/>
      <c r="DL499" s="106"/>
      <c r="DM499" s="106"/>
      <c r="DN499" s="106"/>
      <c r="DO499" s="106"/>
      <c r="DP499" s="106"/>
      <c r="DQ499" s="106"/>
      <c r="DR499" s="106"/>
      <c r="DS499" s="106"/>
      <c r="DT499" s="106"/>
      <c r="DU499" s="106"/>
      <c r="DV499" s="106"/>
      <c r="DW499" s="106"/>
      <c r="DX499" s="106"/>
      <c r="DY499" s="106"/>
      <c r="DZ499" s="106"/>
      <c r="EA499" s="106"/>
      <c r="EB499" s="106"/>
      <c r="EC499" s="106"/>
      <c r="ED499" s="106"/>
      <c r="EE499" s="106"/>
      <c r="EF499" s="106"/>
      <c r="EG499" s="106"/>
      <c r="EH499" s="106"/>
      <c r="EI499" s="106"/>
    </row>
    <row r="500" spans="3:139" ht="15.75" customHeight="1" x14ac:dyDescent="0.25"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  <c r="CZ500" s="106"/>
      <c r="DA500" s="106"/>
      <c r="DB500" s="106"/>
      <c r="DC500" s="106"/>
      <c r="DD500" s="106"/>
      <c r="DE500" s="106"/>
      <c r="DF500" s="106"/>
      <c r="DG500" s="106"/>
      <c r="DH500" s="106"/>
      <c r="DI500" s="106"/>
      <c r="DJ500" s="106"/>
      <c r="DK500" s="106"/>
      <c r="DL500" s="106"/>
      <c r="DM500" s="106"/>
      <c r="DN500" s="106"/>
      <c r="DO500" s="106"/>
      <c r="DP500" s="106"/>
      <c r="DQ500" s="106"/>
      <c r="DR500" s="106"/>
      <c r="DS500" s="106"/>
      <c r="DT500" s="106"/>
      <c r="DU500" s="106"/>
      <c r="DV500" s="106"/>
      <c r="DW500" s="106"/>
      <c r="DX500" s="106"/>
      <c r="DY500" s="106"/>
      <c r="DZ500" s="106"/>
      <c r="EA500" s="106"/>
      <c r="EB500" s="106"/>
      <c r="EC500" s="106"/>
      <c r="ED500" s="106"/>
      <c r="EE500" s="106"/>
      <c r="EF500" s="106"/>
      <c r="EG500" s="106"/>
      <c r="EH500" s="106"/>
      <c r="EI500" s="106"/>
    </row>
    <row r="501" spans="3:139" ht="15.75" customHeight="1" x14ac:dyDescent="0.25"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  <c r="CR501" s="106"/>
      <c r="CS501" s="106"/>
      <c r="CT501" s="106"/>
      <c r="CU501" s="106"/>
      <c r="CV501" s="106"/>
      <c r="CW501" s="106"/>
      <c r="CX501" s="106"/>
      <c r="CY501" s="106"/>
      <c r="CZ501" s="106"/>
      <c r="DA501" s="106"/>
      <c r="DB501" s="106"/>
      <c r="DC501" s="106"/>
      <c r="DD501" s="106"/>
      <c r="DE501" s="106"/>
      <c r="DF501" s="106"/>
      <c r="DG501" s="106"/>
      <c r="DH501" s="106"/>
      <c r="DI501" s="106"/>
      <c r="DJ501" s="106"/>
      <c r="DK501" s="106"/>
      <c r="DL501" s="106"/>
      <c r="DM501" s="106"/>
      <c r="DN501" s="106"/>
      <c r="DO501" s="106"/>
      <c r="DP501" s="106"/>
      <c r="DQ501" s="106"/>
      <c r="DR501" s="106"/>
      <c r="DS501" s="106"/>
      <c r="DT501" s="106"/>
      <c r="DU501" s="106"/>
      <c r="DV501" s="106"/>
      <c r="DW501" s="106"/>
      <c r="DX501" s="106"/>
      <c r="DY501" s="106"/>
      <c r="DZ501" s="106"/>
      <c r="EA501" s="106"/>
      <c r="EB501" s="106"/>
      <c r="EC501" s="106"/>
      <c r="ED501" s="106"/>
      <c r="EE501" s="106"/>
      <c r="EF501" s="106"/>
      <c r="EG501" s="106"/>
      <c r="EH501" s="106"/>
      <c r="EI501" s="106"/>
    </row>
    <row r="502" spans="3:139" ht="15.75" customHeight="1" x14ac:dyDescent="0.25"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  <c r="CR502" s="106"/>
      <c r="CS502" s="106"/>
      <c r="CT502" s="106"/>
      <c r="CU502" s="106"/>
      <c r="CV502" s="106"/>
      <c r="CW502" s="106"/>
      <c r="CX502" s="106"/>
      <c r="CY502" s="106"/>
      <c r="CZ502" s="106"/>
      <c r="DA502" s="106"/>
      <c r="DB502" s="106"/>
      <c r="DC502" s="106"/>
      <c r="DD502" s="106"/>
      <c r="DE502" s="106"/>
      <c r="DF502" s="106"/>
      <c r="DG502" s="106"/>
      <c r="DH502" s="106"/>
      <c r="DI502" s="106"/>
      <c r="DJ502" s="106"/>
      <c r="DK502" s="106"/>
      <c r="DL502" s="106"/>
      <c r="DM502" s="106"/>
      <c r="DN502" s="106"/>
      <c r="DO502" s="106"/>
      <c r="DP502" s="106"/>
      <c r="DQ502" s="106"/>
      <c r="DR502" s="106"/>
      <c r="DS502" s="106"/>
      <c r="DT502" s="106"/>
      <c r="DU502" s="106"/>
      <c r="DV502" s="106"/>
      <c r="DW502" s="106"/>
      <c r="DX502" s="106"/>
      <c r="DY502" s="106"/>
      <c r="DZ502" s="106"/>
      <c r="EA502" s="106"/>
      <c r="EB502" s="106"/>
      <c r="EC502" s="106"/>
      <c r="ED502" s="106"/>
      <c r="EE502" s="106"/>
      <c r="EF502" s="106"/>
      <c r="EG502" s="106"/>
      <c r="EH502" s="106"/>
      <c r="EI502" s="106"/>
    </row>
    <row r="503" spans="3:139" ht="15.75" customHeight="1" x14ac:dyDescent="0.25"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  <c r="CR503" s="106"/>
      <c r="CS503" s="106"/>
      <c r="CT503" s="106"/>
      <c r="CU503" s="106"/>
      <c r="CV503" s="106"/>
      <c r="CW503" s="106"/>
      <c r="CX503" s="106"/>
      <c r="CY503" s="106"/>
      <c r="CZ503" s="106"/>
      <c r="DA503" s="106"/>
      <c r="DB503" s="106"/>
      <c r="DC503" s="106"/>
      <c r="DD503" s="106"/>
      <c r="DE503" s="106"/>
      <c r="DF503" s="106"/>
      <c r="DG503" s="106"/>
      <c r="DH503" s="106"/>
      <c r="DI503" s="106"/>
      <c r="DJ503" s="106"/>
      <c r="DK503" s="106"/>
      <c r="DL503" s="106"/>
      <c r="DM503" s="106"/>
      <c r="DN503" s="106"/>
      <c r="DO503" s="106"/>
      <c r="DP503" s="106"/>
      <c r="DQ503" s="106"/>
      <c r="DR503" s="106"/>
      <c r="DS503" s="106"/>
      <c r="DT503" s="106"/>
      <c r="DU503" s="106"/>
      <c r="DV503" s="106"/>
      <c r="DW503" s="106"/>
      <c r="DX503" s="106"/>
      <c r="DY503" s="106"/>
      <c r="DZ503" s="106"/>
      <c r="EA503" s="106"/>
      <c r="EB503" s="106"/>
      <c r="EC503" s="106"/>
      <c r="ED503" s="106"/>
      <c r="EE503" s="106"/>
      <c r="EF503" s="106"/>
      <c r="EG503" s="106"/>
      <c r="EH503" s="106"/>
      <c r="EI503" s="106"/>
    </row>
    <row r="504" spans="3:139" ht="15.75" customHeight="1" x14ac:dyDescent="0.25"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  <c r="CR504" s="106"/>
      <c r="CS504" s="106"/>
      <c r="CT504" s="106"/>
      <c r="CU504" s="106"/>
      <c r="CV504" s="106"/>
      <c r="CW504" s="106"/>
      <c r="CX504" s="106"/>
      <c r="CY504" s="106"/>
      <c r="CZ504" s="106"/>
      <c r="DA504" s="106"/>
      <c r="DB504" s="106"/>
      <c r="DC504" s="106"/>
      <c r="DD504" s="106"/>
      <c r="DE504" s="106"/>
      <c r="DF504" s="106"/>
      <c r="DG504" s="106"/>
      <c r="DH504" s="106"/>
      <c r="DI504" s="106"/>
      <c r="DJ504" s="106"/>
      <c r="DK504" s="106"/>
      <c r="DL504" s="106"/>
      <c r="DM504" s="106"/>
      <c r="DN504" s="106"/>
      <c r="DO504" s="106"/>
      <c r="DP504" s="106"/>
      <c r="DQ504" s="106"/>
      <c r="DR504" s="106"/>
      <c r="DS504" s="106"/>
      <c r="DT504" s="106"/>
      <c r="DU504" s="106"/>
      <c r="DV504" s="106"/>
      <c r="DW504" s="106"/>
      <c r="DX504" s="106"/>
      <c r="DY504" s="106"/>
      <c r="DZ504" s="106"/>
      <c r="EA504" s="106"/>
      <c r="EB504" s="106"/>
      <c r="EC504" s="106"/>
      <c r="ED504" s="106"/>
      <c r="EE504" s="106"/>
      <c r="EF504" s="106"/>
      <c r="EG504" s="106"/>
      <c r="EH504" s="106"/>
      <c r="EI504" s="106"/>
    </row>
    <row r="505" spans="3:139" ht="15.75" customHeight="1" x14ac:dyDescent="0.25"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  <c r="CR505" s="106"/>
      <c r="CS505" s="106"/>
      <c r="CT505" s="106"/>
      <c r="CU505" s="106"/>
      <c r="CV505" s="106"/>
      <c r="CW505" s="106"/>
      <c r="CX505" s="106"/>
      <c r="CY505" s="106"/>
      <c r="CZ505" s="106"/>
      <c r="DA505" s="106"/>
      <c r="DB505" s="106"/>
      <c r="DC505" s="106"/>
      <c r="DD505" s="106"/>
      <c r="DE505" s="106"/>
      <c r="DF505" s="106"/>
      <c r="DG505" s="106"/>
      <c r="DH505" s="106"/>
      <c r="DI505" s="106"/>
      <c r="DJ505" s="106"/>
      <c r="DK505" s="106"/>
      <c r="DL505" s="106"/>
      <c r="DM505" s="106"/>
      <c r="DN505" s="106"/>
      <c r="DO505" s="106"/>
      <c r="DP505" s="106"/>
      <c r="DQ505" s="106"/>
      <c r="DR505" s="106"/>
      <c r="DS505" s="106"/>
      <c r="DT505" s="106"/>
      <c r="DU505" s="106"/>
      <c r="DV505" s="106"/>
      <c r="DW505" s="106"/>
      <c r="DX505" s="106"/>
      <c r="DY505" s="106"/>
      <c r="DZ505" s="106"/>
      <c r="EA505" s="106"/>
      <c r="EB505" s="106"/>
      <c r="EC505" s="106"/>
      <c r="ED505" s="106"/>
      <c r="EE505" s="106"/>
      <c r="EF505" s="106"/>
      <c r="EG505" s="106"/>
      <c r="EH505" s="106"/>
      <c r="EI505" s="106"/>
    </row>
    <row r="506" spans="3:139" ht="15.75" customHeight="1" x14ac:dyDescent="0.25"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  <c r="CR506" s="106"/>
      <c r="CS506" s="106"/>
      <c r="CT506" s="106"/>
      <c r="CU506" s="106"/>
      <c r="CV506" s="106"/>
      <c r="CW506" s="106"/>
      <c r="CX506" s="106"/>
      <c r="CY506" s="106"/>
      <c r="CZ506" s="106"/>
      <c r="DA506" s="106"/>
      <c r="DB506" s="106"/>
      <c r="DC506" s="106"/>
      <c r="DD506" s="106"/>
      <c r="DE506" s="106"/>
      <c r="DF506" s="106"/>
      <c r="DG506" s="106"/>
      <c r="DH506" s="106"/>
      <c r="DI506" s="106"/>
      <c r="DJ506" s="106"/>
      <c r="DK506" s="106"/>
      <c r="DL506" s="106"/>
      <c r="DM506" s="106"/>
      <c r="DN506" s="106"/>
      <c r="DO506" s="106"/>
      <c r="DP506" s="106"/>
      <c r="DQ506" s="106"/>
      <c r="DR506" s="106"/>
      <c r="DS506" s="106"/>
      <c r="DT506" s="106"/>
      <c r="DU506" s="106"/>
      <c r="DV506" s="106"/>
      <c r="DW506" s="106"/>
      <c r="DX506" s="106"/>
      <c r="DY506" s="106"/>
      <c r="DZ506" s="106"/>
      <c r="EA506" s="106"/>
      <c r="EB506" s="106"/>
      <c r="EC506" s="106"/>
      <c r="ED506" s="106"/>
      <c r="EE506" s="106"/>
      <c r="EF506" s="106"/>
      <c r="EG506" s="106"/>
      <c r="EH506" s="106"/>
      <c r="EI506" s="106"/>
    </row>
    <row r="507" spans="3:139" ht="15.75" customHeight="1" x14ac:dyDescent="0.25"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  <c r="CR507" s="106"/>
      <c r="CS507" s="106"/>
      <c r="CT507" s="106"/>
      <c r="CU507" s="106"/>
      <c r="CV507" s="106"/>
      <c r="CW507" s="106"/>
      <c r="CX507" s="106"/>
      <c r="CY507" s="106"/>
      <c r="CZ507" s="106"/>
      <c r="DA507" s="106"/>
      <c r="DB507" s="106"/>
      <c r="DC507" s="106"/>
      <c r="DD507" s="106"/>
      <c r="DE507" s="106"/>
      <c r="DF507" s="106"/>
      <c r="DG507" s="106"/>
      <c r="DH507" s="106"/>
      <c r="DI507" s="106"/>
      <c r="DJ507" s="106"/>
      <c r="DK507" s="106"/>
      <c r="DL507" s="106"/>
      <c r="DM507" s="106"/>
      <c r="DN507" s="106"/>
      <c r="DO507" s="106"/>
      <c r="DP507" s="106"/>
      <c r="DQ507" s="106"/>
      <c r="DR507" s="106"/>
      <c r="DS507" s="106"/>
      <c r="DT507" s="106"/>
      <c r="DU507" s="106"/>
      <c r="DV507" s="106"/>
      <c r="DW507" s="106"/>
      <c r="DX507" s="106"/>
      <c r="DY507" s="106"/>
      <c r="DZ507" s="106"/>
      <c r="EA507" s="106"/>
      <c r="EB507" s="106"/>
      <c r="EC507" s="106"/>
      <c r="ED507" s="106"/>
      <c r="EE507" s="106"/>
      <c r="EF507" s="106"/>
      <c r="EG507" s="106"/>
      <c r="EH507" s="106"/>
      <c r="EI507" s="106"/>
    </row>
    <row r="508" spans="3:139" ht="15.75" customHeight="1" x14ac:dyDescent="0.25"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  <c r="CR508" s="106"/>
      <c r="CS508" s="106"/>
      <c r="CT508" s="106"/>
      <c r="CU508" s="106"/>
      <c r="CV508" s="106"/>
      <c r="CW508" s="106"/>
      <c r="CX508" s="106"/>
      <c r="CY508" s="106"/>
      <c r="CZ508" s="106"/>
      <c r="DA508" s="106"/>
      <c r="DB508" s="106"/>
      <c r="DC508" s="106"/>
      <c r="DD508" s="106"/>
      <c r="DE508" s="106"/>
      <c r="DF508" s="106"/>
      <c r="DG508" s="106"/>
      <c r="DH508" s="106"/>
      <c r="DI508" s="106"/>
      <c r="DJ508" s="106"/>
      <c r="DK508" s="106"/>
      <c r="DL508" s="106"/>
      <c r="DM508" s="106"/>
      <c r="DN508" s="106"/>
      <c r="DO508" s="106"/>
      <c r="DP508" s="106"/>
      <c r="DQ508" s="106"/>
      <c r="DR508" s="106"/>
      <c r="DS508" s="106"/>
      <c r="DT508" s="106"/>
      <c r="DU508" s="106"/>
      <c r="DV508" s="106"/>
      <c r="DW508" s="106"/>
      <c r="DX508" s="106"/>
      <c r="DY508" s="106"/>
      <c r="DZ508" s="106"/>
      <c r="EA508" s="106"/>
      <c r="EB508" s="106"/>
      <c r="EC508" s="106"/>
      <c r="ED508" s="106"/>
      <c r="EE508" s="106"/>
      <c r="EF508" s="106"/>
      <c r="EG508" s="106"/>
      <c r="EH508" s="106"/>
      <c r="EI508" s="106"/>
    </row>
    <row r="509" spans="3:139" ht="15.75" customHeight="1" x14ac:dyDescent="0.25"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  <c r="CR509" s="106"/>
      <c r="CS509" s="106"/>
      <c r="CT509" s="106"/>
      <c r="CU509" s="106"/>
      <c r="CV509" s="106"/>
      <c r="CW509" s="106"/>
      <c r="CX509" s="106"/>
      <c r="CY509" s="106"/>
      <c r="CZ509" s="106"/>
      <c r="DA509" s="106"/>
      <c r="DB509" s="106"/>
      <c r="DC509" s="106"/>
      <c r="DD509" s="106"/>
      <c r="DE509" s="106"/>
      <c r="DF509" s="106"/>
      <c r="DG509" s="106"/>
      <c r="DH509" s="106"/>
      <c r="DI509" s="106"/>
      <c r="DJ509" s="106"/>
      <c r="DK509" s="106"/>
      <c r="DL509" s="106"/>
      <c r="DM509" s="106"/>
      <c r="DN509" s="106"/>
      <c r="DO509" s="106"/>
      <c r="DP509" s="106"/>
      <c r="DQ509" s="106"/>
      <c r="DR509" s="106"/>
      <c r="DS509" s="106"/>
      <c r="DT509" s="106"/>
      <c r="DU509" s="106"/>
      <c r="DV509" s="106"/>
      <c r="DW509" s="106"/>
      <c r="DX509" s="106"/>
      <c r="DY509" s="106"/>
      <c r="DZ509" s="106"/>
      <c r="EA509" s="106"/>
      <c r="EB509" s="106"/>
      <c r="EC509" s="106"/>
      <c r="ED509" s="106"/>
      <c r="EE509" s="106"/>
      <c r="EF509" s="106"/>
      <c r="EG509" s="106"/>
      <c r="EH509" s="106"/>
      <c r="EI509" s="106"/>
    </row>
    <row r="510" spans="3:139" ht="15.75" customHeight="1" x14ac:dyDescent="0.25"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  <c r="CR510" s="106"/>
      <c r="CS510" s="106"/>
      <c r="CT510" s="106"/>
      <c r="CU510" s="106"/>
      <c r="CV510" s="106"/>
      <c r="CW510" s="106"/>
      <c r="CX510" s="106"/>
      <c r="CY510" s="106"/>
      <c r="CZ510" s="106"/>
      <c r="DA510" s="106"/>
      <c r="DB510" s="106"/>
      <c r="DC510" s="106"/>
      <c r="DD510" s="106"/>
      <c r="DE510" s="106"/>
      <c r="DF510" s="106"/>
      <c r="DG510" s="106"/>
      <c r="DH510" s="106"/>
      <c r="DI510" s="106"/>
      <c r="DJ510" s="106"/>
      <c r="DK510" s="106"/>
      <c r="DL510" s="106"/>
      <c r="DM510" s="106"/>
      <c r="DN510" s="106"/>
      <c r="DO510" s="106"/>
      <c r="DP510" s="106"/>
      <c r="DQ510" s="106"/>
      <c r="DR510" s="106"/>
      <c r="DS510" s="106"/>
      <c r="DT510" s="106"/>
      <c r="DU510" s="106"/>
      <c r="DV510" s="106"/>
      <c r="DW510" s="106"/>
      <c r="DX510" s="106"/>
      <c r="DY510" s="106"/>
      <c r="DZ510" s="106"/>
      <c r="EA510" s="106"/>
      <c r="EB510" s="106"/>
      <c r="EC510" s="106"/>
      <c r="ED510" s="106"/>
      <c r="EE510" s="106"/>
      <c r="EF510" s="106"/>
      <c r="EG510" s="106"/>
      <c r="EH510" s="106"/>
      <c r="EI510" s="106"/>
    </row>
    <row r="511" spans="3:139" ht="15.75" customHeight="1" x14ac:dyDescent="0.25"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  <c r="CR511" s="106"/>
      <c r="CS511" s="106"/>
      <c r="CT511" s="106"/>
      <c r="CU511" s="106"/>
      <c r="CV511" s="106"/>
      <c r="CW511" s="106"/>
      <c r="CX511" s="106"/>
      <c r="CY511" s="106"/>
      <c r="CZ511" s="106"/>
      <c r="DA511" s="106"/>
      <c r="DB511" s="106"/>
      <c r="DC511" s="106"/>
      <c r="DD511" s="106"/>
      <c r="DE511" s="106"/>
      <c r="DF511" s="106"/>
      <c r="DG511" s="106"/>
      <c r="DH511" s="106"/>
      <c r="DI511" s="106"/>
      <c r="DJ511" s="106"/>
      <c r="DK511" s="106"/>
      <c r="DL511" s="106"/>
      <c r="DM511" s="106"/>
      <c r="DN511" s="106"/>
      <c r="DO511" s="106"/>
      <c r="DP511" s="106"/>
      <c r="DQ511" s="106"/>
      <c r="DR511" s="106"/>
      <c r="DS511" s="106"/>
      <c r="DT511" s="106"/>
      <c r="DU511" s="106"/>
      <c r="DV511" s="106"/>
      <c r="DW511" s="106"/>
      <c r="DX511" s="106"/>
      <c r="DY511" s="106"/>
      <c r="DZ511" s="106"/>
      <c r="EA511" s="106"/>
      <c r="EB511" s="106"/>
      <c r="EC511" s="106"/>
      <c r="ED511" s="106"/>
      <c r="EE511" s="106"/>
      <c r="EF511" s="106"/>
      <c r="EG511" s="106"/>
      <c r="EH511" s="106"/>
      <c r="EI511" s="106"/>
    </row>
    <row r="512" spans="3:139" ht="15.75" customHeight="1" x14ac:dyDescent="0.25"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  <c r="CR512" s="106"/>
      <c r="CS512" s="106"/>
      <c r="CT512" s="106"/>
      <c r="CU512" s="106"/>
      <c r="CV512" s="106"/>
      <c r="CW512" s="106"/>
      <c r="CX512" s="106"/>
      <c r="CY512" s="106"/>
      <c r="CZ512" s="106"/>
      <c r="DA512" s="106"/>
      <c r="DB512" s="106"/>
      <c r="DC512" s="106"/>
      <c r="DD512" s="106"/>
      <c r="DE512" s="106"/>
      <c r="DF512" s="106"/>
      <c r="DG512" s="106"/>
      <c r="DH512" s="106"/>
      <c r="DI512" s="106"/>
      <c r="DJ512" s="106"/>
      <c r="DK512" s="106"/>
      <c r="DL512" s="106"/>
      <c r="DM512" s="106"/>
      <c r="DN512" s="106"/>
      <c r="DO512" s="106"/>
      <c r="DP512" s="106"/>
      <c r="DQ512" s="106"/>
      <c r="DR512" s="106"/>
      <c r="DS512" s="106"/>
      <c r="DT512" s="106"/>
      <c r="DU512" s="106"/>
      <c r="DV512" s="106"/>
      <c r="DW512" s="106"/>
      <c r="DX512" s="106"/>
      <c r="DY512" s="106"/>
      <c r="DZ512" s="106"/>
      <c r="EA512" s="106"/>
      <c r="EB512" s="106"/>
      <c r="EC512" s="106"/>
      <c r="ED512" s="106"/>
      <c r="EE512" s="106"/>
      <c r="EF512" s="106"/>
      <c r="EG512" s="106"/>
      <c r="EH512" s="106"/>
      <c r="EI512" s="106"/>
    </row>
    <row r="513" spans="3:139" ht="15.75" customHeight="1" x14ac:dyDescent="0.25"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  <c r="CR513" s="106"/>
      <c r="CS513" s="106"/>
      <c r="CT513" s="106"/>
      <c r="CU513" s="106"/>
      <c r="CV513" s="106"/>
      <c r="CW513" s="106"/>
      <c r="CX513" s="106"/>
      <c r="CY513" s="106"/>
      <c r="CZ513" s="106"/>
      <c r="DA513" s="106"/>
      <c r="DB513" s="106"/>
      <c r="DC513" s="106"/>
      <c r="DD513" s="106"/>
      <c r="DE513" s="106"/>
      <c r="DF513" s="106"/>
      <c r="DG513" s="106"/>
      <c r="DH513" s="106"/>
      <c r="DI513" s="106"/>
      <c r="DJ513" s="106"/>
      <c r="DK513" s="106"/>
      <c r="DL513" s="106"/>
      <c r="DM513" s="106"/>
      <c r="DN513" s="106"/>
      <c r="DO513" s="106"/>
      <c r="DP513" s="106"/>
      <c r="DQ513" s="106"/>
      <c r="DR513" s="106"/>
      <c r="DS513" s="106"/>
      <c r="DT513" s="106"/>
      <c r="DU513" s="106"/>
      <c r="DV513" s="106"/>
      <c r="DW513" s="106"/>
      <c r="DX513" s="106"/>
      <c r="DY513" s="106"/>
      <c r="DZ513" s="106"/>
      <c r="EA513" s="106"/>
      <c r="EB513" s="106"/>
      <c r="EC513" s="106"/>
      <c r="ED513" s="106"/>
      <c r="EE513" s="106"/>
      <c r="EF513" s="106"/>
      <c r="EG513" s="106"/>
      <c r="EH513" s="106"/>
      <c r="EI513" s="106"/>
    </row>
    <row r="514" spans="3:139" ht="15.75" customHeight="1" x14ac:dyDescent="0.25"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  <c r="CR514" s="106"/>
      <c r="CS514" s="106"/>
      <c r="CT514" s="106"/>
      <c r="CU514" s="106"/>
      <c r="CV514" s="106"/>
      <c r="CW514" s="106"/>
      <c r="CX514" s="106"/>
      <c r="CY514" s="106"/>
      <c r="CZ514" s="106"/>
      <c r="DA514" s="106"/>
      <c r="DB514" s="106"/>
      <c r="DC514" s="106"/>
      <c r="DD514" s="106"/>
      <c r="DE514" s="106"/>
      <c r="DF514" s="106"/>
      <c r="DG514" s="106"/>
      <c r="DH514" s="106"/>
      <c r="DI514" s="106"/>
      <c r="DJ514" s="106"/>
      <c r="DK514" s="106"/>
      <c r="DL514" s="106"/>
      <c r="DM514" s="106"/>
      <c r="DN514" s="106"/>
      <c r="DO514" s="106"/>
      <c r="DP514" s="106"/>
      <c r="DQ514" s="106"/>
      <c r="DR514" s="106"/>
      <c r="DS514" s="106"/>
      <c r="DT514" s="106"/>
      <c r="DU514" s="106"/>
      <c r="DV514" s="106"/>
      <c r="DW514" s="106"/>
      <c r="DX514" s="106"/>
      <c r="DY514" s="106"/>
      <c r="DZ514" s="106"/>
      <c r="EA514" s="106"/>
      <c r="EB514" s="106"/>
      <c r="EC514" s="106"/>
      <c r="ED514" s="106"/>
      <c r="EE514" s="106"/>
      <c r="EF514" s="106"/>
      <c r="EG514" s="106"/>
      <c r="EH514" s="106"/>
      <c r="EI514" s="106"/>
    </row>
    <row r="515" spans="3:139" ht="15.75" customHeight="1" x14ac:dyDescent="0.25"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  <c r="CR515" s="106"/>
      <c r="CS515" s="106"/>
      <c r="CT515" s="106"/>
      <c r="CU515" s="106"/>
      <c r="CV515" s="106"/>
      <c r="CW515" s="106"/>
      <c r="CX515" s="106"/>
      <c r="CY515" s="106"/>
      <c r="CZ515" s="106"/>
      <c r="DA515" s="106"/>
      <c r="DB515" s="106"/>
      <c r="DC515" s="106"/>
      <c r="DD515" s="106"/>
      <c r="DE515" s="106"/>
      <c r="DF515" s="106"/>
      <c r="DG515" s="106"/>
      <c r="DH515" s="106"/>
      <c r="DI515" s="106"/>
      <c r="DJ515" s="106"/>
      <c r="DK515" s="106"/>
      <c r="DL515" s="106"/>
      <c r="DM515" s="106"/>
      <c r="DN515" s="106"/>
      <c r="DO515" s="106"/>
      <c r="DP515" s="106"/>
      <c r="DQ515" s="106"/>
      <c r="DR515" s="106"/>
      <c r="DS515" s="106"/>
      <c r="DT515" s="106"/>
      <c r="DU515" s="106"/>
      <c r="DV515" s="106"/>
      <c r="DW515" s="106"/>
      <c r="DX515" s="106"/>
      <c r="DY515" s="106"/>
      <c r="DZ515" s="106"/>
      <c r="EA515" s="106"/>
      <c r="EB515" s="106"/>
      <c r="EC515" s="106"/>
      <c r="ED515" s="106"/>
      <c r="EE515" s="106"/>
      <c r="EF515" s="106"/>
      <c r="EG515" s="106"/>
      <c r="EH515" s="106"/>
      <c r="EI515" s="106"/>
    </row>
    <row r="516" spans="3:139" ht="15.75" customHeight="1" x14ac:dyDescent="0.25"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  <c r="CR516" s="106"/>
      <c r="CS516" s="106"/>
      <c r="CT516" s="106"/>
      <c r="CU516" s="106"/>
      <c r="CV516" s="106"/>
      <c r="CW516" s="106"/>
      <c r="CX516" s="106"/>
      <c r="CY516" s="106"/>
      <c r="CZ516" s="106"/>
      <c r="DA516" s="106"/>
      <c r="DB516" s="106"/>
      <c r="DC516" s="106"/>
      <c r="DD516" s="106"/>
      <c r="DE516" s="106"/>
      <c r="DF516" s="106"/>
      <c r="DG516" s="106"/>
      <c r="DH516" s="106"/>
      <c r="DI516" s="106"/>
      <c r="DJ516" s="106"/>
      <c r="DK516" s="106"/>
      <c r="DL516" s="106"/>
      <c r="DM516" s="106"/>
      <c r="DN516" s="106"/>
      <c r="DO516" s="106"/>
      <c r="DP516" s="106"/>
      <c r="DQ516" s="106"/>
      <c r="DR516" s="106"/>
      <c r="DS516" s="106"/>
      <c r="DT516" s="106"/>
      <c r="DU516" s="106"/>
      <c r="DV516" s="106"/>
      <c r="DW516" s="106"/>
      <c r="DX516" s="106"/>
      <c r="DY516" s="106"/>
      <c r="DZ516" s="106"/>
      <c r="EA516" s="106"/>
      <c r="EB516" s="106"/>
      <c r="EC516" s="106"/>
      <c r="ED516" s="106"/>
      <c r="EE516" s="106"/>
      <c r="EF516" s="106"/>
      <c r="EG516" s="106"/>
      <c r="EH516" s="106"/>
      <c r="EI516" s="106"/>
    </row>
    <row r="517" spans="3:139" ht="15.75" customHeight="1" x14ac:dyDescent="0.25"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  <c r="CR517" s="106"/>
      <c r="CS517" s="106"/>
      <c r="CT517" s="106"/>
      <c r="CU517" s="106"/>
      <c r="CV517" s="106"/>
      <c r="CW517" s="106"/>
      <c r="CX517" s="106"/>
      <c r="CY517" s="106"/>
      <c r="CZ517" s="106"/>
      <c r="DA517" s="106"/>
      <c r="DB517" s="106"/>
      <c r="DC517" s="106"/>
      <c r="DD517" s="106"/>
      <c r="DE517" s="106"/>
      <c r="DF517" s="106"/>
      <c r="DG517" s="106"/>
      <c r="DH517" s="106"/>
      <c r="DI517" s="106"/>
      <c r="DJ517" s="106"/>
      <c r="DK517" s="106"/>
      <c r="DL517" s="106"/>
      <c r="DM517" s="106"/>
      <c r="DN517" s="106"/>
      <c r="DO517" s="106"/>
      <c r="DP517" s="106"/>
      <c r="DQ517" s="106"/>
      <c r="DR517" s="106"/>
      <c r="DS517" s="106"/>
      <c r="DT517" s="106"/>
      <c r="DU517" s="106"/>
      <c r="DV517" s="106"/>
      <c r="DW517" s="106"/>
      <c r="DX517" s="106"/>
      <c r="DY517" s="106"/>
      <c r="DZ517" s="106"/>
      <c r="EA517" s="106"/>
      <c r="EB517" s="106"/>
      <c r="EC517" s="106"/>
      <c r="ED517" s="106"/>
      <c r="EE517" s="106"/>
      <c r="EF517" s="106"/>
      <c r="EG517" s="106"/>
      <c r="EH517" s="106"/>
      <c r="EI517" s="106"/>
    </row>
    <row r="518" spans="3:139" ht="15.75" customHeight="1" x14ac:dyDescent="0.25"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  <c r="CR518" s="106"/>
      <c r="CS518" s="106"/>
      <c r="CT518" s="106"/>
      <c r="CU518" s="106"/>
      <c r="CV518" s="106"/>
      <c r="CW518" s="106"/>
      <c r="CX518" s="106"/>
      <c r="CY518" s="106"/>
      <c r="CZ518" s="106"/>
      <c r="DA518" s="106"/>
      <c r="DB518" s="106"/>
      <c r="DC518" s="106"/>
      <c r="DD518" s="106"/>
      <c r="DE518" s="106"/>
      <c r="DF518" s="106"/>
      <c r="DG518" s="106"/>
      <c r="DH518" s="106"/>
      <c r="DI518" s="106"/>
      <c r="DJ518" s="106"/>
      <c r="DK518" s="106"/>
      <c r="DL518" s="106"/>
      <c r="DM518" s="106"/>
      <c r="DN518" s="106"/>
      <c r="DO518" s="106"/>
      <c r="DP518" s="106"/>
      <c r="DQ518" s="106"/>
      <c r="DR518" s="106"/>
      <c r="DS518" s="106"/>
      <c r="DT518" s="106"/>
      <c r="DU518" s="106"/>
      <c r="DV518" s="106"/>
      <c r="DW518" s="106"/>
      <c r="DX518" s="106"/>
      <c r="DY518" s="106"/>
      <c r="DZ518" s="106"/>
      <c r="EA518" s="106"/>
      <c r="EB518" s="106"/>
      <c r="EC518" s="106"/>
      <c r="ED518" s="106"/>
      <c r="EE518" s="106"/>
      <c r="EF518" s="106"/>
      <c r="EG518" s="106"/>
      <c r="EH518" s="106"/>
      <c r="EI518" s="106"/>
    </row>
    <row r="519" spans="3:139" ht="15.75" customHeight="1" x14ac:dyDescent="0.25"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  <c r="CR519" s="106"/>
      <c r="CS519" s="106"/>
      <c r="CT519" s="106"/>
      <c r="CU519" s="106"/>
      <c r="CV519" s="106"/>
      <c r="CW519" s="106"/>
      <c r="CX519" s="106"/>
      <c r="CY519" s="106"/>
      <c r="CZ519" s="106"/>
      <c r="DA519" s="106"/>
      <c r="DB519" s="106"/>
      <c r="DC519" s="106"/>
      <c r="DD519" s="106"/>
      <c r="DE519" s="106"/>
      <c r="DF519" s="106"/>
      <c r="DG519" s="106"/>
      <c r="DH519" s="106"/>
      <c r="DI519" s="106"/>
      <c r="DJ519" s="106"/>
      <c r="DK519" s="106"/>
      <c r="DL519" s="106"/>
      <c r="DM519" s="106"/>
      <c r="DN519" s="106"/>
      <c r="DO519" s="106"/>
      <c r="DP519" s="106"/>
      <c r="DQ519" s="106"/>
      <c r="DR519" s="106"/>
      <c r="DS519" s="106"/>
      <c r="DT519" s="106"/>
      <c r="DU519" s="106"/>
      <c r="DV519" s="106"/>
      <c r="DW519" s="106"/>
      <c r="DX519" s="106"/>
      <c r="DY519" s="106"/>
      <c r="DZ519" s="106"/>
      <c r="EA519" s="106"/>
      <c r="EB519" s="106"/>
      <c r="EC519" s="106"/>
      <c r="ED519" s="106"/>
      <c r="EE519" s="106"/>
      <c r="EF519" s="106"/>
      <c r="EG519" s="106"/>
      <c r="EH519" s="106"/>
      <c r="EI519" s="106"/>
    </row>
    <row r="520" spans="3:139" ht="15.75" customHeight="1" x14ac:dyDescent="0.25"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  <c r="CR520" s="106"/>
      <c r="CS520" s="106"/>
      <c r="CT520" s="106"/>
      <c r="CU520" s="106"/>
      <c r="CV520" s="106"/>
      <c r="CW520" s="106"/>
      <c r="CX520" s="106"/>
      <c r="CY520" s="106"/>
      <c r="CZ520" s="106"/>
      <c r="DA520" s="106"/>
      <c r="DB520" s="106"/>
      <c r="DC520" s="106"/>
      <c r="DD520" s="106"/>
      <c r="DE520" s="106"/>
      <c r="DF520" s="106"/>
      <c r="DG520" s="106"/>
      <c r="DH520" s="106"/>
      <c r="DI520" s="106"/>
      <c r="DJ520" s="106"/>
      <c r="DK520" s="106"/>
      <c r="DL520" s="106"/>
      <c r="DM520" s="106"/>
      <c r="DN520" s="106"/>
      <c r="DO520" s="106"/>
      <c r="DP520" s="106"/>
      <c r="DQ520" s="106"/>
      <c r="DR520" s="106"/>
      <c r="DS520" s="106"/>
      <c r="DT520" s="106"/>
      <c r="DU520" s="106"/>
      <c r="DV520" s="106"/>
      <c r="DW520" s="106"/>
      <c r="DX520" s="106"/>
      <c r="DY520" s="106"/>
      <c r="DZ520" s="106"/>
      <c r="EA520" s="106"/>
      <c r="EB520" s="106"/>
      <c r="EC520" s="106"/>
      <c r="ED520" s="106"/>
      <c r="EE520" s="106"/>
      <c r="EF520" s="106"/>
      <c r="EG520" s="106"/>
      <c r="EH520" s="106"/>
      <c r="EI520" s="106"/>
    </row>
    <row r="521" spans="3:139" ht="15.75" customHeight="1" x14ac:dyDescent="0.25"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  <c r="CR521" s="106"/>
      <c r="CS521" s="106"/>
      <c r="CT521" s="106"/>
      <c r="CU521" s="106"/>
      <c r="CV521" s="106"/>
      <c r="CW521" s="106"/>
      <c r="CX521" s="106"/>
      <c r="CY521" s="106"/>
      <c r="CZ521" s="106"/>
      <c r="DA521" s="106"/>
      <c r="DB521" s="106"/>
      <c r="DC521" s="106"/>
      <c r="DD521" s="106"/>
      <c r="DE521" s="106"/>
      <c r="DF521" s="106"/>
      <c r="DG521" s="106"/>
      <c r="DH521" s="106"/>
      <c r="DI521" s="106"/>
      <c r="DJ521" s="106"/>
      <c r="DK521" s="106"/>
      <c r="DL521" s="106"/>
      <c r="DM521" s="106"/>
      <c r="DN521" s="106"/>
      <c r="DO521" s="106"/>
      <c r="DP521" s="106"/>
      <c r="DQ521" s="106"/>
      <c r="DR521" s="106"/>
      <c r="DS521" s="106"/>
      <c r="DT521" s="106"/>
      <c r="DU521" s="106"/>
      <c r="DV521" s="106"/>
      <c r="DW521" s="106"/>
      <c r="DX521" s="106"/>
      <c r="DY521" s="106"/>
      <c r="DZ521" s="106"/>
      <c r="EA521" s="106"/>
      <c r="EB521" s="106"/>
      <c r="EC521" s="106"/>
      <c r="ED521" s="106"/>
      <c r="EE521" s="106"/>
      <c r="EF521" s="106"/>
      <c r="EG521" s="106"/>
      <c r="EH521" s="106"/>
      <c r="EI521" s="106"/>
    </row>
    <row r="522" spans="3:139" ht="15.75" customHeight="1" x14ac:dyDescent="0.25"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  <c r="CR522" s="106"/>
      <c r="CS522" s="106"/>
      <c r="CT522" s="106"/>
      <c r="CU522" s="106"/>
      <c r="CV522" s="106"/>
      <c r="CW522" s="106"/>
      <c r="CX522" s="106"/>
      <c r="CY522" s="106"/>
      <c r="CZ522" s="106"/>
      <c r="DA522" s="106"/>
      <c r="DB522" s="106"/>
      <c r="DC522" s="106"/>
      <c r="DD522" s="106"/>
      <c r="DE522" s="106"/>
      <c r="DF522" s="106"/>
      <c r="DG522" s="106"/>
      <c r="DH522" s="106"/>
      <c r="DI522" s="106"/>
      <c r="DJ522" s="106"/>
      <c r="DK522" s="106"/>
      <c r="DL522" s="106"/>
      <c r="DM522" s="106"/>
      <c r="DN522" s="106"/>
      <c r="DO522" s="106"/>
      <c r="DP522" s="106"/>
      <c r="DQ522" s="106"/>
      <c r="DR522" s="106"/>
      <c r="DS522" s="106"/>
      <c r="DT522" s="106"/>
      <c r="DU522" s="106"/>
      <c r="DV522" s="106"/>
      <c r="DW522" s="106"/>
      <c r="DX522" s="106"/>
      <c r="DY522" s="106"/>
      <c r="DZ522" s="106"/>
      <c r="EA522" s="106"/>
      <c r="EB522" s="106"/>
      <c r="EC522" s="106"/>
      <c r="ED522" s="106"/>
      <c r="EE522" s="106"/>
      <c r="EF522" s="106"/>
      <c r="EG522" s="106"/>
      <c r="EH522" s="106"/>
      <c r="EI522" s="106"/>
    </row>
    <row r="523" spans="3:139" ht="15.75" customHeight="1" x14ac:dyDescent="0.25"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  <c r="CR523" s="106"/>
      <c r="CS523" s="106"/>
      <c r="CT523" s="106"/>
      <c r="CU523" s="106"/>
      <c r="CV523" s="106"/>
      <c r="CW523" s="106"/>
      <c r="CX523" s="106"/>
      <c r="CY523" s="106"/>
      <c r="CZ523" s="106"/>
      <c r="DA523" s="106"/>
      <c r="DB523" s="106"/>
      <c r="DC523" s="106"/>
      <c r="DD523" s="106"/>
      <c r="DE523" s="106"/>
      <c r="DF523" s="106"/>
      <c r="DG523" s="106"/>
      <c r="DH523" s="106"/>
      <c r="DI523" s="106"/>
      <c r="DJ523" s="106"/>
      <c r="DK523" s="106"/>
      <c r="DL523" s="106"/>
      <c r="DM523" s="106"/>
      <c r="DN523" s="106"/>
      <c r="DO523" s="106"/>
      <c r="DP523" s="106"/>
      <c r="DQ523" s="106"/>
      <c r="DR523" s="106"/>
      <c r="DS523" s="106"/>
      <c r="DT523" s="106"/>
      <c r="DU523" s="106"/>
      <c r="DV523" s="106"/>
      <c r="DW523" s="106"/>
      <c r="DX523" s="106"/>
      <c r="DY523" s="106"/>
      <c r="DZ523" s="106"/>
      <c r="EA523" s="106"/>
      <c r="EB523" s="106"/>
      <c r="EC523" s="106"/>
      <c r="ED523" s="106"/>
      <c r="EE523" s="106"/>
      <c r="EF523" s="106"/>
      <c r="EG523" s="106"/>
      <c r="EH523" s="106"/>
      <c r="EI523" s="106"/>
    </row>
    <row r="524" spans="3:139" ht="15.75" customHeight="1" x14ac:dyDescent="0.25"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  <c r="CR524" s="106"/>
      <c r="CS524" s="106"/>
      <c r="CT524" s="106"/>
      <c r="CU524" s="106"/>
      <c r="CV524" s="106"/>
      <c r="CW524" s="106"/>
      <c r="CX524" s="106"/>
      <c r="CY524" s="106"/>
      <c r="CZ524" s="106"/>
      <c r="DA524" s="106"/>
      <c r="DB524" s="106"/>
      <c r="DC524" s="106"/>
      <c r="DD524" s="106"/>
      <c r="DE524" s="106"/>
      <c r="DF524" s="106"/>
      <c r="DG524" s="106"/>
      <c r="DH524" s="106"/>
      <c r="DI524" s="106"/>
      <c r="DJ524" s="106"/>
      <c r="DK524" s="106"/>
      <c r="DL524" s="106"/>
      <c r="DM524" s="106"/>
      <c r="DN524" s="106"/>
      <c r="DO524" s="106"/>
      <c r="DP524" s="106"/>
      <c r="DQ524" s="106"/>
      <c r="DR524" s="106"/>
      <c r="DS524" s="106"/>
      <c r="DT524" s="106"/>
      <c r="DU524" s="106"/>
      <c r="DV524" s="106"/>
      <c r="DW524" s="106"/>
      <c r="DX524" s="106"/>
      <c r="DY524" s="106"/>
      <c r="DZ524" s="106"/>
      <c r="EA524" s="106"/>
      <c r="EB524" s="106"/>
      <c r="EC524" s="106"/>
      <c r="ED524" s="106"/>
      <c r="EE524" s="106"/>
      <c r="EF524" s="106"/>
      <c r="EG524" s="106"/>
      <c r="EH524" s="106"/>
      <c r="EI524" s="106"/>
    </row>
    <row r="525" spans="3:139" ht="15.75" customHeight="1" x14ac:dyDescent="0.25"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  <c r="CR525" s="106"/>
      <c r="CS525" s="106"/>
      <c r="CT525" s="106"/>
      <c r="CU525" s="106"/>
      <c r="CV525" s="106"/>
      <c r="CW525" s="106"/>
      <c r="CX525" s="106"/>
      <c r="CY525" s="106"/>
      <c r="CZ525" s="106"/>
      <c r="DA525" s="106"/>
      <c r="DB525" s="106"/>
      <c r="DC525" s="106"/>
      <c r="DD525" s="106"/>
      <c r="DE525" s="106"/>
      <c r="DF525" s="106"/>
      <c r="DG525" s="106"/>
      <c r="DH525" s="106"/>
      <c r="DI525" s="106"/>
      <c r="DJ525" s="106"/>
      <c r="DK525" s="106"/>
      <c r="DL525" s="106"/>
      <c r="DM525" s="106"/>
      <c r="DN525" s="106"/>
      <c r="DO525" s="106"/>
      <c r="DP525" s="106"/>
      <c r="DQ525" s="106"/>
      <c r="DR525" s="106"/>
      <c r="DS525" s="106"/>
      <c r="DT525" s="106"/>
      <c r="DU525" s="106"/>
      <c r="DV525" s="106"/>
      <c r="DW525" s="106"/>
      <c r="DX525" s="106"/>
      <c r="DY525" s="106"/>
      <c r="DZ525" s="106"/>
      <c r="EA525" s="106"/>
      <c r="EB525" s="106"/>
      <c r="EC525" s="106"/>
      <c r="ED525" s="106"/>
      <c r="EE525" s="106"/>
      <c r="EF525" s="106"/>
      <c r="EG525" s="106"/>
      <c r="EH525" s="106"/>
      <c r="EI525" s="106"/>
    </row>
    <row r="526" spans="3:139" ht="15.75" customHeight="1" x14ac:dyDescent="0.25"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  <c r="CR526" s="106"/>
      <c r="CS526" s="106"/>
      <c r="CT526" s="106"/>
      <c r="CU526" s="106"/>
      <c r="CV526" s="106"/>
      <c r="CW526" s="106"/>
      <c r="CX526" s="106"/>
      <c r="CY526" s="106"/>
      <c r="CZ526" s="106"/>
      <c r="DA526" s="106"/>
      <c r="DB526" s="106"/>
      <c r="DC526" s="106"/>
      <c r="DD526" s="106"/>
      <c r="DE526" s="106"/>
      <c r="DF526" s="106"/>
      <c r="DG526" s="106"/>
      <c r="DH526" s="106"/>
      <c r="DI526" s="106"/>
      <c r="DJ526" s="106"/>
      <c r="DK526" s="106"/>
      <c r="DL526" s="106"/>
      <c r="DM526" s="106"/>
      <c r="DN526" s="106"/>
      <c r="DO526" s="106"/>
      <c r="DP526" s="106"/>
      <c r="DQ526" s="106"/>
      <c r="DR526" s="106"/>
      <c r="DS526" s="106"/>
      <c r="DT526" s="106"/>
      <c r="DU526" s="106"/>
      <c r="DV526" s="106"/>
      <c r="DW526" s="106"/>
      <c r="DX526" s="106"/>
      <c r="DY526" s="106"/>
      <c r="DZ526" s="106"/>
      <c r="EA526" s="106"/>
      <c r="EB526" s="106"/>
      <c r="EC526" s="106"/>
      <c r="ED526" s="106"/>
      <c r="EE526" s="106"/>
      <c r="EF526" s="106"/>
      <c r="EG526" s="106"/>
      <c r="EH526" s="106"/>
      <c r="EI526" s="106"/>
    </row>
    <row r="527" spans="3:139" ht="15.75" customHeight="1" x14ac:dyDescent="0.25"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  <c r="CR527" s="106"/>
      <c r="CS527" s="106"/>
      <c r="CT527" s="106"/>
      <c r="CU527" s="106"/>
      <c r="CV527" s="106"/>
      <c r="CW527" s="106"/>
      <c r="CX527" s="106"/>
      <c r="CY527" s="106"/>
      <c r="CZ527" s="106"/>
      <c r="DA527" s="106"/>
      <c r="DB527" s="106"/>
      <c r="DC527" s="106"/>
      <c r="DD527" s="106"/>
      <c r="DE527" s="106"/>
      <c r="DF527" s="106"/>
      <c r="DG527" s="106"/>
      <c r="DH527" s="106"/>
      <c r="DI527" s="106"/>
      <c r="DJ527" s="106"/>
      <c r="DK527" s="106"/>
      <c r="DL527" s="106"/>
      <c r="DM527" s="106"/>
      <c r="DN527" s="106"/>
      <c r="DO527" s="106"/>
      <c r="DP527" s="106"/>
      <c r="DQ527" s="106"/>
      <c r="DR527" s="106"/>
      <c r="DS527" s="106"/>
      <c r="DT527" s="106"/>
      <c r="DU527" s="106"/>
      <c r="DV527" s="106"/>
      <c r="DW527" s="106"/>
      <c r="DX527" s="106"/>
      <c r="DY527" s="106"/>
      <c r="DZ527" s="106"/>
      <c r="EA527" s="106"/>
      <c r="EB527" s="106"/>
      <c r="EC527" s="106"/>
      <c r="ED527" s="106"/>
      <c r="EE527" s="106"/>
      <c r="EF527" s="106"/>
      <c r="EG527" s="106"/>
      <c r="EH527" s="106"/>
      <c r="EI527" s="106"/>
    </row>
    <row r="528" spans="3:139" ht="15.75" customHeight="1" x14ac:dyDescent="0.25"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  <c r="CR528" s="106"/>
      <c r="CS528" s="106"/>
      <c r="CT528" s="106"/>
      <c r="CU528" s="106"/>
      <c r="CV528" s="106"/>
      <c r="CW528" s="106"/>
      <c r="CX528" s="106"/>
      <c r="CY528" s="106"/>
      <c r="CZ528" s="106"/>
      <c r="DA528" s="106"/>
      <c r="DB528" s="106"/>
      <c r="DC528" s="106"/>
      <c r="DD528" s="106"/>
      <c r="DE528" s="106"/>
      <c r="DF528" s="106"/>
      <c r="DG528" s="106"/>
      <c r="DH528" s="106"/>
      <c r="DI528" s="106"/>
      <c r="DJ528" s="106"/>
      <c r="DK528" s="106"/>
      <c r="DL528" s="106"/>
      <c r="DM528" s="106"/>
      <c r="DN528" s="106"/>
      <c r="DO528" s="106"/>
      <c r="DP528" s="106"/>
      <c r="DQ528" s="106"/>
      <c r="DR528" s="106"/>
      <c r="DS528" s="106"/>
      <c r="DT528" s="106"/>
      <c r="DU528" s="106"/>
      <c r="DV528" s="106"/>
      <c r="DW528" s="106"/>
      <c r="DX528" s="106"/>
      <c r="DY528" s="106"/>
      <c r="DZ528" s="106"/>
      <c r="EA528" s="106"/>
      <c r="EB528" s="106"/>
      <c r="EC528" s="106"/>
      <c r="ED528" s="106"/>
      <c r="EE528" s="106"/>
      <c r="EF528" s="106"/>
      <c r="EG528" s="106"/>
      <c r="EH528" s="106"/>
      <c r="EI528" s="106"/>
    </row>
    <row r="529" spans="3:139" ht="15.75" customHeight="1" x14ac:dyDescent="0.25"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  <c r="CR529" s="106"/>
      <c r="CS529" s="106"/>
      <c r="CT529" s="106"/>
      <c r="CU529" s="106"/>
      <c r="CV529" s="106"/>
      <c r="CW529" s="106"/>
      <c r="CX529" s="106"/>
      <c r="CY529" s="106"/>
      <c r="CZ529" s="106"/>
      <c r="DA529" s="106"/>
      <c r="DB529" s="106"/>
      <c r="DC529" s="106"/>
      <c r="DD529" s="106"/>
      <c r="DE529" s="106"/>
      <c r="DF529" s="106"/>
      <c r="DG529" s="106"/>
      <c r="DH529" s="106"/>
      <c r="DI529" s="106"/>
      <c r="DJ529" s="106"/>
      <c r="DK529" s="106"/>
      <c r="DL529" s="106"/>
      <c r="DM529" s="106"/>
      <c r="DN529" s="106"/>
      <c r="DO529" s="106"/>
      <c r="DP529" s="106"/>
      <c r="DQ529" s="106"/>
      <c r="DR529" s="106"/>
      <c r="DS529" s="106"/>
      <c r="DT529" s="106"/>
      <c r="DU529" s="106"/>
      <c r="DV529" s="106"/>
      <c r="DW529" s="106"/>
      <c r="DX529" s="106"/>
      <c r="DY529" s="106"/>
      <c r="DZ529" s="106"/>
      <c r="EA529" s="106"/>
      <c r="EB529" s="106"/>
      <c r="EC529" s="106"/>
      <c r="ED529" s="106"/>
      <c r="EE529" s="106"/>
      <c r="EF529" s="106"/>
      <c r="EG529" s="106"/>
      <c r="EH529" s="106"/>
      <c r="EI529" s="106"/>
    </row>
    <row r="530" spans="3:139" ht="15.75" customHeight="1" x14ac:dyDescent="0.25"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  <c r="CR530" s="106"/>
      <c r="CS530" s="106"/>
      <c r="CT530" s="106"/>
      <c r="CU530" s="106"/>
      <c r="CV530" s="106"/>
      <c r="CW530" s="106"/>
      <c r="CX530" s="106"/>
      <c r="CY530" s="106"/>
      <c r="CZ530" s="106"/>
      <c r="DA530" s="106"/>
      <c r="DB530" s="106"/>
      <c r="DC530" s="106"/>
      <c r="DD530" s="106"/>
      <c r="DE530" s="106"/>
      <c r="DF530" s="106"/>
      <c r="DG530" s="106"/>
      <c r="DH530" s="106"/>
      <c r="DI530" s="106"/>
      <c r="DJ530" s="106"/>
      <c r="DK530" s="106"/>
      <c r="DL530" s="106"/>
      <c r="DM530" s="106"/>
      <c r="DN530" s="106"/>
      <c r="DO530" s="106"/>
      <c r="DP530" s="106"/>
      <c r="DQ530" s="106"/>
      <c r="DR530" s="106"/>
      <c r="DS530" s="106"/>
      <c r="DT530" s="106"/>
      <c r="DU530" s="106"/>
      <c r="DV530" s="106"/>
      <c r="DW530" s="106"/>
      <c r="DX530" s="106"/>
      <c r="DY530" s="106"/>
      <c r="DZ530" s="106"/>
      <c r="EA530" s="106"/>
      <c r="EB530" s="106"/>
      <c r="EC530" s="106"/>
      <c r="ED530" s="106"/>
      <c r="EE530" s="106"/>
      <c r="EF530" s="106"/>
      <c r="EG530" s="106"/>
      <c r="EH530" s="106"/>
      <c r="EI530" s="106"/>
    </row>
    <row r="531" spans="3:139" ht="15.75" customHeight="1" x14ac:dyDescent="0.25"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  <c r="CR531" s="106"/>
      <c r="CS531" s="106"/>
      <c r="CT531" s="106"/>
      <c r="CU531" s="106"/>
      <c r="CV531" s="106"/>
      <c r="CW531" s="106"/>
      <c r="CX531" s="106"/>
      <c r="CY531" s="106"/>
      <c r="CZ531" s="106"/>
      <c r="DA531" s="106"/>
      <c r="DB531" s="106"/>
      <c r="DC531" s="106"/>
      <c r="DD531" s="106"/>
      <c r="DE531" s="106"/>
      <c r="DF531" s="106"/>
      <c r="DG531" s="106"/>
      <c r="DH531" s="106"/>
      <c r="DI531" s="106"/>
      <c r="DJ531" s="106"/>
      <c r="DK531" s="106"/>
      <c r="DL531" s="106"/>
      <c r="DM531" s="106"/>
      <c r="DN531" s="106"/>
      <c r="DO531" s="106"/>
      <c r="DP531" s="106"/>
      <c r="DQ531" s="106"/>
      <c r="DR531" s="106"/>
      <c r="DS531" s="106"/>
      <c r="DT531" s="106"/>
      <c r="DU531" s="106"/>
      <c r="DV531" s="106"/>
      <c r="DW531" s="106"/>
      <c r="DX531" s="106"/>
      <c r="DY531" s="106"/>
      <c r="DZ531" s="106"/>
      <c r="EA531" s="106"/>
      <c r="EB531" s="106"/>
      <c r="EC531" s="106"/>
      <c r="ED531" s="106"/>
      <c r="EE531" s="106"/>
      <c r="EF531" s="106"/>
      <c r="EG531" s="106"/>
      <c r="EH531" s="106"/>
      <c r="EI531" s="106"/>
    </row>
    <row r="532" spans="3:139" ht="15.75" customHeight="1" x14ac:dyDescent="0.25"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  <c r="CR532" s="106"/>
      <c r="CS532" s="106"/>
      <c r="CT532" s="106"/>
      <c r="CU532" s="106"/>
      <c r="CV532" s="106"/>
      <c r="CW532" s="106"/>
      <c r="CX532" s="106"/>
      <c r="CY532" s="106"/>
      <c r="CZ532" s="106"/>
      <c r="DA532" s="106"/>
      <c r="DB532" s="106"/>
      <c r="DC532" s="106"/>
      <c r="DD532" s="106"/>
      <c r="DE532" s="106"/>
      <c r="DF532" s="106"/>
      <c r="DG532" s="106"/>
      <c r="DH532" s="106"/>
      <c r="DI532" s="106"/>
      <c r="DJ532" s="106"/>
      <c r="DK532" s="106"/>
      <c r="DL532" s="106"/>
      <c r="DM532" s="106"/>
      <c r="DN532" s="106"/>
      <c r="DO532" s="106"/>
      <c r="DP532" s="106"/>
      <c r="DQ532" s="106"/>
      <c r="DR532" s="106"/>
      <c r="DS532" s="106"/>
      <c r="DT532" s="106"/>
      <c r="DU532" s="106"/>
      <c r="DV532" s="106"/>
      <c r="DW532" s="106"/>
      <c r="DX532" s="106"/>
      <c r="DY532" s="106"/>
      <c r="DZ532" s="106"/>
      <c r="EA532" s="106"/>
      <c r="EB532" s="106"/>
      <c r="EC532" s="106"/>
      <c r="ED532" s="106"/>
      <c r="EE532" s="106"/>
      <c r="EF532" s="106"/>
      <c r="EG532" s="106"/>
      <c r="EH532" s="106"/>
      <c r="EI532" s="106"/>
    </row>
    <row r="533" spans="3:139" ht="15.75" customHeight="1" x14ac:dyDescent="0.25"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  <c r="CR533" s="106"/>
      <c r="CS533" s="106"/>
      <c r="CT533" s="106"/>
      <c r="CU533" s="106"/>
      <c r="CV533" s="106"/>
      <c r="CW533" s="106"/>
      <c r="CX533" s="106"/>
      <c r="CY533" s="106"/>
      <c r="CZ533" s="106"/>
      <c r="DA533" s="106"/>
      <c r="DB533" s="106"/>
      <c r="DC533" s="106"/>
      <c r="DD533" s="106"/>
      <c r="DE533" s="106"/>
      <c r="DF533" s="106"/>
      <c r="DG533" s="106"/>
      <c r="DH533" s="106"/>
      <c r="DI533" s="106"/>
      <c r="DJ533" s="106"/>
      <c r="DK533" s="106"/>
      <c r="DL533" s="106"/>
      <c r="DM533" s="106"/>
      <c r="DN533" s="106"/>
      <c r="DO533" s="106"/>
      <c r="DP533" s="106"/>
      <c r="DQ533" s="106"/>
      <c r="DR533" s="106"/>
      <c r="DS533" s="106"/>
      <c r="DT533" s="106"/>
      <c r="DU533" s="106"/>
      <c r="DV533" s="106"/>
      <c r="DW533" s="106"/>
      <c r="DX533" s="106"/>
      <c r="DY533" s="106"/>
      <c r="DZ533" s="106"/>
      <c r="EA533" s="106"/>
      <c r="EB533" s="106"/>
      <c r="EC533" s="106"/>
      <c r="ED533" s="106"/>
      <c r="EE533" s="106"/>
      <c r="EF533" s="106"/>
      <c r="EG533" s="106"/>
      <c r="EH533" s="106"/>
      <c r="EI533" s="106"/>
    </row>
    <row r="534" spans="3:139" ht="15.75" customHeight="1" x14ac:dyDescent="0.25"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  <c r="CR534" s="106"/>
      <c r="CS534" s="106"/>
      <c r="CT534" s="106"/>
      <c r="CU534" s="106"/>
      <c r="CV534" s="106"/>
      <c r="CW534" s="106"/>
      <c r="CX534" s="106"/>
      <c r="CY534" s="106"/>
      <c r="CZ534" s="106"/>
      <c r="DA534" s="106"/>
      <c r="DB534" s="106"/>
      <c r="DC534" s="106"/>
      <c r="DD534" s="106"/>
      <c r="DE534" s="106"/>
      <c r="DF534" s="106"/>
      <c r="DG534" s="106"/>
      <c r="DH534" s="106"/>
      <c r="DI534" s="106"/>
      <c r="DJ534" s="106"/>
      <c r="DK534" s="106"/>
      <c r="DL534" s="106"/>
      <c r="DM534" s="106"/>
      <c r="DN534" s="106"/>
      <c r="DO534" s="106"/>
      <c r="DP534" s="106"/>
      <c r="DQ534" s="106"/>
      <c r="DR534" s="106"/>
      <c r="DS534" s="106"/>
      <c r="DT534" s="106"/>
      <c r="DU534" s="106"/>
      <c r="DV534" s="106"/>
      <c r="DW534" s="106"/>
      <c r="DX534" s="106"/>
      <c r="DY534" s="106"/>
      <c r="DZ534" s="106"/>
      <c r="EA534" s="106"/>
      <c r="EB534" s="106"/>
      <c r="EC534" s="106"/>
      <c r="ED534" s="106"/>
      <c r="EE534" s="106"/>
      <c r="EF534" s="106"/>
      <c r="EG534" s="106"/>
      <c r="EH534" s="106"/>
      <c r="EI534" s="106"/>
    </row>
    <row r="535" spans="3:139" ht="15.75" customHeight="1" x14ac:dyDescent="0.25"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  <c r="CR535" s="106"/>
      <c r="CS535" s="106"/>
      <c r="CT535" s="106"/>
      <c r="CU535" s="106"/>
      <c r="CV535" s="106"/>
      <c r="CW535" s="106"/>
      <c r="CX535" s="106"/>
      <c r="CY535" s="106"/>
      <c r="CZ535" s="106"/>
      <c r="DA535" s="106"/>
      <c r="DB535" s="106"/>
      <c r="DC535" s="106"/>
      <c r="DD535" s="106"/>
      <c r="DE535" s="106"/>
      <c r="DF535" s="106"/>
      <c r="DG535" s="106"/>
      <c r="DH535" s="106"/>
      <c r="DI535" s="106"/>
      <c r="DJ535" s="106"/>
      <c r="DK535" s="106"/>
      <c r="DL535" s="106"/>
      <c r="DM535" s="106"/>
      <c r="DN535" s="106"/>
      <c r="DO535" s="106"/>
      <c r="DP535" s="106"/>
      <c r="DQ535" s="106"/>
      <c r="DR535" s="106"/>
      <c r="DS535" s="106"/>
      <c r="DT535" s="106"/>
      <c r="DU535" s="106"/>
      <c r="DV535" s="106"/>
      <c r="DW535" s="106"/>
      <c r="DX535" s="106"/>
      <c r="DY535" s="106"/>
      <c r="DZ535" s="106"/>
      <c r="EA535" s="106"/>
      <c r="EB535" s="106"/>
      <c r="EC535" s="106"/>
      <c r="ED535" s="106"/>
      <c r="EE535" s="106"/>
      <c r="EF535" s="106"/>
      <c r="EG535" s="106"/>
      <c r="EH535" s="106"/>
      <c r="EI535" s="106"/>
    </row>
    <row r="536" spans="3:139" ht="15.75" customHeight="1" x14ac:dyDescent="0.25"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  <c r="CR536" s="106"/>
      <c r="CS536" s="106"/>
      <c r="CT536" s="106"/>
      <c r="CU536" s="106"/>
      <c r="CV536" s="106"/>
      <c r="CW536" s="106"/>
      <c r="CX536" s="106"/>
      <c r="CY536" s="106"/>
      <c r="CZ536" s="106"/>
      <c r="DA536" s="106"/>
      <c r="DB536" s="106"/>
      <c r="DC536" s="106"/>
      <c r="DD536" s="106"/>
      <c r="DE536" s="106"/>
      <c r="DF536" s="106"/>
      <c r="DG536" s="106"/>
      <c r="DH536" s="106"/>
      <c r="DI536" s="106"/>
      <c r="DJ536" s="106"/>
      <c r="DK536" s="106"/>
      <c r="DL536" s="106"/>
      <c r="DM536" s="106"/>
      <c r="DN536" s="106"/>
      <c r="DO536" s="106"/>
      <c r="DP536" s="106"/>
      <c r="DQ536" s="106"/>
      <c r="DR536" s="106"/>
      <c r="DS536" s="106"/>
      <c r="DT536" s="106"/>
      <c r="DU536" s="106"/>
      <c r="DV536" s="106"/>
      <c r="DW536" s="106"/>
      <c r="DX536" s="106"/>
      <c r="DY536" s="106"/>
      <c r="DZ536" s="106"/>
      <c r="EA536" s="106"/>
      <c r="EB536" s="106"/>
      <c r="EC536" s="106"/>
      <c r="ED536" s="106"/>
      <c r="EE536" s="106"/>
      <c r="EF536" s="106"/>
      <c r="EG536" s="106"/>
      <c r="EH536" s="106"/>
      <c r="EI536" s="106"/>
    </row>
    <row r="537" spans="3:139" ht="15.75" customHeight="1" x14ac:dyDescent="0.25"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  <c r="CR537" s="106"/>
      <c r="CS537" s="106"/>
      <c r="CT537" s="106"/>
      <c r="CU537" s="106"/>
      <c r="CV537" s="106"/>
      <c r="CW537" s="106"/>
      <c r="CX537" s="106"/>
      <c r="CY537" s="106"/>
      <c r="CZ537" s="106"/>
      <c r="DA537" s="106"/>
      <c r="DB537" s="106"/>
      <c r="DC537" s="106"/>
      <c r="DD537" s="106"/>
      <c r="DE537" s="106"/>
      <c r="DF537" s="106"/>
      <c r="DG537" s="106"/>
      <c r="DH537" s="106"/>
      <c r="DI537" s="106"/>
      <c r="DJ537" s="106"/>
      <c r="DK537" s="106"/>
      <c r="DL537" s="106"/>
      <c r="DM537" s="106"/>
      <c r="DN537" s="106"/>
      <c r="DO537" s="106"/>
      <c r="DP537" s="106"/>
      <c r="DQ537" s="106"/>
      <c r="DR537" s="106"/>
      <c r="DS537" s="106"/>
      <c r="DT537" s="106"/>
      <c r="DU537" s="106"/>
      <c r="DV537" s="106"/>
      <c r="DW537" s="106"/>
      <c r="DX537" s="106"/>
      <c r="DY537" s="106"/>
      <c r="DZ537" s="106"/>
      <c r="EA537" s="106"/>
      <c r="EB537" s="106"/>
      <c r="EC537" s="106"/>
      <c r="ED537" s="106"/>
      <c r="EE537" s="106"/>
      <c r="EF537" s="106"/>
      <c r="EG537" s="106"/>
      <c r="EH537" s="106"/>
      <c r="EI537" s="106"/>
    </row>
    <row r="538" spans="3:139" ht="15.75" customHeight="1" x14ac:dyDescent="0.25"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  <c r="CR538" s="106"/>
      <c r="CS538" s="106"/>
      <c r="CT538" s="106"/>
      <c r="CU538" s="106"/>
      <c r="CV538" s="106"/>
      <c r="CW538" s="106"/>
      <c r="CX538" s="106"/>
      <c r="CY538" s="106"/>
      <c r="CZ538" s="106"/>
      <c r="DA538" s="106"/>
      <c r="DB538" s="106"/>
      <c r="DC538" s="106"/>
      <c r="DD538" s="106"/>
      <c r="DE538" s="106"/>
      <c r="DF538" s="106"/>
      <c r="DG538" s="106"/>
      <c r="DH538" s="106"/>
      <c r="DI538" s="106"/>
      <c r="DJ538" s="106"/>
      <c r="DK538" s="106"/>
      <c r="DL538" s="106"/>
      <c r="DM538" s="106"/>
      <c r="DN538" s="106"/>
      <c r="DO538" s="106"/>
      <c r="DP538" s="106"/>
      <c r="DQ538" s="106"/>
      <c r="DR538" s="106"/>
      <c r="DS538" s="106"/>
      <c r="DT538" s="106"/>
      <c r="DU538" s="106"/>
      <c r="DV538" s="106"/>
      <c r="DW538" s="106"/>
      <c r="DX538" s="106"/>
      <c r="DY538" s="106"/>
      <c r="DZ538" s="106"/>
      <c r="EA538" s="106"/>
      <c r="EB538" s="106"/>
      <c r="EC538" s="106"/>
      <c r="ED538" s="106"/>
      <c r="EE538" s="106"/>
      <c r="EF538" s="106"/>
      <c r="EG538" s="106"/>
      <c r="EH538" s="106"/>
      <c r="EI538" s="106"/>
    </row>
    <row r="539" spans="3:139" ht="15.75" customHeight="1" x14ac:dyDescent="0.25"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  <c r="CR539" s="106"/>
      <c r="CS539" s="106"/>
      <c r="CT539" s="106"/>
      <c r="CU539" s="106"/>
      <c r="CV539" s="106"/>
      <c r="CW539" s="106"/>
      <c r="CX539" s="106"/>
      <c r="CY539" s="106"/>
      <c r="CZ539" s="106"/>
      <c r="DA539" s="106"/>
      <c r="DB539" s="106"/>
      <c r="DC539" s="106"/>
      <c r="DD539" s="106"/>
      <c r="DE539" s="106"/>
      <c r="DF539" s="106"/>
      <c r="DG539" s="106"/>
      <c r="DH539" s="106"/>
      <c r="DI539" s="106"/>
      <c r="DJ539" s="106"/>
      <c r="DK539" s="106"/>
      <c r="DL539" s="106"/>
      <c r="DM539" s="106"/>
      <c r="DN539" s="106"/>
      <c r="DO539" s="106"/>
      <c r="DP539" s="106"/>
      <c r="DQ539" s="106"/>
      <c r="DR539" s="106"/>
      <c r="DS539" s="106"/>
      <c r="DT539" s="106"/>
      <c r="DU539" s="106"/>
      <c r="DV539" s="106"/>
      <c r="DW539" s="106"/>
      <c r="DX539" s="106"/>
      <c r="DY539" s="106"/>
      <c r="DZ539" s="106"/>
      <c r="EA539" s="106"/>
      <c r="EB539" s="106"/>
      <c r="EC539" s="106"/>
      <c r="ED539" s="106"/>
      <c r="EE539" s="106"/>
      <c r="EF539" s="106"/>
      <c r="EG539" s="106"/>
      <c r="EH539" s="106"/>
      <c r="EI539" s="106"/>
    </row>
    <row r="540" spans="3:139" ht="15.75" customHeight="1" x14ac:dyDescent="0.25"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  <c r="CR540" s="106"/>
      <c r="CS540" s="106"/>
      <c r="CT540" s="106"/>
      <c r="CU540" s="106"/>
      <c r="CV540" s="106"/>
      <c r="CW540" s="106"/>
      <c r="CX540" s="106"/>
      <c r="CY540" s="106"/>
      <c r="CZ540" s="106"/>
      <c r="DA540" s="106"/>
      <c r="DB540" s="106"/>
      <c r="DC540" s="106"/>
      <c r="DD540" s="106"/>
      <c r="DE540" s="106"/>
      <c r="DF540" s="106"/>
      <c r="DG540" s="106"/>
      <c r="DH540" s="106"/>
      <c r="DI540" s="106"/>
      <c r="DJ540" s="106"/>
      <c r="DK540" s="106"/>
      <c r="DL540" s="106"/>
      <c r="DM540" s="106"/>
      <c r="DN540" s="106"/>
      <c r="DO540" s="106"/>
      <c r="DP540" s="106"/>
      <c r="DQ540" s="106"/>
      <c r="DR540" s="106"/>
      <c r="DS540" s="106"/>
      <c r="DT540" s="106"/>
      <c r="DU540" s="106"/>
      <c r="DV540" s="106"/>
      <c r="DW540" s="106"/>
      <c r="DX540" s="106"/>
      <c r="DY540" s="106"/>
      <c r="DZ540" s="106"/>
      <c r="EA540" s="106"/>
      <c r="EB540" s="106"/>
      <c r="EC540" s="106"/>
      <c r="ED540" s="106"/>
      <c r="EE540" s="106"/>
      <c r="EF540" s="106"/>
      <c r="EG540" s="106"/>
      <c r="EH540" s="106"/>
      <c r="EI540" s="106"/>
    </row>
    <row r="541" spans="3:139" ht="15.75" customHeight="1" x14ac:dyDescent="0.25"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  <c r="CR541" s="106"/>
      <c r="CS541" s="106"/>
      <c r="CT541" s="106"/>
      <c r="CU541" s="106"/>
      <c r="CV541" s="106"/>
      <c r="CW541" s="106"/>
      <c r="CX541" s="106"/>
      <c r="CY541" s="106"/>
      <c r="CZ541" s="106"/>
      <c r="DA541" s="106"/>
      <c r="DB541" s="106"/>
      <c r="DC541" s="106"/>
      <c r="DD541" s="106"/>
      <c r="DE541" s="106"/>
      <c r="DF541" s="106"/>
      <c r="DG541" s="106"/>
      <c r="DH541" s="106"/>
      <c r="DI541" s="106"/>
      <c r="DJ541" s="106"/>
      <c r="DK541" s="106"/>
      <c r="DL541" s="106"/>
      <c r="DM541" s="106"/>
      <c r="DN541" s="106"/>
      <c r="DO541" s="106"/>
      <c r="DP541" s="106"/>
      <c r="DQ541" s="106"/>
      <c r="DR541" s="106"/>
      <c r="DS541" s="106"/>
      <c r="DT541" s="106"/>
      <c r="DU541" s="106"/>
      <c r="DV541" s="106"/>
      <c r="DW541" s="106"/>
      <c r="DX541" s="106"/>
      <c r="DY541" s="106"/>
      <c r="DZ541" s="106"/>
      <c r="EA541" s="106"/>
      <c r="EB541" s="106"/>
      <c r="EC541" s="106"/>
      <c r="ED541" s="106"/>
      <c r="EE541" s="106"/>
      <c r="EF541" s="106"/>
      <c r="EG541" s="106"/>
      <c r="EH541" s="106"/>
      <c r="EI541" s="106"/>
    </row>
    <row r="542" spans="3:139" ht="15.75" customHeight="1" x14ac:dyDescent="0.25"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  <c r="CR542" s="106"/>
      <c r="CS542" s="106"/>
      <c r="CT542" s="106"/>
      <c r="CU542" s="106"/>
      <c r="CV542" s="106"/>
      <c r="CW542" s="106"/>
      <c r="CX542" s="106"/>
      <c r="CY542" s="106"/>
      <c r="CZ542" s="106"/>
      <c r="DA542" s="106"/>
      <c r="DB542" s="106"/>
      <c r="DC542" s="106"/>
      <c r="DD542" s="106"/>
      <c r="DE542" s="106"/>
      <c r="DF542" s="106"/>
      <c r="DG542" s="106"/>
      <c r="DH542" s="106"/>
      <c r="DI542" s="106"/>
      <c r="DJ542" s="106"/>
      <c r="DK542" s="106"/>
      <c r="DL542" s="106"/>
      <c r="DM542" s="106"/>
      <c r="DN542" s="106"/>
      <c r="DO542" s="106"/>
      <c r="DP542" s="106"/>
      <c r="DQ542" s="106"/>
      <c r="DR542" s="106"/>
      <c r="DS542" s="106"/>
      <c r="DT542" s="106"/>
      <c r="DU542" s="106"/>
      <c r="DV542" s="106"/>
      <c r="DW542" s="106"/>
      <c r="DX542" s="106"/>
      <c r="DY542" s="106"/>
      <c r="DZ542" s="106"/>
      <c r="EA542" s="106"/>
      <c r="EB542" s="106"/>
      <c r="EC542" s="106"/>
      <c r="ED542" s="106"/>
      <c r="EE542" s="106"/>
      <c r="EF542" s="106"/>
      <c r="EG542" s="106"/>
      <c r="EH542" s="106"/>
      <c r="EI542" s="106"/>
    </row>
    <row r="543" spans="3:139" ht="15.75" customHeight="1" x14ac:dyDescent="0.25"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  <c r="CR543" s="106"/>
      <c r="CS543" s="106"/>
      <c r="CT543" s="106"/>
      <c r="CU543" s="106"/>
      <c r="CV543" s="106"/>
      <c r="CW543" s="106"/>
      <c r="CX543" s="106"/>
      <c r="CY543" s="106"/>
      <c r="CZ543" s="106"/>
      <c r="DA543" s="106"/>
      <c r="DB543" s="106"/>
      <c r="DC543" s="106"/>
      <c r="DD543" s="106"/>
      <c r="DE543" s="106"/>
      <c r="DF543" s="106"/>
      <c r="DG543" s="106"/>
      <c r="DH543" s="106"/>
      <c r="DI543" s="106"/>
      <c r="DJ543" s="106"/>
      <c r="DK543" s="106"/>
      <c r="DL543" s="106"/>
      <c r="DM543" s="106"/>
      <c r="DN543" s="106"/>
      <c r="DO543" s="106"/>
      <c r="DP543" s="106"/>
      <c r="DQ543" s="106"/>
      <c r="DR543" s="106"/>
      <c r="DS543" s="106"/>
      <c r="DT543" s="106"/>
      <c r="DU543" s="106"/>
      <c r="DV543" s="106"/>
      <c r="DW543" s="106"/>
      <c r="DX543" s="106"/>
      <c r="DY543" s="106"/>
      <c r="DZ543" s="106"/>
      <c r="EA543" s="106"/>
      <c r="EB543" s="106"/>
      <c r="EC543" s="106"/>
      <c r="ED543" s="106"/>
      <c r="EE543" s="106"/>
      <c r="EF543" s="106"/>
      <c r="EG543" s="106"/>
      <c r="EH543" s="106"/>
      <c r="EI543" s="106"/>
    </row>
    <row r="544" spans="3:139" ht="15.75" customHeight="1" x14ac:dyDescent="0.25"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  <c r="CR544" s="106"/>
      <c r="CS544" s="106"/>
      <c r="CT544" s="106"/>
      <c r="CU544" s="106"/>
      <c r="CV544" s="106"/>
      <c r="CW544" s="106"/>
      <c r="CX544" s="106"/>
      <c r="CY544" s="106"/>
      <c r="CZ544" s="106"/>
      <c r="DA544" s="106"/>
      <c r="DB544" s="106"/>
      <c r="DC544" s="106"/>
      <c r="DD544" s="106"/>
      <c r="DE544" s="106"/>
      <c r="DF544" s="106"/>
      <c r="DG544" s="106"/>
      <c r="DH544" s="106"/>
      <c r="DI544" s="106"/>
      <c r="DJ544" s="106"/>
      <c r="DK544" s="106"/>
      <c r="DL544" s="106"/>
      <c r="DM544" s="106"/>
      <c r="DN544" s="106"/>
      <c r="DO544" s="106"/>
      <c r="DP544" s="106"/>
      <c r="DQ544" s="106"/>
      <c r="DR544" s="106"/>
      <c r="DS544" s="106"/>
      <c r="DT544" s="106"/>
      <c r="DU544" s="106"/>
      <c r="DV544" s="106"/>
      <c r="DW544" s="106"/>
      <c r="DX544" s="106"/>
      <c r="DY544" s="106"/>
      <c r="DZ544" s="106"/>
      <c r="EA544" s="106"/>
      <c r="EB544" s="106"/>
      <c r="EC544" s="106"/>
      <c r="ED544" s="106"/>
      <c r="EE544" s="106"/>
      <c r="EF544" s="106"/>
      <c r="EG544" s="106"/>
      <c r="EH544" s="106"/>
      <c r="EI544" s="106"/>
    </row>
    <row r="545" spans="3:139" ht="15.75" customHeight="1" x14ac:dyDescent="0.25"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  <c r="CR545" s="106"/>
      <c r="CS545" s="106"/>
      <c r="CT545" s="106"/>
      <c r="CU545" s="106"/>
      <c r="CV545" s="106"/>
      <c r="CW545" s="106"/>
      <c r="CX545" s="106"/>
      <c r="CY545" s="106"/>
      <c r="CZ545" s="106"/>
      <c r="DA545" s="106"/>
      <c r="DB545" s="106"/>
      <c r="DC545" s="106"/>
      <c r="DD545" s="106"/>
      <c r="DE545" s="106"/>
      <c r="DF545" s="106"/>
      <c r="DG545" s="106"/>
      <c r="DH545" s="106"/>
      <c r="DI545" s="106"/>
      <c r="DJ545" s="106"/>
      <c r="DK545" s="106"/>
      <c r="DL545" s="106"/>
      <c r="DM545" s="106"/>
      <c r="DN545" s="106"/>
      <c r="DO545" s="106"/>
      <c r="DP545" s="106"/>
      <c r="DQ545" s="106"/>
      <c r="DR545" s="106"/>
      <c r="DS545" s="106"/>
      <c r="DT545" s="106"/>
      <c r="DU545" s="106"/>
      <c r="DV545" s="106"/>
      <c r="DW545" s="106"/>
      <c r="DX545" s="106"/>
      <c r="DY545" s="106"/>
      <c r="DZ545" s="106"/>
      <c r="EA545" s="106"/>
      <c r="EB545" s="106"/>
      <c r="EC545" s="106"/>
      <c r="ED545" s="106"/>
      <c r="EE545" s="106"/>
      <c r="EF545" s="106"/>
      <c r="EG545" s="106"/>
      <c r="EH545" s="106"/>
      <c r="EI545" s="106"/>
    </row>
    <row r="546" spans="3:139" ht="15.75" customHeight="1" x14ac:dyDescent="0.25"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  <c r="CR546" s="106"/>
      <c r="CS546" s="106"/>
      <c r="CT546" s="106"/>
      <c r="CU546" s="106"/>
      <c r="CV546" s="106"/>
      <c r="CW546" s="106"/>
      <c r="CX546" s="106"/>
      <c r="CY546" s="106"/>
      <c r="CZ546" s="106"/>
      <c r="DA546" s="106"/>
      <c r="DB546" s="106"/>
      <c r="DC546" s="106"/>
      <c r="DD546" s="106"/>
      <c r="DE546" s="106"/>
      <c r="DF546" s="106"/>
      <c r="DG546" s="106"/>
      <c r="DH546" s="106"/>
      <c r="DI546" s="106"/>
      <c r="DJ546" s="106"/>
      <c r="DK546" s="106"/>
      <c r="DL546" s="106"/>
      <c r="DM546" s="106"/>
      <c r="DN546" s="106"/>
      <c r="DO546" s="106"/>
      <c r="DP546" s="106"/>
      <c r="DQ546" s="106"/>
      <c r="DR546" s="106"/>
      <c r="DS546" s="106"/>
      <c r="DT546" s="106"/>
      <c r="DU546" s="106"/>
      <c r="DV546" s="106"/>
      <c r="DW546" s="106"/>
      <c r="DX546" s="106"/>
      <c r="DY546" s="106"/>
      <c r="DZ546" s="106"/>
      <c r="EA546" s="106"/>
      <c r="EB546" s="106"/>
      <c r="EC546" s="106"/>
      <c r="ED546" s="106"/>
      <c r="EE546" s="106"/>
      <c r="EF546" s="106"/>
      <c r="EG546" s="106"/>
      <c r="EH546" s="106"/>
      <c r="EI546" s="106"/>
    </row>
    <row r="547" spans="3:139" ht="15.75" customHeight="1" x14ac:dyDescent="0.25"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  <c r="CR547" s="106"/>
      <c r="CS547" s="106"/>
      <c r="CT547" s="106"/>
      <c r="CU547" s="106"/>
      <c r="CV547" s="106"/>
      <c r="CW547" s="106"/>
      <c r="CX547" s="106"/>
      <c r="CY547" s="106"/>
      <c r="CZ547" s="106"/>
      <c r="DA547" s="106"/>
      <c r="DB547" s="106"/>
      <c r="DC547" s="106"/>
      <c r="DD547" s="106"/>
      <c r="DE547" s="106"/>
      <c r="DF547" s="106"/>
      <c r="DG547" s="106"/>
      <c r="DH547" s="106"/>
      <c r="DI547" s="106"/>
      <c r="DJ547" s="106"/>
      <c r="DK547" s="106"/>
      <c r="DL547" s="106"/>
      <c r="DM547" s="106"/>
      <c r="DN547" s="106"/>
      <c r="DO547" s="106"/>
      <c r="DP547" s="106"/>
      <c r="DQ547" s="106"/>
      <c r="DR547" s="106"/>
      <c r="DS547" s="106"/>
      <c r="DT547" s="106"/>
      <c r="DU547" s="106"/>
      <c r="DV547" s="106"/>
      <c r="DW547" s="106"/>
      <c r="DX547" s="106"/>
      <c r="DY547" s="106"/>
      <c r="DZ547" s="106"/>
      <c r="EA547" s="106"/>
      <c r="EB547" s="106"/>
      <c r="EC547" s="106"/>
      <c r="ED547" s="106"/>
      <c r="EE547" s="106"/>
      <c r="EF547" s="106"/>
      <c r="EG547" s="106"/>
      <c r="EH547" s="106"/>
      <c r="EI547" s="106"/>
    </row>
    <row r="548" spans="3:139" ht="15.75" customHeight="1" x14ac:dyDescent="0.25"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  <c r="CR548" s="106"/>
      <c r="CS548" s="106"/>
      <c r="CT548" s="106"/>
      <c r="CU548" s="106"/>
      <c r="CV548" s="106"/>
      <c r="CW548" s="106"/>
      <c r="CX548" s="106"/>
      <c r="CY548" s="106"/>
      <c r="CZ548" s="106"/>
      <c r="DA548" s="106"/>
      <c r="DB548" s="106"/>
      <c r="DC548" s="106"/>
      <c r="DD548" s="106"/>
      <c r="DE548" s="106"/>
      <c r="DF548" s="106"/>
      <c r="DG548" s="106"/>
      <c r="DH548" s="106"/>
      <c r="DI548" s="106"/>
      <c r="DJ548" s="106"/>
      <c r="DK548" s="106"/>
      <c r="DL548" s="106"/>
      <c r="DM548" s="106"/>
      <c r="DN548" s="106"/>
      <c r="DO548" s="106"/>
      <c r="DP548" s="106"/>
      <c r="DQ548" s="106"/>
      <c r="DR548" s="106"/>
      <c r="DS548" s="106"/>
      <c r="DT548" s="106"/>
      <c r="DU548" s="106"/>
      <c r="DV548" s="106"/>
      <c r="DW548" s="106"/>
      <c r="DX548" s="106"/>
      <c r="DY548" s="106"/>
      <c r="DZ548" s="106"/>
      <c r="EA548" s="106"/>
      <c r="EB548" s="106"/>
      <c r="EC548" s="106"/>
      <c r="ED548" s="106"/>
      <c r="EE548" s="106"/>
      <c r="EF548" s="106"/>
      <c r="EG548" s="106"/>
      <c r="EH548" s="106"/>
      <c r="EI548" s="106"/>
    </row>
    <row r="549" spans="3:139" ht="15.75" customHeight="1" x14ac:dyDescent="0.25"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  <c r="CR549" s="106"/>
      <c r="CS549" s="106"/>
      <c r="CT549" s="106"/>
      <c r="CU549" s="106"/>
      <c r="CV549" s="106"/>
      <c r="CW549" s="106"/>
      <c r="CX549" s="106"/>
      <c r="CY549" s="106"/>
      <c r="CZ549" s="106"/>
      <c r="DA549" s="106"/>
      <c r="DB549" s="106"/>
      <c r="DC549" s="106"/>
      <c r="DD549" s="106"/>
      <c r="DE549" s="106"/>
      <c r="DF549" s="106"/>
      <c r="DG549" s="106"/>
      <c r="DH549" s="106"/>
      <c r="DI549" s="106"/>
      <c r="DJ549" s="106"/>
      <c r="DK549" s="106"/>
      <c r="DL549" s="106"/>
      <c r="DM549" s="106"/>
      <c r="DN549" s="106"/>
      <c r="DO549" s="106"/>
      <c r="DP549" s="106"/>
      <c r="DQ549" s="106"/>
      <c r="DR549" s="106"/>
      <c r="DS549" s="106"/>
      <c r="DT549" s="106"/>
      <c r="DU549" s="106"/>
      <c r="DV549" s="106"/>
      <c r="DW549" s="106"/>
      <c r="DX549" s="106"/>
      <c r="DY549" s="106"/>
      <c r="DZ549" s="106"/>
      <c r="EA549" s="106"/>
      <c r="EB549" s="106"/>
      <c r="EC549" s="106"/>
      <c r="ED549" s="106"/>
      <c r="EE549" s="106"/>
      <c r="EF549" s="106"/>
      <c r="EG549" s="106"/>
      <c r="EH549" s="106"/>
      <c r="EI549" s="106"/>
    </row>
    <row r="550" spans="3:139" ht="15.75" customHeight="1" x14ac:dyDescent="0.25"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  <c r="CR550" s="106"/>
      <c r="CS550" s="106"/>
      <c r="CT550" s="106"/>
      <c r="CU550" s="106"/>
      <c r="CV550" s="106"/>
      <c r="CW550" s="106"/>
      <c r="CX550" s="106"/>
      <c r="CY550" s="106"/>
      <c r="CZ550" s="106"/>
      <c r="DA550" s="106"/>
      <c r="DB550" s="106"/>
      <c r="DC550" s="106"/>
      <c r="DD550" s="106"/>
      <c r="DE550" s="106"/>
      <c r="DF550" s="106"/>
      <c r="DG550" s="106"/>
      <c r="DH550" s="106"/>
      <c r="DI550" s="106"/>
      <c r="DJ550" s="106"/>
      <c r="DK550" s="106"/>
      <c r="DL550" s="106"/>
      <c r="DM550" s="106"/>
      <c r="DN550" s="106"/>
      <c r="DO550" s="106"/>
      <c r="DP550" s="106"/>
      <c r="DQ550" s="106"/>
      <c r="DR550" s="106"/>
      <c r="DS550" s="106"/>
      <c r="DT550" s="106"/>
      <c r="DU550" s="106"/>
      <c r="DV550" s="106"/>
      <c r="DW550" s="106"/>
      <c r="DX550" s="106"/>
      <c r="DY550" s="106"/>
      <c r="DZ550" s="106"/>
      <c r="EA550" s="106"/>
      <c r="EB550" s="106"/>
      <c r="EC550" s="106"/>
      <c r="ED550" s="106"/>
      <c r="EE550" s="106"/>
      <c r="EF550" s="106"/>
      <c r="EG550" s="106"/>
      <c r="EH550" s="106"/>
      <c r="EI550" s="106"/>
    </row>
    <row r="551" spans="3:139" ht="15.75" customHeight="1" x14ac:dyDescent="0.25"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  <c r="CR551" s="106"/>
      <c r="CS551" s="106"/>
      <c r="CT551" s="106"/>
      <c r="CU551" s="106"/>
      <c r="CV551" s="106"/>
      <c r="CW551" s="106"/>
      <c r="CX551" s="106"/>
      <c r="CY551" s="106"/>
      <c r="CZ551" s="106"/>
      <c r="DA551" s="106"/>
      <c r="DB551" s="106"/>
      <c r="DC551" s="106"/>
      <c r="DD551" s="106"/>
      <c r="DE551" s="106"/>
      <c r="DF551" s="106"/>
      <c r="DG551" s="106"/>
      <c r="DH551" s="106"/>
      <c r="DI551" s="106"/>
      <c r="DJ551" s="106"/>
      <c r="DK551" s="106"/>
      <c r="DL551" s="106"/>
      <c r="DM551" s="106"/>
      <c r="DN551" s="106"/>
      <c r="DO551" s="106"/>
      <c r="DP551" s="106"/>
      <c r="DQ551" s="106"/>
      <c r="DR551" s="106"/>
      <c r="DS551" s="106"/>
      <c r="DT551" s="106"/>
      <c r="DU551" s="106"/>
      <c r="DV551" s="106"/>
      <c r="DW551" s="106"/>
      <c r="DX551" s="106"/>
      <c r="DY551" s="106"/>
      <c r="DZ551" s="106"/>
      <c r="EA551" s="106"/>
      <c r="EB551" s="106"/>
      <c r="EC551" s="106"/>
      <c r="ED551" s="106"/>
      <c r="EE551" s="106"/>
      <c r="EF551" s="106"/>
      <c r="EG551" s="106"/>
      <c r="EH551" s="106"/>
      <c r="EI551" s="106"/>
    </row>
    <row r="552" spans="3:139" ht="15.75" customHeight="1" x14ac:dyDescent="0.25"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  <c r="CR552" s="106"/>
      <c r="CS552" s="106"/>
      <c r="CT552" s="106"/>
      <c r="CU552" s="106"/>
      <c r="CV552" s="106"/>
      <c r="CW552" s="106"/>
      <c r="CX552" s="106"/>
      <c r="CY552" s="106"/>
      <c r="CZ552" s="106"/>
      <c r="DA552" s="106"/>
      <c r="DB552" s="106"/>
      <c r="DC552" s="106"/>
      <c r="DD552" s="106"/>
      <c r="DE552" s="106"/>
      <c r="DF552" s="106"/>
      <c r="DG552" s="106"/>
      <c r="DH552" s="106"/>
      <c r="DI552" s="106"/>
      <c r="DJ552" s="106"/>
      <c r="DK552" s="106"/>
      <c r="DL552" s="106"/>
      <c r="DM552" s="106"/>
      <c r="DN552" s="106"/>
      <c r="DO552" s="106"/>
      <c r="DP552" s="106"/>
      <c r="DQ552" s="106"/>
      <c r="DR552" s="106"/>
      <c r="DS552" s="106"/>
      <c r="DT552" s="106"/>
      <c r="DU552" s="106"/>
      <c r="DV552" s="106"/>
      <c r="DW552" s="106"/>
      <c r="DX552" s="106"/>
      <c r="DY552" s="106"/>
      <c r="DZ552" s="106"/>
      <c r="EA552" s="106"/>
      <c r="EB552" s="106"/>
      <c r="EC552" s="106"/>
      <c r="ED552" s="106"/>
      <c r="EE552" s="106"/>
      <c r="EF552" s="106"/>
      <c r="EG552" s="106"/>
      <c r="EH552" s="106"/>
      <c r="EI552" s="106"/>
    </row>
    <row r="553" spans="3:139" ht="15.75" customHeight="1" x14ac:dyDescent="0.25"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  <c r="CR553" s="106"/>
      <c r="CS553" s="106"/>
      <c r="CT553" s="106"/>
      <c r="CU553" s="106"/>
      <c r="CV553" s="106"/>
      <c r="CW553" s="106"/>
      <c r="CX553" s="106"/>
      <c r="CY553" s="106"/>
      <c r="CZ553" s="106"/>
      <c r="DA553" s="106"/>
      <c r="DB553" s="106"/>
      <c r="DC553" s="106"/>
      <c r="DD553" s="106"/>
      <c r="DE553" s="106"/>
      <c r="DF553" s="106"/>
      <c r="DG553" s="106"/>
      <c r="DH553" s="106"/>
      <c r="DI553" s="106"/>
      <c r="DJ553" s="106"/>
      <c r="DK553" s="106"/>
      <c r="DL553" s="106"/>
      <c r="DM553" s="106"/>
      <c r="DN553" s="106"/>
      <c r="DO553" s="106"/>
      <c r="DP553" s="106"/>
      <c r="DQ553" s="106"/>
      <c r="DR553" s="106"/>
      <c r="DS553" s="106"/>
      <c r="DT553" s="106"/>
      <c r="DU553" s="106"/>
      <c r="DV553" s="106"/>
      <c r="DW553" s="106"/>
      <c r="DX553" s="106"/>
      <c r="DY553" s="106"/>
      <c r="DZ553" s="106"/>
      <c r="EA553" s="106"/>
      <c r="EB553" s="106"/>
      <c r="EC553" s="106"/>
      <c r="ED553" s="106"/>
      <c r="EE553" s="106"/>
      <c r="EF553" s="106"/>
      <c r="EG553" s="106"/>
      <c r="EH553" s="106"/>
      <c r="EI553" s="106"/>
    </row>
    <row r="554" spans="3:139" ht="15.75" customHeight="1" x14ac:dyDescent="0.25"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  <c r="CR554" s="106"/>
      <c r="CS554" s="106"/>
      <c r="CT554" s="106"/>
      <c r="CU554" s="106"/>
      <c r="CV554" s="106"/>
      <c r="CW554" s="106"/>
      <c r="CX554" s="106"/>
      <c r="CY554" s="106"/>
      <c r="CZ554" s="106"/>
      <c r="DA554" s="106"/>
      <c r="DB554" s="106"/>
      <c r="DC554" s="106"/>
      <c r="DD554" s="106"/>
      <c r="DE554" s="106"/>
      <c r="DF554" s="106"/>
      <c r="DG554" s="106"/>
      <c r="DH554" s="106"/>
      <c r="DI554" s="106"/>
      <c r="DJ554" s="106"/>
      <c r="DK554" s="106"/>
      <c r="DL554" s="106"/>
      <c r="DM554" s="106"/>
      <c r="DN554" s="106"/>
      <c r="DO554" s="106"/>
      <c r="DP554" s="106"/>
      <c r="DQ554" s="106"/>
      <c r="DR554" s="106"/>
      <c r="DS554" s="106"/>
      <c r="DT554" s="106"/>
      <c r="DU554" s="106"/>
      <c r="DV554" s="106"/>
      <c r="DW554" s="106"/>
      <c r="DX554" s="106"/>
      <c r="DY554" s="106"/>
      <c r="DZ554" s="106"/>
      <c r="EA554" s="106"/>
      <c r="EB554" s="106"/>
      <c r="EC554" s="106"/>
      <c r="ED554" s="106"/>
      <c r="EE554" s="106"/>
      <c r="EF554" s="106"/>
      <c r="EG554" s="106"/>
      <c r="EH554" s="106"/>
      <c r="EI554" s="106"/>
    </row>
    <row r="555" spans="3:139" ht="15.75" customHeight="1" x14ac:dyDescent="0.25"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  <c r="CR555" s="106"/>
      <c r="CS555" s="106"/>
      <c r="CT555" s="106"/>
      <c r="CU555" s="106"/>
      <c r="CV555" s="106"/>
      <c r="CW555" s="106"/>
      <c r="CX555" s="106"/>
      <c r="CY555" s="106"/>
      <c r="CZ555" s="106"/>
      <c r="DA555" s="106"/>
      <c r="DB555" s="106"/>
      <c r="DC555" s="106"/>
      <c r="DD555" s="106"/>
      <c r="DE555" s="106"/>
      <c r="DF555" s="106"/>
      <c r="DG555" s="106"/>
      <c r="DH555" s="106"/>
      <c r="DI555" s="106"/>
      <c r="DJ555" s="106"/>
      <c r="DK555" s="106"/>
      <c r="DL555" s="106"/>
      <c r="DM555" s="106"/>
      <c r="DN555" s="106"/>
      <c r="DO555" s="106"/>
      <c r="DP555" s="106"/>
      <c r="DQ555" s="106"/>
      <c r="DR555" s="106"/>
      <c r="DS555" s="106"/>
      <c r="DT555" s="106"/>
      <c r="DU555" s="106"/>
      <c r="DV555" s="106"/>
      <c r="DW555" s="106"/>
      <c r="DX555" s="106"/>
      <c r="DY555" s="106"/>
      <c r="DZ555" s="106"/>
      <c r="EA555" s="106"/>
      <c r="EB555" s="106"/>
      <c r="EC555" s="106"/>
      <c r="ED555" s="106"/>
      <c r="EE555" s="106"/>
      <c r="EF555" s="106"/>
      <c r="EG555" s="106"/>
      <c r="EH555" s="106"/>
      <c r="EI555" s="106"/>
    </row>
    <row r="556" spans="3:139" ht="15.75" customHeight="1" x14ac:dyDescent="0.25"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  <c r="CR556" s="106"/>
      <c r="CS556" s="106"/>
      <c r="CT556" s="106"/>
      <c r="CU556" s="106"/>
      <c r="CV556" s="106"/>
      <c r="CW556" s="106"/>
      <c r="CX556" s="106"/>
      <c r="CY556" s="106"/>
      <c r="CZ556" s="106"/>
      <c r="DA556" s="106"/>
      <c r="DB556" s="106"/>
      <c r="DC556" s="106"/>
      <c r="DD556" s="106"/>
      <c r="DE556" s="106"/>
      <c r="DF556" s="106"/>
      <c r="DG556" s="106"/>
      <c r="DH556" s="106"/>
      <c r="DI556" s="106"/>
      <c r="DJ556" s="106"/>
      <c r="DK556" s="106"/>
      <c r="DL556" s="106"/>
      <c r="DM556" s="106"/>
      <c r="DN556" s="106"/>
      <c r="DO556" s="106"/>
      <c r="DP556" s="106"/>
      <c r="DQ556" s="106"/>
      <c r="DR556" s="106"/>
      <c r="DS556" s="106"/>
      <c r="DT556" s="106"/>
      <c r="DU556" s="106"/>
      <c r="DV556" s="106"/>
      <c r="DW556" s="106"/>
      <c r="DX556" s="106"/>
      <c r="DY556" s="106"/>
      <c r="DZ556" s="106"/>
      <c r="EA556" s="106"/>
      <c r="EB556" s="106"/>
      <c r="EC556" s="106"/>
      <c r="ED556" s="106"/>
      <c r="EE556" s="106"/>
      <c r="EF556" s="106"/>
      <c r="EG556" s="106"/>
      <c r="EH556" s="106"/>
      <c r="EI556" s="106"/>
    </row>
    <row r="557" spans="3:139" ht="15.75" customHeight="1" x14ac:dyDescent="0.25"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  <c r="CR557" s="106"/>
      <c r="CS557" s="106"/>
      <c r="CT557" s="106"/>
      <c r="CU557" s="106"/>
      <c r="CV557" s="106"/>
      <c r="CW557" s="106"/>
      <c r="CX557" s="106"/>
      <c r="CY557" s="106"/>
      <c r="CZ557" s="106"/>
      <c r="DA557" s="106"/>
      <c r="DB557" s="106"/>
      <c r="DC557" s="106"/>
      <c r="DD557" s="106"/>
      <c r="DE557" s="106"/>
      <c r="DF557" s="106"/>
      <c r="DG557" s="106"/>
      <c r="DH557" s="106"/>
      <c r="DI557" s="106"/>
      <c r="DJ557" s="106"/>
      <c r="DK557" s="106"/>
      <c r="DL557" s="106"/>
      <c r="DM557" s="106"/>
      <c r="DN557" s="106"/>
      <c r="DO557" s="106"/>
      <c r="DP557" s="106"/>
      <c r="DQ557" s="106"/>
      <c r="DR557" s="106"/>
      <c r="DS557" s="106"/>
      <c r="DT557" s="106"/>
      <c r="DU557" s="106"/>
      <c r="DV557" s="106"/>
      <c r="DW557" s="106"/>
      <c r="DX557" s="106"/>
      <c r="DY557" s="106"/>
      <c r="DZ557" s="106"/>
      <c r="EA557" s="106"/>
      <c r="EB557" s="106"/>
      <c r="EC557" s="106"/>
      <c r="ED557" s="106"/>
      <c r="EE557" s="106"/>
      <c r="EF557" s="106"/>
      <c r="EG557" s="106"/>
      <c r="EH557" s="106"/>
      <c r="EI557" s="106"/>
    </row>
    <row r="558" spans="3:139" ht="15.75" customHeight="1" x14ac:dyDescent="0.25"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  <c r="CR558" s="106"/>
      <c r="CS558" s="106"/>
      <c r="CT558" s="106"/>
      <c r="CU558" s="106"/>
      <c r="CV558" s="106"/>
      <c r="CW558" s="106"/>
      <c r="CX558" s="106"/>
      <c r="CY558" s="106"/>
      <c r="CZ558" s="106"/>
      <c r="DA558" s="106"/>
      <c r="DB558" s="106"/>
      <c r="DC558" s="106"/>
      <c r="DD558" s="106"/>
      <c r="DE558" s="106"/>
      <c r="DF558" s="106"/>
      <c r="DG558" s="106"/>
      <c r="DH558" s="106"/>
      <c r="DI558" s="106"/>
      <c r="DJ558" s="106"/>
      <c r="DK558" s="106"/>
      <c r="DL558" s="106"/>
      <c r="DM558" s="106"/>
      <c r="DN558" s="106"/>
      <c r="DO558" s="106"/>
      <c r="DP558" s="106"/>
      <c r="DQ558" s="106"/>
      <c r="DR558" s="106"/>
      <c r="DS558" s="106"/>
      <c r="DT558" s="106"/>
      <c r="DU558" s="106"/>
      <c r="DV558" s="106"/>
      <c r="DW558" s="106"/>
      <c r="DX558" s="106"/>
      <c r="DY558" s="106"/>
      <c r="DZ558" s="106"/>
      <c r="EA558" s="106"/>
      <c r="EB558" s="106"/>
      <c r="EC558" s="106"/>
      <c r="ED558" s="106"/>
      <c r="EE558" s="106"/>
      <c r="EF558" s="106"/>
      <c r="EG558" s="106"/>
      <c r="EH558" s="106"/>
      <c r="EI558" s="106"/>
    </row>
    <row r="559" spans="3:139" ht="15.75" customHeight="1" x14ac:dyDescent="0.25"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  <c r="CR559" s="106"/>
      <c r="CS559" s="106"/>
      <c r="CT559" s="106"/>
      <c r="CU559" s="106"/>
      <c r="CV559" s="106"/>
      <c r="CW559" s="106"/>
      <c r="CX559" s="106"/>
      <c r="CY559" s="106"/>
      <c r="CZ559" s="106"/>
      <c r="DA559" s="106"/>
      <c r="DB559" s="106"/>
      <c r="DC559" s="106"/>
      <c r="DD559" s="106"/>
      <c r="DE559" s="106"/>
      <c r="DF559" s="106"/>
      <c r="DG559" s="106"/>
      <c r="DH559" s="106"/>
      <c r="DI559" s="106"/>
      <c r="DJ559" s="106"/>
      <c r="DK559" s="106"/>
      <c r="DL559" s="106"/>
      <c r="DM559" s="106"/>
      <c r="DN559" s="106"/>
      <c r="DO559" s="106"/>
      <c r="DP559" s="106"/>
      <c r="DQ559" s="106"/>
      <c r="DR559" s="106"/>
      <c r="DS559" s="106"/>
      <c r="DT559" s="106"/>
      <c r="DU559" s="106"/>
      <c r="DV559" s="106"/>
      <c r="DW559" s="106"/>
      <c r="DX559" s="106"/>
      <c r="DY559" s="106"/>
      <c r="DZ559" s="106"/>
      <c r="EA559" s="106"/>
      <c r="EB559" s="106"/>
      <c r="EC559" s="106"/>
      <c r="ED559" s="106"/>
      <c r="EE559" s="106"/>
      <c r="EF559" s="106"/>
      <c r="EG559" s="106"/>
      <c r="EH559" s="106"/>
      <c r="EI559" s="106"/>
    </row>
    <row r="560" spans="3:139" ht="15.75" customHeight="1" x14ac:dyDescent="0.25"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  <c r="CR560" s="106"/>
      <c r="CS560" s="106"/>
      <c r="CT560" s="106"/>
      <c r="CU560" s="106"/>
      <c r="CV560" s="106"/>
      <c r="CW560" s="106"/>
      <c r="CX560" s="106"/>
      <c r="CY560" s="106"/>
      <c r="CZ560" s="106"/>
      <c r="DA560" s="106"/>
      <c r="DB560" s="106"/>
      <c r="DC560" s="106"/>
      <c r="DD560" s="106"/>
      <c r="DE560" s="106"/>
      <c r="DF560" s="106"/>
      <c r="DG560" s="106"/>
      <c r="DH560" s="106"/>
      <c r="DI560" s="106"/>
      <c r="DJ560" s="106"/>
      <c r="DK560" s="106"/>
      <c r="DL560" s="106"/>
      <c r="DM560" s="106"/>
      <c r="DN560" s="106"/>
      <c r="DO560" s="106"/>
      <c r="DP560" s="106"/>
      <c r="DQ560" s="106"/>
      <c r="DR560" s="106"/>
      <c r="DS560" s="106"/>
      <c r="DT560" s="106"/>
      <c r="DU560" s="106"/>
      <c r="DV560" s="106"/>
      <c r="DW560" s="106"/>
      <c r="DX560" s="106"/>
      <c r="DY560" s="106"/>
      <c r="DZ560" s="106"/>
      <c r="EA560" s="106"/>
      <c r="EB560" s="106"/>
      <c r="EC560" s="106"/>
      <c r="ED560" s="106"/>
      <c r="EE560" s="106"/>
      <c r="EF560" s="106"/>
      <c r="EG560" s="106"/>
      <c r="EH560" s="106"/>
      <c r="EI560" s="106"/>
    </row>
    <row r="561" spans="3:139" ht="15.75" customHeight="1" x14ac:dyDescent="0.25"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  <c r="CR561" s="106"/>
      <c r="CS561" s="106"/>
      <c r="CT561" s="106"/>
      <c r="CU561" s="106"/>
      <c r="CV561" s="106"/>
      <c r="CW561" s="106"/>
      <c r="CX561" s="106"/>
      <c r="CY561" s="106"/>
      <c r="CZ561" s="106"/>
      <c r="DA561" s="106"/>
      <c r="DB561" s="106"/>
      <c r="DC561" s="106"/>
      <c r="DD561" s="106"/>
      <c r="DE561" s="106"/>
      <c r="DF561" s="106"/>
      <c r="DG561" s="106"/>
      <c r="DH561" s="106"/>
      <c r="DI561" s="106"/>
      <c r="DJ561" s="106"/>
      <c r="DK561" s="106"/>
      <c r="DL561" s="106"/>
      <c r="DM561" s="106"/>
      <c r="DN561" s="106"/>
      <c r="DO561" s="106"/>
      <c r="DP561" s="106"/>
      <c r="DQ561" s="106"/>
      <c r="DR561" s="106"/>
      <c r="DS561" s="106"/>
      <c r="DT561" s="106"/>
      <c r="DU561" s="106"/>
      <c r="DV561" s="106"/>
      <c r="DW561" s="106"/>
      <c r="DX561" s="106"/>
      <c r="DY561" s="106"/>
      <c r="DZ561" s="106"/>
      <c r="EA561" s="106"/>
      <c r="EB561" s="106"/>
      <c r="EC561" s="106"/>
      <c r="ED561" s="106"/>
      <c r="EE561" s="106"/>
      <c r="EF561" s="106"/>
      <c r="EG561" s="106"/>
      <c r="EH561" s="106"/>
      <c r="EI561" s="106"/>
    </row>
    <row r="562" spans="3:139" ht="15.75" customHeight="1" x14ac:dyDescent="0.25"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  <c r="CR562" s="106"/>
      <c r="CS562" s="106"/>
      <c r="CT562" s="106"/>
      <c r="CU562" s="106"/>
      <c r="CV562" s="106"/>
      <c r="CW562" s="106"/>
      <c r="CX562" s="106"/>
      <c r="CY562" s="106"/>
      <c r="CZ562" s="106"/>
      <c r="DA562" s="106"/>
      <c r="DB562" s="106"/>
      <c r="DC562" s="106"/>
      <c r="DD562" s="106"/>
      <c r="DE562" s="106"/>
      <c r="DF562" s="106"/>
      <c r="DG562" s="106"/>
      <c r="DH562" s="106"/>
      <c r="DI562" s="106"/>
      <c r="DJ562" s="106"/>
      <c r="DK562" s="106"/>
      <c r="DL562" s="106"/>
      <c r="DM562" s="106"/>
      <c r="DN562" s="106"/>
      <c r="DO562" s="106"/>
      <c r="DP562" s="106"/>
      <c r="DQ562" s="106"/>
      <c r="DR562" s="106"/>
      <c r="DS562" s="106"/>
      <c r="DT562" s="106"/>
      <c r="DU562" s="106"/>
      <c r="DV562" s="106"/>
      <c r="DW562" s="106"/>
      <c r="DX562" s="106"/>
      <c r="DY562" s="106"/>
      <c r="DZ562" s="106"/>
      <c r="EA562" s="106"/>
      <c r="EB562" s="106"/>
      <c r="EC562" s="106"/>
      <c r="ED562" s="106"/>
      <c r="EE562" s="106"/>
      <c r="EF562" s="106"/>
      <c r="EG562" s="106"/>
      <c r="EH562" s="106"/>
      <c r="EI562" s="106"/>
    </row>
    <row r="563" spans="3:139" ht="15.75" customHeight="1" x14ac:dyDescent="0.25"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  <c r="CR563" s="106"/>
      <c r="CS563" s="106"/>
      <c r="CT563" s="106"/>
      <c r="CU563" s="106"/>
      <c r="CV563" s="106"/>
      <c r="CW563" s="106"/>
      <c r="CX563" s="106"/>
      <c r="CY563" s="106"/>
      <c r="CZ563" s="106"/>
      <c r="DA563" s="106"/>
      <c r="DB563" s="106"/>
      <c r="DC563" s="106"/>
      <c r="DD563" s="106"/>
      <c r="DE563" s="106"/>
      <c r="DF563" s="106"/>
      <c r="DG563" s="106"/>
      <c r="DH563" s="106"/>
      <c r="DI563" s="106"/>
      <c r="DJ563" s="106"/>
      <c r="DK563" s="106"/>
      <c r="DL563" s="106"/>
      <c r="DM563" s="106"/>
      <c r="DN563" s="106"/>
      <c r="DO563" s="106"/>
      <c r="DP563" s="106"/>
      <c r="DQ563" s="106"/>
      <c r="DR563" s="106"/>
      <c r="DS563" s="106"/>
      <c r="DT563" s="106"/>
      <c r="DU563" s="106"/>
      <c r="DV563" s="106"/>
      <c r="DW563" s="106"/>
      <c r="DX563" s="106"/>
      <c r="DY563" s="106"/>
      <c r="DZ563" s="106"/>
      <c r="EA563" s="106"/>
      <c r="EB563" s="106"/>
      <c r="EC563" s="106"/>
      <c r="ED563" s="106"/>
      <c r="EE563" s="106"/>
      <c r="EF563" s="106"/>
      <c r="EG563" s="106"/>
      <c r="EH563" s="106"/>
      <c r="EI563" s="106"/>
    </row>
    <row r="564" spans="3:139" ht="15.75" customHeight="1" x14ac:dyDescent="0.25"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  <c r="CR564" s="106"/>
      <c r="CS564" s="106"/>
      <c r="CT564" s="106"/>
      <c r="CU564" s="106"/>
      <c r="CV564" s="106"/>
      <c r="CW564" s="106"/>
      <c r="CX564" s="106"/>
      <c r="CY564" s="106"/>
      <c r="CZ564" s="106"/>
      <c r="DA564" s="106"/>
      <c r="DB564" s="106"/>
      <c r="DC564" s="106"/>
      <c r="DD564" s="106"/>
      <c r="DE564" s="106"/>
      <c r="DF564" s="106"/>
      <c r="DG564" s="106"/>
      <c r="DH564" s="106"/>
      <c r="DI564" s="106"/>
      <c r="DJ564" s="106"/>
      <c r="DK564" s="106"/>
      <c r="DL564" s="106"/>
      <c r="DM564" s="106"/>
      <c r="DN564" s="106"/>
      <c r="DO564" s="106"/>
      <c r="DP564" s="106"/>
      <c r="DQ564" s="106"/>
      <c r="DR564" s="106"/>
      <c r="DS564" s="106"/>
      <c r="DT564" s="106"/>
      <c r="DU564" s="106"/>
      <c r="DV564" s="106"/>
      <c r="DW564" s="106"/>
      <c r="DX564" s="106"/>
      <c r="DY564" s="106"/>
      <c r="DZ564" s="106"/>
      <c r="EA564" s="106"/>
      <c r="EB564" s="106"/>
      <c r="EC564" s="106"/>
      <c r="ED564" s="106"/>
      <c r="EE564" s="106"/>
      <c r="EF564" s="106"/>
      <c r="EG564" s="106"/>
      <c r="EH564" s="106"/>
      <c r="EI564" s="106"/>
    </row>
    <row r="565" spans="3:139" ht="15.75" customHeight="1" x14ac:dyDescent="0.25"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  <c r="CR565" s="106"/>
      <c r="CS565" s="106"/>
      <c r="CT565" s="106"/>
      <c r="CU565" s="106"/>
      <c r="CV565" s="106"/>
      <c r="CW565" s="106"/>
      <c r="CX565" s="106"/>
      <c r="CY565" s="106"/>
      <c r="CZ565" s="106"/>
      <c r="DA565" s="106"/>
      <c r="DB565" s="106"/>
      <c r="DC565" s="106"/>
      <c r="DD565" s="106"/>
      <c r="DE565" s="106"/>
      <c r="DF565" s="106"/>
      <c r="DG565" s="106"/>
      <c r="DH565" s="106"/>
      <c r="DI565" s="106"/>
      <c r="DJ565" s="106"/>
      <c r="DK565" s="106"/>
      <c r="DL565" s="106"/>
      <c r="DM565" s="106"/>
      <c r="DN565" s="106"/>
      <c r="DO565" s="106"/>
      <c r="DP565" s="106"/>
      <c r="DQ565" s="106"/>
      <c r="DR565" s="106"/>
      <c r="DS565" s="106"/>
      <c r="DT565" s="106"/>
      <c r="DU565" s="106"/>
      <c r="DV565" s="106"/>
      <c r="DW565" s="106"/>
      <c r="DX565" s="106"/>
      <c r="DY565" s="106"/>
      <c r="DZ565" s="106"/>
      <c r="EA565" s="106"/>
      <c r="EB565" s="106"/>
      <c r="EC565" s="106"/>
      <c r="ED565" s="106"/>
      <c r="EE565" s="106"/>
      <c r="EF565" s="106"/>
      <c r="EG565" s="106"/>
      <c r="EH565" s="106"/>
      <c r="EI565" s="106"/>
    </row>
    <row r="566" spans="3:139" ht="15.75" customHeight="1" x14ac:dyDescent="0.25"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  <c r="CR566" s="106"/>
      <c r="CS566" s="106"/>
      <c r="CT566" s="106"/>
      <c r="CU566" s="106"/>
      <c r="CV566" s="106"/>
      <c r="CW566" s="106"/>
      <c r="CX566" s="106"/>
      <c r="CY566" s="106"/>
      <c r="CZ566" s="106"/>
      <c r="DA566" s="106"/>
      <c r="DB566" s="106"/>
      <c r="DC566" s="106"/>
      <c r="DD566" s="106"/>
      <c r="DE566" s="106"/>
      <c r="DF566" s="106"/>
      <c r="DG566" s="106"/>
      <c r="DH566" s="106"/>
      <c r="DI566" s="106"/>
      <c r="DJ566" s="106"/>
      <c r="DK566" s="106"/>
      <c r="DL566" s="106"/>
      <c r="DM566" s="106"/>
      <c r="DN566" s="106"/>
      <c r="DO566" s="106"/>
      <c r="DP566" s="106"/>
      <c r="DQ566" s="106"/>
      <c r="DR566" s="106"/>
      <c r="DS566" s="106"/>
      <c r="DT566" s="106"/>
      <c r="DU566" s="106"/>
      <c r="DV566" s="106"/>
      <c r="DW566" s="106"/>
      <c r="DX566" s="106"/>
      <c r="DY566" s="106"/>
      <c r="DZ566" s="106"/>
      <c r="EA566" s="106"/>
      <c r="EB566" s="106"/>
      <c r="EC566" s="106"/>
      <c r="ED566" s="106"/>
      <c r="EE566" s="106"/>
      <c r="EF566" s="106"/>
      <c r="EG566" s="106"/>
      <c r="EH566" s="106"/>
      <c r="EI566" s="106"/>
    </row>
    <row r="567" spans="3:139" ht="15.75" customHeight="1" x14ac:dyDescent="0.25"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  <c r="CR567" s="106"/>
      <c r="CS567" s="106"/>
      <c r="CT567" s="106"/>
      <c r="CU567" s="106"/>
      <c r="CV567" s="106"/>
      <c r="CW567" s="106"/>
      <c r="CX567" s="106"/>
      <c r="CY567" s="106"/>
      <c r="CZ567" s="106"/>
      <c r="DA567" s="106"/>
      <c r="DB567" s="106"/>
      <c r="DC567" s="106"/>
      <c r="DD567" s="106"/>
      <c r="DE567" s="106"/>
      <c r="DF567" s="106"/>
      <c r="DG567" s="106"/>
      <c r="DH567" s="106"/>
      <c r="DI567" s="106"/>
      <c r="DJ567" s="106"/>
      <c r="DK567" s="106"/>
      <c r="DL567" s="106"/>
      <c r="DM567" s="106"/>
      <c r="DN567" s="106"/>
      <c r="DO567" s="106"/>
      <c r="DP567" s="106"/>
      <c r="DQ567" s="106"/>
      <c r="DR567" s="106"/>
      <c r="DS567" s="106"/>
      <c r="DT567" s="106"/>
      <c r="DU567" s="106"/>
      <c r="DV567" s="106"/>
      <c r="DW567" s="106"/>
      <c r="DX567" s="106"/>
      <c r="DY567" s="106"/>
      <c r="DZ567" s="106"/>
      <c r="EA567" s="106"/>
      <c r="EB567" s="106"/>
      <c r="EC567" s="106"/>
      <c r="ED567" s="106"/>
      <c r="EE567" s="106"/>
      <c r="EF567" s="106"/>
      <c r="EG567" s="106"/>
      <c r="EH567" s="106"/>
      <c r="EI567" s="106"/>
    </row>
    <row r="568" spans="3:139" ht="15.75" customHeight="1" x14ac:dyDescent="0.25"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  <c r="CR568" s="106"/>
      <c r="CS568" s="106"/>
      <c r="CT568" s="106"/>
      <c r="CU568" s="106"/>
      <c r="CV568" s="106"/>
      <c r="CW568" s="106"/>
      <c r="CX568" s="106"/>
      <c r="CY568" s="106"/>
      <c r="CZ568" s="106"/>
      <c r="DA568" s="106"/>
      <c r="DB568" s="106"/>
      <c r="DC568" s="106"/>
      <c r="DD568" s="106"/>
      <c r="DE568" s="106"/>
      <c r="DF568" s="106"/>
      <c r="DG568" s="106"/>
      <c r="DH568" s="106"/>
      <c r="DI568" s="106"/>
      <c r="DJ568" s="106"/>
      <c r="DK568" s="106"/>
      <c r="DL568" s="106"/>
      <c r="DM568" s="106"/>
      <c r="DN568" s="106"/>
      <c r="DO568" s="106"/>
      <c r="DP568" s="106"/>
      <c r="DQ568" s="106"/>
      <c r="DR568" s="106"/>
      <c r="DS568" s="106"/>
      <c r="DT568" s="106"/>
      <c r="DU568" s="106"/>
      <c r="DV568" s="106"/>
      <c r="DW568" s="106"/>
      <c r="DX568" s="106"/>
      <c r="DY568" s="106"/>
      <c r="DZ568" s="106"/>
      <c r="EA568" s="106"/>
      <c r="EB568" s="106"/>
      <c r="EC568" s="106"/>
      <c r="ED568" s="106"/>
      <c r="EE568" s="106"/>
      <c r="EF568" s="106"/>
      <c r="EG568" s="106"/>
      <c r="EH568" s="106"/>
      <c r="EI568" s="106"/>
    </row>
    <row r="569" spans="3:139" ht="15.75" customHeight="1" x14ac:dyDescent="0.25"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  <c r="CR569" s="106"/>
      <c r="CS569" s="106"/>
      <c r="CT569" s="106"/>
      <c r="CU569" s="106"/>
      <c r="CV569" s="106"/>
      <c r="CW569" s="106"/>
      <c r="CX569" s="106"/>
      <c r="CY569" s="106"/>
      <c r="CZ569" s="106"/>
      <c r="DA569" s="106"/>
      <c r="DB569" s="106"/>
      <c r="DC569" s="106"/>
      <c r="DD569" s="106"/>
      <c r="DE569" s="106"/>
      <c r="DF569" s="106"/>
      <c r="DG569" s="106"/>
      <c r="DH569" s="106"/>
      <c r="DI569" s="106"/>
      <c r="DJ569" s="106"/>
      <c r="DK569" s="106"/>
      <c r="DL569" s="106"/>
      <c r="DM569" s="106"/>
      <c r="DN569" s="106"/>
      <c r="DO569" s="106"/>
      <c r="DP569" s="106"/>
      <c r="DQ569" s="106"/>
      <c r="DR569" s="106"/>
      <c r="DS569" s="106"/>
      <c r="DT569" s="106"/>
      <c r="DU569" s="106"/>
      <c r="DV569" s="106"/>
      <c r="DW569" s="106"/>
      <c r="DX569" s="106"/>
      <c r="DY569" s="106"/>
      <c r="DZ569" s="106"/>
      <c r="EA569" s="106"/>
      <c r="EB569" s="106"/>
      <c r="EC569" s="106"/>
      <c r="ED569" s="106"/>
      <c r="EE569" s="106"/>
      <c r="EF569" s="106"/>
      <c r="EG569" s="106"/>
      <c r="EH569" s="106"/>
      <c r="EI569" s="106"/>
    </row>
    <row r="570" spans="3:139" ht="15.75" customHeight="1" x14ac:dyDescent="0.25"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  <c r="CR570" s="106"/>
      <c r="CS570" s="106"/>
      <c r="CT570" s="106"/>
      <c r="CU570" s="106"/>
      <c r="CV570" s="106"/>
      <c r="CW570" s="106"/>
      <c r="CX570" s="106"/>
      <c r="CY570" s="106"/>
      <c r="CZ570" s="106"/>
      <c r="DA570" s="106"/>
      <c r="DB570" s="106"/>
      <c r="DC570" s="106"/>
      <c r="DD570" s="106"/>
      <c r="DE570" s="106"/>
      <c r="DF570" s="106"/>
      <c r="DG570" s="106"/>
      <c r="DH570" s="106"/>
      <c r="DI570" s="106"/>
      <c r="DJ570" s="106"/>
      <c r="DK570" s="106"/>
      <c r="DL570" s="106"/>
      <c r="DM570" s="106"/>
      <c r="DN570" s="106"/>
      <c r="DO570" s="106"/>
      <c r="DP570" s="106"/>
      <c r="DQ570" s="106"/>
      <c r="DR570" s="106"/>
      <c r="DS570" s="106"/>
      <c r="DT570" s="106"/>
      <c r="DU570" s="106"/>
      <c r="DV570" s="106"/>
      <c r="DW570" s="106"/>
      <c r="DX570" s="106"/>
      <c r="DY570" s="106"/>
      <c r="DZ570" s="106"/>
      <c r="EA570" s="106"/>
      <c r="EB570" s="106"/>
      <c r="EC570" s="106"/>
      <c r="ED570" s="106"/>
      <c r="EE570" s="106"/>
      <c r="EF570" s="106"/>
      <c r="EG570" s="106"/>
      <c r="EH570" s="106"/>
      <c r="EI570" s="106"/>
    </row>
    <row r="571" spans="3:139" ht="15.75" customHeight="1" x14ac:dyDescent="0.25"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  <c r="CR571" s="106"/>
      <c r="CS571" s="106"/>
      <c r="CT571" s="106"/>
      <c r="CU571" s="106"/>
      <c r="CV571" s="106"/>
      <c r="CW571" s="106"/>
      <c r="CX571" s="106"/>
      <c r="CY571" s="106"/>
      <c r="CZ571" s="106"/>
      <c r="DA571" s="106"/>
      <c r="DB571" s="106"/>
      <c r="DC571" s="106"/>
      <c r="DD571" s="106"/>
      <c r="DE571" s="106"/>
      <c r="DF571" s="106"/>
      <c r="DG571" s="106"/>
      <c r="DH571" s="106"/>
      <c r="DI571" s="106"/>
      <c r="DJ571" s="106"/>
      <c r="DK571" s="106"/>
      <c r="DL571" s="106"/>
      <c r="DM571" s="106"/>
      <c r="DN571" s="106"/>
      <c r="DO571" s="106"/>
      <c r="DP571" s="106"/>
      <c r="DQ571" s="106"/>
      <c r="DR571" s="106"/>
      <c r="DS571" s="106"/>
      <c r="DT571" s="106"/>
      <c r="DU571" s="106"/>
      <c r="DV571" s="106"/>
      <c r="DW571" s="106"/>
      <c r="DX571" s="106"/>
      <c r="DY571" s="106"/>
      <c r="DZ571" s="106"/>
      <c r="EA571" s="106"/>
      <c r="EB571" s="106"/>
      <c r="EC571" s="106"/>
      <c r="ED571" s="106"/>
      <c r="EE571" s="106"/>
      <c r="EF571" s="106"/>
      <c r="EG571" s="106"/>
      <c r="EH571" s="106"/>
      <c r="EI571" s="106"/>
    </row>
    <row r="572" spans="3:139" ht="15.75" customHeight="1" x14ac:dyDescent="0.25"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  <c r="CR572" s="106"/>
      <c r="CS572" s="106"/>
      <c r="CT572" s="106"/>
      <c r="CU572" s="106"/>
      <c r="CV572" s="106"/>
      <c r="CW572" s="106"/>
      <c r="CX572" s="106"/>
      <c r="CY572" s="106"/>
      <c r="CZ572" s="106"/>
      <c r="DA572" s="106"/>
      <c r="DB572" s="106"/>
      <c r="DC572" s="106"/>
      <c r="DD572" s="106"/>
      <c r="DE572" s="106"/>
      <c r="DF572" s="106"/>
      <c r="DG572" s="106"/>
      <c r="DH572" s="106"/>
      <c r="DI572" s="106"/>
      <c r="DJ572" s="106"/>
      <c r="DK572" s="106"/>
      <c r="DL572" s="106"/>
      <c r="DM572" s="106"/>
      <c r="DN572" s="106"/>
      <c r="DO572" s="106"/>
      <c r="DP572" s="106"/>
      <c r="DQ572" s="106"/>
      <c r="DR572" s="106"/>
      <c r="DS572" s="106"/>
      <c r="DT572" s="106"/>
      <c r="DU572" s="106"/>
      <c r="DV572" s="106"/>
      <c r="DW572" s="106"/>
      <c r="DX572" s="106"/>
      <c r="DY572" s="106"/>
      <c r="DZ572" s="106"/>
      <c r="EA572" s="106"/>
      <c r="EB572" s="106"/>
      <c r="EC572" s="106"/>
      <c r="ED572" s="106"/>
      <c r="EE572" s="106"/>
      <c r="EF572" s="106"/>
      <c r="EG572" s="106"/>
      <c r="EH572" s="106"/>
      <c r="EI572" s="106"/>
    </row>
    <row r="573" spans="3:139" ht="15.75" customHeight="1" x14ac:dyDescent="0.25"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  <c r="CR573" s="106"/>
      <c r="CS573" s="106"/>
      <c r="CT573" s="106"/>
      <c r="CU573" s="106"/>
      <c r="CV573" s="106"/>
      <c r="CW573" s="106"/>
      <c r="CX573" s="106"/>
      <c r="CY573" s="106"/>
      <c r="CZ573" s="106"/>
      <c r="DA573" s="106"/>
      <c r="DB573" s="106"/>
      <c r="DC573" s="106"/>
      <c r="DD573" s="106"/>
      <c r="DE573" s="106"/>
      <c r="DF573" s="106"/>
      <c r="DG573" s="106"/>
      <c r="DH573" s="106"/>
      <c r="DI573" s="106"/>
      <c r="DJ573" s="106"/>
      <c r="DK573" s="106"/>
      <c r="DL573" s="106"/>
      <c r="DM573" s="106"/>
      <c r="DN573" s="106"/>
      <c r="DO573" s="106"/>
      <c r="DP573" s="106"/>
      <c r="DQ573" s="106"/>
      <c r="DR573" s="106"/>
      <c r="DS573" s="106"/>
      <c r="DT573" s="106"/>
      <c r="DU573" s="106"/>
      <c r="DV573" s="106"/>
      <c r="DW573" s="106"/>
      <c r="DX573" s="106"/>
      <c r="DY573" s="106"/>
      <c r="DZ573" s="106"/>
      <c r="EA573" s="106"/>
      <c r="EB573" s="106"/>
      <c r="EC573" s="106"/>
      <c r="ED573" s="106"/>
      <c r="EE573" s="106"/>
      <c r="EF573" s="106"/>
      <c r="EG573" s="106"/>
      <c r="EH573" s="106"/>
      <c r="EI573" s="106"/>
    </row>
    <row r="574" spans="3:139" ht="15.75" customHeight="1" x14ac:dyDescent="0.25"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  <c r="CR574" s="106"/>
      <c r="CS574" s="106"/>
      <c r="CT574" s="106"/>
      <c r="CU574" s="106"/>
      <c r="CV574" s="106"/>
      <c r="CW574" s="106"/>
      <c r="CX574" s="106"/>
      <c r="CY574" s="106"/>
      <c r="CZ574" s="106"/>
      <c r="DA574" s="106"/>
      <c r="DB574" s="106"/>
      <c r="DC574" s="106"/>
      <c r="DD574" s="106"/>
      <c r="DE574" s="106"/>
      <c r="DF574" s="106"/>
      <c r="DG574" s="106"/>
      <c r="DH574" s="106"/>
      <c r="DI574" s="106"/>
      <c r="DJ574" s="106"/>
      <c r="DK574" s="106"/>
      <c r="DL574" s="106"/>
      <c r="DM574" s="106"/>
      <c r="DN574" s="106"/>
      <c r="DO574" s="106"/>
      <c r="DP574" s="106"/>
      <c r="DQ574" s="106"/>
      <c r="DR574" s="106"/>
      <c r="DS574" s="106"/>
      <c r="DT574" s="106"/>
      <c r="DU574" s="106"/>
      <c r="DV574" s="106"/>
      <c r="DW574" s="106"/>
      <c r="DX574" s="106"/>
      <c r="DY574" s="106"/>
      <c r="DZ574" s="106"/>
      <c r="EA574" s="106"/>
      <c r="EB574" s="106"/>
      <c r="EC574" s="106"/>
      <c r="ED574" s="106"/>
      <c r="EE574" s="106"/>
      <c r="EF574" s="106"/>
      <c r="EG574" s="106"/>
      <c r="EH574" s="106"/>
      <c r="EI574" s="106"/>
    </row>
    <row r="575" spans="3:139" ht="15.75" customHeight="1" x14ac:dyDescent="0.25"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  <c r="CR575" s="106"/>
      <c r="CS575" s="106"/>
      <c r="CT575" s="106"/>
      <c r="CU575" s="106"/>
      <c r="CV575" s="106"/>
      <c r="CW575" s="106"/>
      <c r="CX575" s="106"/>
      <c r="CY575" s="106"/>
      <c r="CZ575" s="106"/>
      <c r="DA575" s="106"/>
      <c r="DB575" s="106"/>
      <c r="DC575" s="106"/>
      <c r="DD575" s="106"/>
      <c r="DE575" s="106"/>
      <c r="DF575" s="106"/>
      <c r="DG575" s="106"/>
      <c r="DH575" s="106"/>
      <c r="DI575" s="106"/>
      <c r="DJ575" s="106"/>
      <c r="DK575" s="106"/>
      <c r="DL575" s="106"/>
      <c r="DM575" s="106"/>
      <c r="DN575" s="106"/>
      <c r="DO575" s="106"/>
      <c r="DP575" s="106"/>
      <c r="DQ575" s="106"/>
      <c r="DR575" s="106"/>
      <c r="DS575" s="106"/>
      <c r="DT575" s="106"/>
      <c r="DU575" s="106"/>
      <c r="DV575" s="106"/>
      <c r="DW575" s="106"/>
      <c r="DX575" s="106"/>
      <c r="DY575" s="106"/>
      <c r="DZ575" s="106"/>
      <c r="EA575" s="106"/>
      <c r="EB575" s="106"/>
      <c r="EC575" s="106"/>
      <c r="ED575" s="106"/>
      <c r="EE575" s="106"/>
      <c r="EF575" s="106"/>
      <c r="EG575" s="106"/>
      <c r="EH575" s="106"/>
      <c r="EI575" s="106"/>
    </row>
    <row r="576" spans="3:139" ht="15.75" customHeight="1" x14ac:dyDescent="0.25"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  <c r="CR576" s="106"/>
      <c r="CS576" s="106"/>
      <c r="CT576" s="106"/>
      <c r="CU576" s="106"/>
      <c r="CV576" s="106"/>
      <c r="CW576" s="106"/>
      <c r="CX576" s="106"/>
      <c r="CY576" s="106"/>
      <c r="CZ576" s="106"/>
      <c r="DA576" s="106"/>
      <c r="DB576" s="106"/>
      <c r="DC576" s="106"/>
      <c r="DD576" s="106"/>
      <c r="DE576" s="106"/>
      <c r="DF576" s="106"/>
      <c r="DG576" s="106"/>
      <c r="DH576" s="106"/>
      <c r="DI576" s="106"/>
      <c r="DJ576" s="106"/>
      <c r="DK576" s="106"/>
      <c r="DL576" s="106"/>
      <c r="DM576" s="106"/>
      <c r="DN576" s="106"/>
      <c r="DO576" s="106"/>
      <c r="DP576" s="106"/>
      <c r="DQ576" s="106"/>
      <c r="DR576" s="106"/>
      <c r="DS576" s="106"/>
      <c r="DT576" s="106"/>
      <c r="DU576" s="106"/>
      <c r="DV576" s="106"/>
      <c r="DW576" s="106"/>
      <c r="DX576" s="106"/>
      <c r="DY576" s="106"/>
      <c r="DZ576" s="106"/>
      <c r="EA576" s="106"/>
      <c r="EB576" s="106"/>
      <c r="EC576" s="106"/>
      <c r="ED576" s="106"/>
      <c r="EE576" s="106"/>
      <c r="EF576" s="106"/>
      <c r="EG576" s="106"/>
      <c r="EH576" s="106"/>
      <c r="EI576" s="106"/>
    </row>
    <row r="577" spans="3:139" ht="15.75" customHeight="1" x14ac:dyDescent="0.25"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  <c r="CR577" s="106"/>
      <c r="CS577" s="106"/>
      <c r="CT577" s="106"/>
      <c r="CU577" s="106"/>
      <c r="CV577" s="106"/>
      <c r="CW577" s="106"/>
      <c r="CX577" s="106"/>
      <c r="CY577" s="106"/>
      <c r="CZ577" s="106"/>
      <c r="DA577" s="106"/>
      <c r="DB577" s="106"/>
      <c r="DC577" s="106"/>
      <c r="DD577" s="106"/>
      <c r="DE577" s="106"/>
      <c r="DF577" s="106"/>
      <c r="DG577" s="106"/>
      <c r="DH577" s="106"/>
      <c r="DI577" s="106"/>
      <c r="DJ577" s="106"/>
      <c r="DK577" s="106"/>
      <c r="DL577" s="106"/>
      <c r="DM577" s="106"/>
      <c r="DN577" s="106"/>
      <c r="DO577" s="106"/>
      <c r="DP577" s="106"/>
      <c r="DQ577" s="106"/>
      <c r="DR577" s="106"/>
      <c r="DS577" s="106"/>
      <c r="DT577" s="106"/>
      <c r="DU577" s="106"/>
      <c r="DV577" s="106"/>
      <c r="DW577" s="106"/>
      <c r="DX577" s="106"/>
      <c r="DY577" s="106"/>
      <c r="DZ577" s="106"/>
      <c r="EA577" s="106"/>
      <c r="EB577" s="106"/>
      <c r="EC577" s="106"/>
      <c r="ED577" s="106"/>
      <c r="EE577" s="106"/>
      <c r="EF577" s="106"/>
      <c r="EG577" s="106"/>
      <c r="EH577" s="106"/>
      <c r="EI577" s="106"/>
    </row>
    <row r="578" spans="3:139" ht="15.75" customHeight="1" x14ac:dyDescent="0.25"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  <c r="CR578" s="106"/>
      <c r="CS578" s="106"/>
      <c r="CT578" s="106"/>
      <c r="CU578" s="106"/>
      <c r="CV578" s="106"/>
      <c r="CW578" s="106"/>
      <c r="CX578" s="106"/>
      <c r="CY578" s="106"/>
      <c r="CZ578" s="106"/>
      <c r="DA578" s="106"/>
      <c r="DB578" s="106"/>
      <c r="DC578" s="106"/>
      <c r="DD578" s="106"/>
      <c r="DE578" s="106"/>
      <c r="DF578" s="106"/>
      <c r="DG578" s="106"/>
      <c r="DH578" s="106"/>
      <c r="DI578" s="106"/>
      <c r="DJ578" s="106"/>
      <c r="DK578" s="106"/>
      <c r="DL578" s="106"/>
      <c r="DM578" s="106"/>
      <c r="DN578" s="106"/>
      <c r="DO578" s="106"/>
      <c r="DP578" s="106"/>
      <c r="DQ578" s="106"/>
      <c r="DR578" s="106"/>
      <c r="DS578" s="106"/>
      <c r="DT578" s="106"/>
      <c r="DU578" s="106"/>
      <c r="DV578" s="106"/>
      <c r="DW578" s="106"/>
      <c r="DX578" s="106"/>
      <c r="DY578" s="106"/>
      <c r="DZ578" s="106"/>
      <c r="EA578" s="106"/>
      <c r="EB578" s="106"/>
      <c r="EC578" s="106"/>
      <c r="ED578" s="106"/>
      <c r="EE578" s="106"/>
      <c r="EF578" s="106"/>
      <c r="EG578" s="106"/>
      <c r="EH578" s="106"/>
      <c r="EI578" s="106"/>
    </row>
    <row r="579" spans="3:139" ht="15.75" customHeight="1" x14ac:dyDescent="0.25"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  <c r="CR579" s="106"/>
      <c r="CS579" s="106"/>
      <c r="CT579" s="106"/>
      <c r="CU579" s="106"/>
      <c r="CV579" s="106"/>
      <c r="CW579" s="106"/>
      <c r="CX579" s="106"/>
      <c r="CY579" s="106"/>
      <c r="CZ579" s="106"/>
      <c r="DA579" s="106"/>
      <c r="DB579" s="106"/>
      <c r="DC579" s="106"/>
      <c r="DD579" s="106"/>
      <c r="DE579" s="106"/>
      <c r="DF579" s="106"/>
      <c r="DG579" s="106"/>
      <c r="DH579" s="106"/>
      <c r="DI579" s="106"/>
      <c r="DJ579" s="106"/>
      <c r="DK579" s="106"/>
      <c r="DL579" s="106"/>
      <c r="DM579" s="106"/>
      <c r="DN579" s="106"/>
      <c r="DO579" s="106"/>
      <c r="DP579" s="106"/>
      <c r="DQ579" s="106"/>
      <c r="DR579" s="106"/>
      <c r="DS579" s="106"/>
      <c r="DT579" s="106"/>
      <c r="DU579" s="106"/>
      <c r="DV579" s="106"/>
      <c r="DW579" s="106"/>
      <c r="DX579" s="106"/>
      <c r="DY579" s="106"/>
      <c r="DZ579" s="106"/>
      <c r="EA579" s="106"/>
      <c r="EB579" s="106"/>
      <c r="EC579" s="106"/>
      <c r="ED579" s="106"/>
      <c r="EE579" s="106"/>
      <c r="EF579" s="106"/>
      <c r="EG579" s="106"/>
      <c r="EH579" s="106"/>
      <c r="EI579" s="106"/>
    </row>
    <row r="580" spans="3:139" ht="15.75" customHeight="1" x14ac:dyDescent="0.25"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  <c r="CR580" s="106"/>
      <c r="CS580" s="106"/>
      <c r="CT580" s="106"/>
      <c r="CU580" s="106"/>
      <c r="CV580" s="106"/>
      <c r="CW580" s="106"/>
      <c r="CX580" s="106"/>
      <c r="CY580" s="106"/>
      <c r="CZ580" s="106"/>
      <c r="DA580" s="106"/>
      <c r="DB580" s="106"/>
      <c r="DC580" s="106"/>
      <c r="DD580" s="106"/>
      <c r="DE580" s="106"/>
      <c r="DF580" s="106"/>
      <c r="DG580" s="106"/>
      <c r="DH580" s="106"/>
      <c r="DI580" s="106"/>
      <c r="DJ580" s="106"/>
      <c r="DK580" s="106"/>
      <c r="DL580" s="106"/>
      <c r="DM580" s="106"/>
      <c r="DN580" s="106"/>
      <c r="DO580" s="106"/>
      <c r="DP580" s="106"/>
      <c r="DQ580" s="106"/>
      <c r="DR580" s="106"/>
      <c r="DS580" s="106"/>
      <c r="DT580" s="106"/>
      <c r="DU580" s="106"/>
      <c r="DV580" s="106"/>
      <c r="DW580" s="106"/>
      <c r="DX580" s="106"/>
      <c r="DY580" s="106"/>
      <c r="DZ580" s="106"/>
      <c r="EA580" s="106"/>
      <c r="EB580" s="106"/>
      <c r="EC580" s="106"/>
      <c r="ED580" s="106"/>
      <c r="EE580" s="106"/>
      <c r="EF580" s="106"/>
      <c r="EG580" s="106"/>
      <c r="EH580" s="106"/>
      <c r="EI580" s="106"/>
    </row>
    <row r="581" spans="3:139" ht="15.75" customHeight="1" x14ac:dyDescent="0.25"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  <c r="CR581" s="106"/>
      <c r="CS581" s="106"/>
      <c r="CT581" s="106"/>
      <c r="CU581" s="106"/>
      <c r="CV581" s="106"/>
      <c r="CW581" s="106"/>
      <c r="CX581" s="106"/>
      <c r="CY581" s="106"/>
      <c r="CZ581" s="106"/>
      <c r="DA581" s="106"/>
      <c r="DB581" s="106"/>
      <c r="DC581" s="106"/>
      <c r="DD581" s="106"/>
      <c r="DE581" s="106"/>
      <c r="DF581" s="106"/>
      <c r="DG581" s="106"/>
      <c r="DH581" s="106"/>
      <c r="DI581" s="106"/>
      <c r="DJ581" s="106"/>
      <c r="DK581" s="106"/>
      <c r="DL581" s="106"/>
      <c r="DM581" s="106"/>
      <c r="DN581" s="106"/>
      <c r="DO581" s="106"/>
      <c r="DP581" s="106"/>
      <c r="DQ581" s="106"/>
      <c r="DR581" s="106"/>
      <c r="DS581" s="106"/>
      <c r="DT581" s="106"/>
      <c r="DU581" s="106"/>
      <c r="DV581" s="106"/>
      <c r="DW581" s="106"/>
      <c r="DX581" s="106"/>
      <c r="DY581" s="106"/>
      <c r="DZ581" s="106"/>
      <c r="EA581" s="106"/>
      <c r="EB581" s="106"/>
      <c r="EC581" s="106"/>
      <c r="ED581" s="106"/>
      <c r="EE581" s="106"/>
      <c r="EF581" s="106"/>
      <c r="EG581" s="106"/>
      <c r="EH581" s="106"/>
      <c r="EI581" s="106"/>
    </row>
    <row r="582" spans="3:139" ht="15.75" customHeight="1" x14ac:dyDescent="0.25"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  <c r="CR582" s="106"/>
      <c r="CS582" s="106"/>
      <c r="CT582" s="106"/>
      <c r="CU582" s="106"/>
      <c r="CV582" s="106"/>
      <c r="CW582" s="106"/>
      <c r="CX582" s="106"/>
      <c r="CY582" s="106"/>
      <c r="CZ582" s="106"/>
      <c r="DA582" s="106"/>
      <c r="DB582" s="106"/>
      <c r="DC582" s="106"/>
      <c r="DD582" s="106"/>
      <c r="DE582" s="106"/>
      <c r="DF582" s="106"/>
      <c r="DG582" s="106"/>
      <c r="DH582" s="106"/>
      <c r="DI582" s="106"/>
      <c r="DJ582" s="106"/>
      <c r="DK582" s="106"/>
      <c r="DL582" s="106"/>
      <c r="DM582" s="106"/>
      <c r="DN582" s="106"/>
      <c r="DO582" s="106"/>
      <c r="DP582" s="106"/>
      <c r="DQ582" s="106"/>
      <c r="DR582" s="106"/>
      <c r="DS582" s="106"/>
      <c r="DT582" s="106"/>
      <c r="DU582" s="106"/>
      <c r="DV582" s="106"/>
      <c r="DW582" s="106"/>
      <c r="DX582" s="106"/>
      <c r="DY582" s="106"/>
      <c r="DZ582" s="106"/>
      <c r="EA582" s="106"/>
      <c r="EB582" s="106"/>
      <c r="EC582" s="106"/>
      <c r="ED582" s="106"/>
      <c r="EE582" s="106"/>
      <c r="EF582" s="106"/>
      <c r="EG582" s="106"/>
      <c r="EH582" s="106"/>
      <c r="EI582" s="106"/>
    </row>
    <row r="583" spans="3:139" ht="15.75" customHeight="1" x14ac:dyDescent="0.25"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  <c r="CR583" s="106"/>
      <c r="CS583" s="106"/>
      <c r="CT583" s="106"/>
      <c r="CU583" s="106"/>
      <c r="CV583" s="106"/>
      <c r="CW583" s="106"/>
      <c r="CX583" s="106"/>
      <c r="CY583" s="106"/>
      <c r="CZ583" s="106"/>
      <c r="DA583" s="106"/>
      <c r="DB583" s="106"/>
      <c r="DC583" s="106"/>
      <c r="DD583" s="106"/>
      <c r="DE583" s="106"/>
      <c r="DF583" s="106"/>
      <c r="DG583" s="106"/>
      <c r="DH583" s="106"/>
      <c r="DI583" s="106"/>
      <c r="DJ583" s="106"/>
      <c r="DK583" s="106"/>
      <c r="DL583" s="106"/>
      <c r="DM583" s="106"/>
      <c r="DN583" s="106"/>
      <c r="DO583" s="106"/>
      <c r="DP583" s="106"/>
      <c r="DQ583" s="106"/>
      <c r="DR583" s="106"/>
      <c r="DS583" s="106"/>
      <c r="DT583" s="106"/>
      <c r="DU583" s="106"/>
      <c r="DV583" s="106"/>
      <c r="DW583" s="106"/>
      <c r="DX583" s="106"/>
      <c r="DY583" s="106"/>
      <c r="DZ583" s="106"/>
      <c r="EA583" s="106"/>
      <c r="EB583" s="106"/>
      <c r="EC583" s="106"/>
      <c r="ED583" s="106"/>
      <c r="EE583" s="106"/>
      <c r="EF583" s="106"/>
      <c r="EG583" s="106"/>
      <c r="EH583" s="106"/>
      <c r="EI583" s="106"/>
    </row>
    <row r="584" spans="3:139" ht="15.75" customHeight="1" x14ac:dyDescent="0.25"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  <c r="CR584" s="106"/>
      <c r="CS584" s="106"/>
      <c r="CT584" s="106"/>
      <c r="CU584" s="106"/>
      <c r="CV584" s="106"/>
      <c r="CW584" s="106"/>
      <c r="CX584" s="106"/>
      <c r="CY584" s="106"/>
      <c r="CZ584" s="106"/>
      <c r="DA584" s="106"/>
      <c r="DB584" s="106"/>
      <c r="DC584" s="106"/>
      <c r="DD584" s="106"/>
      <c r="DE584" s="106"/>
      <c r="DF584" s="106"/>
      <c r="DG584" s="106"/>
      <c r="DH584" s="106"/>
      <c r="DI584" s="106"/>
      <c r="DJ584" s="106"/>
      <c r="DK584" s="106"/>
      <c r="DL584" s="106"/>
      <c r="DM584" s="106"/>
      <c r="DN584" s="106"/>
      <c r="DO584" s="106"/>
      <c r="DP584" s="106"/>
      <c r="DQ584" s="106"/>
      <c r="DR584" s="106"/>
      <c r="DS584" s="106"/>
      <c r="DT584" s="106"/>
      <c r="DU584" s="106"/>
      <c r="DV584" s="106"/>
      <c r="DW584" s="106"/>
      <c r="DX584" s="106"/>
      <c r="DY584" s="106"/>
      <c r="DZ584" s="106"/>
      <c r="EA584" s="106"/>
      <c r="EB584" s="106"/>
      <c r="EC584" s="106"/>
      <c r="ED584" s="106"/>
      <c r="EE584" s="106"/>
      <c r="EF584" s="106"/>
      <c r="EG584" s="106"/>
      <c r="EH584" s="106"/>
      <c r="EI584" s="106"/>
    </row>
    <row r="585" spans="3:139" ht="15.75" customHeight="1" x14ac:dyDescent="0.25"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  <c r="CR585" s="106"/>
      <c r="CS585" s="106"/>
      <c r="CT585" s="106"/>
      <c r="CU585" s="106"/>
      <c r="CV585" s="106"/>
      <c r="CW585" s="106"/>
      <c r="CX585" s="106"/>
      <c r="CY585" s="106"/>
      <c r="CZ585" s="106"/>
      <c r="DA585" s="106"/>
      <c r="DB585" s="106"/>
      <c r="DC585" s="106"/>
      <c r="DD585" s="106"/>
      <c r="DE585" s="106"/>
      <c r="DF585" s="106"/>
      <c r="DG585" s="106"/>
      <c r="DH585" s="106"/>
      <c r="DI585" s="106"/>
      <c r="DJ585" s="106"/>
      <c r="DK585" s="106"/>
      <c r="DL585" s="106"/>
      <c r="DM585" s="106"/>
      <c r="DN585" s="106"/>
      <c r="DO585" s="106"/>
      <c r="DP585" s="106"/>
      <c r="DQ585" s="106"/>
      <c r="DR585" s="106"/>
      <c r="DS585" s="106"/>
      <c r="DT585" s="106"/>
      <c r="DU585" s="106"/>
      <c r="DV585" s="106"/>
      <c r="DW585" s="106"/>
      <c r="DX585" s="106"/>
      <c r="DY585" s="106"/>
      <c r="DZ585" s="106"/>
      <c r="EA585" s="106"/>
      <c r="EB585" s="106"/>
      <c r="EC585" s="106"/>
      <c r="ED585" s="106"/>
      <c r="EE585" s="106"/>
      <c r="EF585" s="106"/>
      <c r="EG585" s="106"/>
      <c r="EH585" s="106"/>
      <c r="EI585" s="106"/>
    </row>
    <row r="586" spans="3:139" ht="15.75" customHeight="1" x14ac:dyDescent="0.25"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  <c r="CR586" s="106"/>
      <c r="CS586" s="106"/>
      <c r="CT586" s="106"/>
      <c r="CU586" s="106"/>
      <c r="CV586" s="106"/>
      <c r="CW586" s="106"/>
      <c r="CX586" s="106"/>
      <c r="CY586" s="106"/>
      <c r="CZ586" s="106"/>
      <c r="DA586" s="106"/>
      <c r="DB586" s="106"/>
      <c r="DC586" s="106"/>
      <c r="DD586" s="106"/>
      <c r="DE586" s="106"/>
      <c r="DF586" s="106"/>
      <c r="DG586" s="106"/>
      <c r="DH586" s="106"/>
      <c r="DI586" s="106"/>
      <c r="DJ586" s="106"/>
      <c r="DK586" s="106"/>
      <c r="DL586" s="106"/>
      <c r="DM586" s="106"/>
      <c r="DN586" s="106"/>
      <c r="DO586" s="106"/>
      <c r="DP586" s="106"/>
      <c r="DQ586" s="106"/>
      <c r="DR586" s="106"/>
      <c r="DS586" s="106"/>
      <c r="DT586" s="106"/>
      <c r="DU586" s="106"/>
      <c r="DV586" s="106"/>
      <c r="DW586" s="106"/>
      <c r="DX586" s="106"/>
      <c r="DY586" s="106"/>
      <c r="DZ586" s="106"/>
      <c r="EA586" s="106"/>
      <c r="EB586" s="106"/>
      <c r="EC586" s="106"/>
      <c r="ED586" s="106"/>
      <c r="EE586" s="106"/>
      <c r="EF586" s="106"/>
      <c r="EG586" s="106"/>
      <c r="EH586" s="106"/>
      <c r="EI586" s="106"/>
    </row>
    <row r="587" spans="3:139" ht="15.75" customHeight="1" x14ac:dyDescent="0.25"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  <c r="CR587" s="106"/>
      <c r="CS587" s="106"/>
      <c r="CT587" s="106"/>
      <c r="CU587" s="106"/>
      <c r="CV587" s="106"/>
      <c r="CW587" s="106"/>
      <c r="CX587" s="106"/>
      <c r="CY587" s="106"/>
      <c r="CZ587" s="106"/>
      <c r="DA587" s="106"/>
      <c r="DB587" s="106"/>
      <c r="DC587" s="106"/>
      <c r="DD587" s="106"/>
      <c r="DE587" s="106"/>
      <c r="DF587" s="106"/>
      <c r="DG587" s="106"/>
      <c r="DH587" s="106"/>
      <c r="DI587" s="106"/>
      <c r="DJ587" s="106"/>
      <c r="DK587" s="106"/>
      <c r="DL587" s="106"/>
      <c r="DM587" s="106"/>
      <c r="DN587" s="106"/>
      <c r="DO587" s="106"/>
      <c r="DP587" s="106"/>
      <c r="DQ587" s="106"/>
      <c r="DR587" s="106"/>
      <c r="DS587" s="106"/>
      <c r="DT587" s="106"/>
      <c r="DU587" s="106"/>
      <c r="DV587" s="106"/>
      <c r="DW587" s="106"/>
      <c r="DX587" s="106"/>
      <c r="DY587" s="106"/>
      <c r="DZ587" s="106"/>
      <c r="EA587" s="106"/>
      <c r="EB587" s="106"/>
      <c r="EC587" s="106"/>
      <c r="ED587" s="106"/>
      <c r="EE587" s="106"/>
      <c r="EF587" s="106"/>
      <c r="EG587" s="106"/>
      <c r="EH587" s="106"/>
      <c r="EI587" s="106"/>
    </row>
    <row r="588" spans="3:139" ht="15.75" customHeight="1" x14ac:dyDescent="0.25"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  <c r="CR588" s="106"/>
      <c r="CS588" s="106"/>
      <c r="CT588" s="106"/>
      <c r="CU588" s="106"/>
      <c r="CV588" s="106"/>
      <c r="CW588" s="106"/>
      <c r="CX588" s="106"/>
      <c r="CY588" s="106"/>
      <c r="CZ588" s="106"/>
      <c r="DA588" s="106"/>
      <c r="DB588" s="106"/>
      <c r="DC588" s="106"/>
      <c r="DD588" s="106"/>
      <c r="DE588" s="106"/>
      <c r="DF588" s="106"/>
      <c r="DG588" s="106"/>
      <c r="DH588" s="106"/>
      <c r="DI588" s="106"/>
      <c r="DJ588" s="106"/>
      <c r="DK588" s="106"/>
      <c r="DL588" s="106"/>
      <c r="DM588" s="106"/>
      <c r="DN588" s="106"/>
      <c r="DO588" s="106"/>
      <c r="DP588" s="106"/>
      <c r="DQ588" s="106"/>
      <c r="DR588" s="106"/>
      <c r="DS588" s="106"/>
      <c r="DT588" s="106"/>
      <c r="DU588" s="106"/>
      <c r="DV588" s="106"/>
      <c r="DW588" s="106"/>
      <c r="DX588" s="106"/>
      <c r="DY588" s="106"/>
      <c r="DZ588" s="106"/>
      <c r="EA588" s="106"/>
      <c r="EB588" s="106"/>
      <c r="EC588" s="106"/>
      <c r="ED588" s="106"/>
      <c r="EE588" s="106"/>
      <c r="EF588" s="106"/>
      <c r="EG588" s="106"/>
      <c r="EH588" s="106"/>
      <c r="EI588" s="106"/>
    </row>
    <row r="589" spans="3:139" ht="15.75" customHeight="1" x14ac:dyDescent="0.25"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  <c r="CR589" s="106"/>
      <c r="CS589" s="106"/>
      <c r="CT589" s="106"/>
      <c r="CU589" s="106"/>
      <c r="CV589" s="106"/>
      <c r="CW589" s="106"/>
      <c r="CX589" s="106"/>
      <c r="CY589" s="106"/>
      <c r="CZ589" s="106"/>
      <c r="DA589" s="106"/>
      <c r="DB589" s="106"/>
      <c r="DC589" s="106"/>
      <c r="DD589" s="106"/>
      <c r="DE589" s="106"/>
      <c r="DF589" s="106"/>
      <c r="DG589" s="106"/>
      <c r="DH589" s="106"/>
      <c r="DI589" s="106"/>
      <c r="DJ589" s="106"/>
      <c r="DK589" s="106"/>
      <c r="DL589" s="106"/>
      <c r="DM589" s="106"/>
      <c r="DN589" s="106"/>
      <c r="DO589" s="106"/>
      <c r="DP589" s="106"/>
      <c r="DQ589" s="106"/>
      <c r="DR589" s="106"/>
      <c r="DS589" s="106"/>
      <c r="DT589" s="106"/>
      <c r="DU589" s="106"/>
      <c r="DV589" s="106"/>
      <c r="DW589" s="106"/>
      <c r="DX589" s="106"/>
      <c r="DY589" s="106"/>
      <c r="DZ589" s="106"/>
      <c r="EA589" s="106"/>
      <c r="EB589" s="106"/>
      <c r="EC589" s="106"/>
      <c r="ED589" s="106"/>
      <c r="EE589" s="106"/>
      <c r="EF589" s="106"/>
      <c r="EG589" s="106"/>
      <c r="EH589" s="106"/>
      <c r="EI589" s="106"/>
    </row>
    <row r="590" spans="3:139" ht="15.75" customHeight="1" x14ac:dyDescent="0.25"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  <c r="CR590" s="106"/>
      <c r="CS590" s="106"/>
      <c r="CT590" s="106"/>
      <c r="CU590" s="106"/>
      <c r="CV590" s="106"/>
      <c r="CW590" s="106"/>
      <c r="CX590" s="106"/>
      <c r="CY590" s="106"/>
      <c r="CZ590" s="106"/>
      <c r="DA590" s="106"/>
      <c r="DB590" s="106"/>
      <c r="DC590" s="106"/>
      <c r="DD590" s="106"/>
      <c r="DE590" s="106"/>
      <c r="DF590" s="106"/>
      <c r="DG590" s="106"/>
      <c r="DH590" s="106"/>
      <c r="DI590" s="106"/>
      <c r="DJ590" s="106"/>
      <c r="DK590" s="106"/>
      <c r="DL590" s="106"/>
      <c r="DM590" s="106"/>
      <c r="DN590" s="106"/>
      <c r="DO590" s="106"/>
      <c r="DP590" s="106"/>
      <c r="DQ590" s="106"/>
      <c r="DR590" s="106"/>
      <c r="DS590" s="106"/>
      <c r="DT590" s="106"/>
      <c r="DU590" s="106"/>
      <c r="DV590" s="106"/>
      <c r="DW590" s="106"/>
      <c r="DX590" s="106"/>
      <c r="DY590" s="106"/>
      <c r="DZ590" s="106"/>
      <c r="EA590" s="106"/>
      <c r="EB590" s="106"/>
      <c r="EC590" s="106"/>
      <c r="ED590" s="106"/>
      <c r="EE590" s="106"/>
      <c r="EF590" s="106"/>
      <c r="EG590" s="106"/>
      <c r="EH590" s="106"/>
      <c r="EI590" s="106"/>
    </row>
    <row r="591" spans="3:139" ht="15.75" customHeight="1" x14ac:dyDescent="0.25"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  <c r="CR591" s="106"/>
      <c r="CS591" s="106"/>
      <c r="CT591" s="106"/>
      <c r="CU591" s="106"/>
      <c r="CV591" s="106"/>
      <c r="CW591" s="106"/>
      <c r="CX591" s="106"/>
      <c r="CY591" s="106"/>
      <c r="CZ591" s="106"/>
      <c r="DA591" s="106"/>
      <c r="DB591" s="106"/>
      <c r="DC591" s="106"/>
      <c r="DD591" s="106"/>
      <c r="DE591" s="106"/>
      <c r="DF591" s="106"/>
      <c r="DG591" s="106"/>
      <c r="DH591" s="106"/>
      <c r="DI591" s="106"/>
      <c r="DJ591" s="106"/>
      <c r="DK591" s="106"/>
      <c r="DL591" s="106"/>
      <c r="DM591" s="106"/>
      <c r="DN591" s="106"/>
      <c r="DO591" s="106"/>
      <c r="DP591" s="106"/>
      <c r="DQ591" s="106"/>
      <c r="DR591" s="106"/>
      <c r="DS591" s="106"/>
      <c r="DT591" s="106"/>
      <c r="DU591" s="106"/>
      <c r="DV591" s="106"/>
      <c r="DW591" s="106"/>
      <c r="DX591" s="106"/>
      <c r="DY591" s="106"/>
      <c r="DZ591" s="106"/>
      <c r="EA591" s="106"/>
      <c r="EB591" s="106"/>
      <c r="EC591" s="106"/>
      <c r="ED591" s="106"/>
      <c r="EE591" s="106"/>
      <c r="EF591" s="106"/>
      <c r="EG591" s="106"/>
      <c r="EH591" s="106"/>
      <c r="EI591" s="106"/>
    </row>
    <row r="592" spans="3:139" ht="15.75" customHeight="1" x14ac:dyDescent="0.25"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  <c r="CR592" s="106"/>
      <c r="CS592" s="106"/>
      <c r="CT592" s="106"/>
      <c r="CU592" s="106"/>
      <c r="CV592" s="106"/>
      <c r="CW592" s="106"/>
      <c r="CX592" s="106"/>
      <c r="CY592" s="106"/>
      <c r="CZ592" s="106"/>
      <c r="DA592" s="106"/>
      <c r="DB592" s="106"/>
      <c r="DC592" s="106"/>
      <c r="DD592" s="106"/>
      <c r="DE592" s="106"/>
      <c r="DF592" s="106"/>
      <c r="DG592" s="106"/>
      <c r="DH592" s="106"/>
      <c r="DI592" s="106"/>
      <c r="DJ592" s="106"/>
      <c r="DK592" s="106"/>
      <c r="DL592" s="106"/>
      <c r="DM592" s="106"/>
      <c r="DN592" s="106"/>
      <c r="DO592" s="106"/>
      <c r="DP592" s="106"/>
      <c r="DQ592" s="106"/>
      <c r="DR592" s="106"/>
      <c r="DS592" s="106"/>
      <c r="DT592" s="106"/>
      <c r="DU592" s="106"/>
      <c r="DV592" s="106"/>
      <c r="DW592" s="106"/>
      <c r="DX592" s="106"/>
      <c r="DY592" s="106"/>
      <c r="DZ592" s="106"/>
      <c r="EA592" s="106"/>
      <c r="EB592" s="106"/>
      <c r="EC592" s="106"/>
      <c r="ED592" s="106"/>
      <c r="EE592" s="106"/>
      <c r="EF592" s="106"/>
      <c r="EG592" s="106"/>
      <c r="EH592" s="106"/>
      <c r="EI592" s="106"/>
    </row>
    <row r="593" spans="3:139" ht="15.75" customHeight="1" x14ac:dyDescent="0.25"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  <c r="CR593" s="106"/>
      <c r="CS593" s="106"/>
      <c r="CT593" s="106"/>
      <c r="CU593" s="106"/>
      <c r="CV593" s="106"/>
      <c r="CW593" s="106"/>
      <c r="CX593" s="106"/>
      <c r="CY593" s="106"/>
      <c r="CZ593" s="106"/>
      <c r="DA593" s="106"/>
      <c r="DB593" s="106"/>
      <c r="DC593" s="106"/>
      <c r="DD593" s="106"/>
      <c r="DE593" s="106"/>
      <c r="DF593" s="106"/>
      <c r="DG593" s="106"/>
      <c r="DH593" s="106"/>
      <c r="DI593" s="106"/>
      <c r="DJ593" s="106"/>
      <c r="DK593" s="106"/>
      <c r="DL593" s="106"/>
      <c r="DM593" s="106"/>
      <c r="DN593" s="106"/>
      <c r="DO593" s="106"/>
      <c r="DP593" s="106"/>
      <c r="DQ593" s="106"/>
      <c r="DR593" s="106"/>
      <c r="DS593" s="106"/>
      <c r="DT593" s="106"/>
      <c r="DU593" s="106"/>
      <c r="DV593" s="106"/>
      <c r="DW593" s="106"/>
      <c r="DX593" s="106"/>
      <c r="DY593" s="106"/>
      <c r="DZ593" s="106"/>
      <c r="EA593" s="106"/>
      <c r="EB593" s="106"/>
      <c r="EC593" s="106"/>
      <c r="ED593" s="106"/>
      <c r="EE593" s="106"/>
      <c r="EF593" s="106"/>
      <c r="EG593" s="106"/>
      <c r="EH593" s="106"/>
      <c r="EI593" s="106"/>
    </row>
    <row r="594" spans="3:139" ht="15.75" customHeight="1" x14ac:dyDescent="0.25"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  <c r="CR594" s="106"/>
      <c r="CS594" s="106"/>
      <c r="CT594" s="106"/>
      <c r="CU594" s="106"/>
      <c r="CV594" s="106"/>
      <c r="CW594" s="106"/>
      <c r="CX594" s="106"/>
      <c r="CY594" s="106"/>
      <c r="CZ594" s="106"/>
      <c r="DA594" s="106"/>
      <c r="DB594" s="106"/>
      <c r="DC594" s="106"/>
      <c r="DD594" s="106"/>
      <c r="DE594" s="106"/>
      <c r="DF594" s="106"/>
      <c r="DG594" s="106"/>
      <c r="DH594" s="106"/>
      <c r="DI594" s="106"/>
      <c r="DJ594" s="106"/>
      <c r="DK594" s="106"/>
      <c r="DL594" s="106"/>
      <c r="DM594" s="106"/>
      <c r="DN594" s="106"/>
      <c r="DO594" s="106"/>
      <c r="DP594" s="106"/>
      <c r="DQ594" s="106"/>
      <c r="DR594" s="106"/>
      <c r="DS594" s="106"/>
      <c r="DT594" s="106"/>
      <c r="DU594" s="106"/>
      <c r="DV594" s="106"/>
      <c r="DW594" s="106"/>
      <c r="DX594" s="106"/>
      <c r="DY594" s="106"/>
      <c r="DZ594" s="106"/>
      <c r="EA594" s="106"/>
      <c r="EB594" s="106"/>
      <c r="EC594" s="106"/>
      <c r="ED594" s="106"/>
      <c r="EE594" s="106"/>
      <c r="EF594" s="106"/>
      <c r="EG594" s="106"/>
      <c r="EH594" s="106"/>
      <c r="EI594" s="106"/>
    </row>
    <row r="595" spans="3:139" ht="15.75" customHeight="1" x14ac:dyDescent="0.25"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  <c r="CR595" s="106"/>
      <c r="CS595" s="106"/>
      <c r="CT595" s="106"/>
      <c r="CU595" s="106"/>
      <c r="CV595" s="106"/>
      <c r="CW595" s="106"/>
      <c r="CX595" s="106"/>
      <c r="CY595" s="106"/>
      <c r="CZ595" s="106"/>
      <c r="DA595" s="106"/>
      <c r="DB595" s="106"/>
      <c r="DC595" s="106"/>
      <c r="DD595" s="106"/>
      <c r="DE595" s="106"/>
      <c r="DF595" s="106"/>
      <c r="DG595" s="106"/>
      <c r="DH595" s="106"/>
      <c r="DI595" s="106"/>
      <c r="DJ595" s="106"/>
      <c r="DK595" s="106"/>
      <c r="DL595" s="106"/>
      <c r="DM595" s="106"/>
      <c r="DN595" s="106"/>
      <c r="DO595" s="106"/>
      <c r="DP595" s="106"/>
      <c r="DQ595" s="106"/>
      <c r="DR595" s="106"/>
      <c r="DS595" s="106"/>
      <c r="DT595" s="106"/>
      <c r="DU595" s="106"/>
      <c r="DV595" s="106"/>
      <c r="DW595" s="106"/>
      <c r="DX595" s="106"/>
      <c r="DY595" s="106"/>
      <c r="DZ595" s="106"/>
      <c r="EA595" s="106"/>
      <c r="EB595" s="106"/>
      <c r="EC595" s="106"/>
      <c r="ED595" s="106"/>
      <c r="EE595" s="106"/>
      <c r="EF595" s="106"/>
      <c r="EG595" s="106"/>
      <c r="EH595" s="106"/>
      <c r="EI595" s="106"/>
    </row>
    <row r="596" spans="3:139" ht="15.75" customHeight="1" x14ac:dyDescent="0.25"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  <c r="CR596" s="106"/>
      <c r="CS596" s="106"/>
      <c r="CT596" s="106"/>
      <c r="CU596" s="106"/>
      <c r="CV596" s="106"/>
      <c r="CW596" s="106"/>
      <c r="CX596" s="106"/>
      <c r="CY596" s="106"/>
      <c r="CZ596" s="106"/>
      <c r="DA596" s="106"/>
      <c r="DB596" s="106"/>
      <c r="DC596" s="106"/>
      <c r="DD596" s="106"/>
      <c r="DE596" s="106"/>
      <c r="DF596" s="106"/>
      <c r="DG596" s="106"/>
      <c r="DH596" s="106"/>
      <c r="DI596" s="106"/>
      <c r="DJ596" s="106"/>
      <c r="DK596" s="106"/>
      <c r="DL596" s="106"/>
      <c r="DM596" s="106"/>
      <c r="DN596" s="106"/>
      <c r="DO596" s="106"/>
      <c r="DP596" s="106"/>
      <c r="DQ596" s="106"/>
      <c r="DR596" s="106"/>
      <c r="DS596" s="106"/>
      <c r="DT596" s="106"/>
      <c r="DU596" s="106"/>
      <c r="DV596" s="106"/>
      <c r="DW596" s="106"/>
      <c r="DX596" s="106"/>
      <c r="DY596" s="106"/>
      <c r="DZ596" s="106"/>
      <c r="EA596" s="106"/>
      <c r="EB596" s="106"/>
      <c r="EC596" s="106"/>
      <c r="ED596" s="106"/>
      <c r="EE596" s="106"/>
      <c r="EF596" s="106"/>
      <c r="EG596" s="106"/>
      <c r="EH596" s="106"/>
      <c r="EI596" s="106"/>
    </row>
    <row r="597" spans="3:139" ht="15.75" customHeight="1" x14ac:dyDescent="0.25"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  <c r="CR597" s="106"/>
      <c r="CS597" s="106"/>
      <c r="CT597" s="106"/>
      <c r="CU597" s="106"/>
      <c r="CV597" s="106"/>
      <c r="CW597" s="106"/>
      <c r="CX597" s="106"/>
      <c r="CY597" s="106"/>
      <c r="CZ597" s="106"/>
      <c r="DA597" s="106"/>
      <c r="DB597" s="106"/>
      <c r="DC597" s="106"/>
      <c r="DD597" s="106"/>
      <c r="DE597" s="106"/>
      <c r="DF597" s="106"/>
      <c r="DG597" s="106"/>
      <c r="DH597" s="106"/>
      <c r="DI597" s="106"/>
      <c r="DJ597" s="106"/>
      <c r="DK597" s="106"/>
      <c r="DL597" s="106"/>
      <c r="DM597" s="106"/>
      <c r="DN597" s="106"/>
      <c r="DO597" s="106"/>
      <c r="DP597" s="106"/>
      <c r="DQ597" s="106"/>
      <c r="DR597" s="106"/>
      <c r="DS597" s="106"/>
      <c r="DT597" s="106"/>
      <c r="DU597" s="106"/>
      <c r="DV597" s="106"/>
      <c r="DW597" s="106"/>
      <c r="DX597" s="106"/>
      <c r="DY597" s="106"/>
      <c r="DZ597" s="106"/>
      <c r="EA597" s="106"/>
      <c r="EB597" s="106"/>
      <c r="EC597" s="106"/>
      <c r="ED597" s="106"/>
      <c r="EE597" s="106"/>
      <c r="EF597" s="106"/>
      <c r="EG597" s="106"/>
      <c r="EH597" s="106"/>
      <c r="EI597" s="106"/>
    </row>
    <row r="598" spans="3:139" ht="15.75" customHeight="1" x14ac:dyDescent="0.25"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  <c r="CR598" s="106"/>
      <c r="CS598" s="106"/>
      <c r="CT598" s="106"/>
      <c r="CU598" s="106"/>
      <c r="CV598" s="106"/>
      <c r="CW598" s="106"/>
      <c r="CX598" s="106"/>
      <c r="CY598" s="106"/>
      <c r="CZ598" s="106"/>
      <c r="DA598" s="106"/>
      <c r="DB598" s="106"/>
      <c r="DC598" s="106"/>
      <c r="DD598" s="106"/>
      <c r="DE598" s="106"/>
      <c r="DF598" s="106"/>
      <c r="DG598" s="106"/>
      <c r="DH598" s="106"/>
      <c r="DI598" s="106"/>
      <c r="DJ598" s="106"/>
      <c r="DK598" s="106"/>
      <c r="DL598" s="106"/>
      <c r="DM598" s="106"/>
      <c r="DN598" s="106"/>
      <c r="DO598" s="106"/>
      <c r="DP598" s="106"/>
      <c r="DQ598" s="106"/>
      <c r="DR598" s="106"/>
      <c r="DS598" s="106"/>
      <c r="DT598" s="106"/>
      <c r="DU598" s="106"/>
      <c r="DV598" s="106"/>
      <c r="DW598" s="106"/>
      <c r="DX598" s="106"/>
      <c r="DY598" s="106"/>
      <c r="DZ598" s="106"/>
      <c r="EA598" s="106"/>
      <c r="EB598" s="106"/>
      <c r="EC598" s="106"/>
      <c r="ED598" s="106"/>
      <c r="EE598" s="106"/>
      <c r="EF598" s="106"/>
      <c r="EG598" s="106"/>
      <c r="EH598" s="106"/>
      <c r="EI598" s="106"/>
    </row>
    <row r="599" spans="3:139" ht="15.75" customHeight="1" x14ac:dyDescent="0.25"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  <c r="CR599" s="106"/>
      <c r="CS599" s="106"/>
      <c r="CT599" s="106"/>
      <c r="CU599" s="106"/>
      <c r="CV599" s="106"/>
      <c r="CW599" s="106"/>
      <c r="CX599" s="106"/>
      <c r="CY599" s="106"/>
      <c r="CZ599" s="106"/>
      <c r="DA599" s="106"/>
      <c r="DB599" s="106"/>
      <c r="DC599" s="106"/>
      <c r="DD599" s="106"/>
      <c r="DE599" s="106"/>
      <c r="DF599" s="106"/>
      <c r="DG599" s="106"/>
      <c r="DH599" s="106"/>
      <c r="DI599" s="106"/>
      <c r="DJ599" s="106"/>
      <c r="DK599" s="106"/>
      <c r="DL599" s="106"/>
      <c r="DM599" s="106"/>
      <c r="DN599" s="106"/>
      <c r="DO599" s="106"/>
      <c r="DP599" s="106"/>
      <c r="DQ599" s="106"/>
      <c r="DR599" s="106"/>
      <c r="DS599" s="106"/>
      <c r="DT599" s="106"/>
      <c r="DU599" s="106"/>
      <c r="DV599" s="106"/>
      <c r="DW599" s="106"/>
      <c r="DX599" s="106"/>
      <c r="DY599" s="106"/>
      <c r="DZ599" s="106"/>
      <c r="EA599" s="106"/>
      <c r="EB599" s="106"/>
      <c r="EC599" s="106"/>
      <c r="ED599" s="106"/>
      <c r="EE599" s="106"/>
      <c r="EF599" s="106"/>
      <c r="EG599" s="106"/>
      <c r="EH599" s="106"/>
      <c r="EI599" s="106"/>
    </row>
    <row r="600" spans="3:139" ht="15.75" customHeight="1" x14ac:dyDescent="0.25"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  <c r="CR600" s="106"/>
      <c r="CS600" s="106"/>
      <c r="CT600" s="106"/>
      <c r="CU600" s="106"/>
      <c r="CV600" s="106"/>
      <c r="CW600" s="106"/>
      <c r="CX600" s="106"/>
      <c r="CY600" s="106"/>
      <c r="CZ600" s="106"/>
      <c r="DA600" s="106"/>
      <c r="DB600" s="106"/>
      <c r="DC600" s="106"/>
      <c r="DD600" s="106"/>
      <c r="DE600" s="106"/>
      <c r="DF600" s="106"/>
      <c r="DG600" s="106"/>
      <c r="DH600" s="106"/>
      <c r="DI600" s="106"/>
      <c r="DJ600" s="106"/>
      <c r="DK600" s="106"/>
      <c r="DL600" s="106"/>
      <c r="DM600" s="106"/>
      <c r="DN600" s="106"/>
      <c r="DO600" s="106"/>
      <c r="DP600" s="106"/>
      <c r="DQ600" s="106"/>
      <c r="DR600" s="106"/>
      <c r="DS600" s="106"/>
      <c r="DT600" s="106"/>
      <c r="DU600" s="106"/>
      <c r="DV600" s="106"/>
      <c r="DW600" s="106"/>
      <c r="DX600" s="106"/>
      <c r="DY600" s="106"/>
      <c r="DZ600" s="106"/>
      <c r="EA600" s="106"/>
      <c r="EB600" s="106"/>
      <c r="EC600" s="106"/>
      <c r="ED600" s="106"/>
      <c r="EE600" s="106"/>
      <c r="EF600" s="106"/>
      <c r="EG600" s="106"/>
      <c r="EH600" s="106"/>
      <c r="EI600" s="106"/>
    </row>
    <row r="601" spans="3:139" ht="15.75" customHeight="1" x14ac:dyDescent="0.25"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  <c r="CR601" s="106"/>
      <c r="CS601" s="106"/>
      <c r="CT601" s="106"/>
      <c r="CU601" s="106"/>
      <c r="CV601" s="106"/>
      <c r="CW601" s="106"/>
      <c r="CX601" s="106"/>
      <c r="CY601" s="106"/>
      <c r="CZ601" s="106"/>
      <c r="DA601" s="106"/>
      <c r="DB601" s="106"/>
      <c r="DC601" s="106"/>
      <c r="DD601" s="106"/>
      <c r="DE601" s="106"/>
      <c r="DF601" s="106"/>
      <c r="DG601" s="106"/>
      <c r="DH601" s="106"/>
      <c r="DI601" s="106"/>
      <c r="DJ601" s="106"/>
      <c r="DK601" s="106"/>
      <c r="DL601" s="106"/>
      <c r="DM601" s="106"/>
      <c r="DN601" s="106"/>
      <c r="DO601" s="106"/>
      <c r="DP601" s="106"/>
      <c r="DQ601" s="106"/>
      <c r="DR601" s="106"/>
      <c r="DS601" s="106"/>
      <c r="DT601" s="106"/>
      <c r="DU601" s="106"/>
      <c r="DV601" s="106"/>
      <c r="DW601" s="106"/>
      <c r="DX601" s="106"/>
      <c r="DY601" s="106"/>
      <c r="DZ601" s="106"/>
      <c r="EA601" s="106"/>
      <c r="EB601" s="106"/>
      <c r="EC601" s="106"/>
      <c r="ED601" s="106"/>
      <c r="EE601" s="106"/>
      <c r="EF601" s="106"/>
      <c r="EG601" s="106"/>
      <c r="EH601" s="106"/>
      <c r="EI601" s="106"/>
    </row>
    <row r="602" spans="3:139" ht="15.75" customHeight="1" x14ac:dyDescent="0.25"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  <c r="CR602" s="106"/>
      <c r="CS602" s="106"/>
      <c r="CT602" s="106"/>
      <c r="CU602" s="106"/>
      <c r="CV602" s="106"/>
      <c r="CW602" s="106"/>
      <c r="CX602" s="106"/>
      <c r="CY602" s="106"/>
      <c r="CZ602" s="106"/>
      <c r="DA602" s="106"/>
      <c r="DB602" s="106"/>
      <c r="DC602" s="106"/>
      <c r="DD602" s="106"/>
      <c r="DE602" s="106"/>
      <c r="DF602" s="106"/>
      <c r="DG602" s="106"/>
      <c r="DH602" s="106"/>
      <c r="DI602" s="106"/>
      <c r="DJ602" s="106"/>
      <c r="DK602" s="106"/>
      <c r="DL602" s="106"/>
      <c r="DM602" s="106"/>
      <c r="DN602" s="106"/>
      <c r="DO602" s="106"/>
      <c r="DP602" s="106"/>
      <c r="DQ602" s="106"/>
      <c r="DR602" s="106"/>
      <c r="DS602" s="106"/>
      <c r="DT602" s="106"/>
      <c r="DU602" s="106"/>
      <c r="DV602" s="106"/>
      <c r="DW602" s="106"/>
      <c r="DX602" s="106"/>
      <c r="DY602" s="106"/>
      <c r="DZ602" s="106"/>
      <c r="EA602" s="106"/>
      <c r="EB602" s="106"/>
      <c r="EC602" s="106"/>
      <c r="ED602" s="106"/>
      <c r="EE602" s="106"/>
      <c r="EF602" s="106"/>
      <c r="EG602" s="106"/>
      <c r="EH602" s="106"/>
      <c r="EI602" s="106"/>
    </row>
    <row r="603" spans="3:139" ht="15.75" customHeight="1" x14ac:dyDescent="0.25"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  <c r="CR603" s="106"/>
      <c r="CS603" s="106"/>
      <c r="CT603" s="106"/>
      <c r="CU603" s="106"/>
      <c r="CV603" s="106"/>
      <c r="CW603" s="106"/>
      <c r="CX603" s="106"/>
      <c r="CY603" s="106"/>
      <c r="CZ603" s="106"/>
      <c r="DA603" s="106"/>
      <c r="DB603" s="106"/>
      <c r="DC603" s="106"/>
      <c r="DD603" s="106"/>
      <c r="DE603" s="106"/>
      <c r="DF603" s="106"/>
      <c r="DG603" s="106"/>
      <c r="DH603" s="106"/>
      <c r="DI603" s="106"/>
      <c r="DJ603" s="106"/>
      <c r="DK603" s="106"/>
      <c r="DL603" s="106"/>
      <c r="DM603" s="106"/>
      <c r="DN603" s="106"/>
      <c r="DO603" s="106"/>
      <c r="DP603" s="106"/>
      <c r="DQ603" s="106"/>
      <c r="DR603" s="106"/>
      <c r="DS603" s="106"/>
      <c r="DT603" s="106"/>
      <c r="DU603" s="106"/>
      <c r="DV603" s="106"/>
      <c r="DW603" s="106"/>
      <c r="DX603" s="106"/>
      <c r="DY603" s="106"/>
      <c r="DZ603" s="106"/>
      <c r="EA603" s="106"/>
      <c r="EB603" s="106"/>
      <c r="EC603" s="106"/>
      <c r="ED603" s="106"/>
      <c r="EE603" s="106"/>
      <c r="EF603" s="106"/>
      <c r="EG603" s="106"/>
      <c r="EH603" s="106"/>
      <c r="EI603" s="106"/>
    </row>
    <row r="604" spans="3:139" ht="15.75" customHeight="1" x14ac:dyDescent="0.25"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  <c r="CR604" s="106"/>
      <c r="CS604" s="106"/>
      <c r="CT604" s="106"/>
      <c r="CU604" s="106"/>
      <c r="CV604" s="106"/>
      <c r="CW604" s="106"/>
      <c r="CX604" s="106"/>
      <c r="CY604" s="106"/>
      <c r="CZ604" s="106"/>
      <c r="DA604" s="106"/>
      <c r="DB604" s="106"/>
      <c r="DC604" s="106"/>
      <c r="DD604" s="106"/>
      <c r="DE604" s="106"/>
      <c r="DF604" s="106"/>
      <c r="DG604" s="106"/>
      <c r="DH604" s="106"/>
      <c r="DI604" s="106"/>
      <c r="DJ604" s="106"/>
      <c r="DK604" s="106"/>
      <c r="DL604" s="106"/>
      <c r="DM604" s="106"/>
      <c r="DN604" s="106"/>
      <c r="DO604" s="106"/>
      <c r="DP604" s="106"/>
      <c r="DQ604" s="106"/>
      <c r="DR604" s="106"/>
      <c r="DS604" s="106"/>
      <c r="DT604" s="106"/>
      <c r="DU604" s="106"/>
      <c r="DV604" s="106"/>
      <c r="DW604" s="106"/>
      <c r="DX604" s="106"/>
      <c r="DY604" s="106"/>
      <c r="DZ604" s="106"/>
      <c r="EA604" s="106"/>
      <c r="EB604" s="106"/>
      <c r="EC604" s="106"/>
      <c r="ED604" s="106"/>
      <c r="EE604" s="106"/>
      <c r="EF604" s="106"/>
      <c r="EG604" s="106"/>
      <c r="EH604" s="106"/>
      <c r="EI604" s="106"/>
    </row>
    <row r="605" spans="3:139" ht="15.75" customHeight="1" x14ac:dyDescent="0.25"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  <c r="CR605" s="106"/>
      <c r="CS605" s="106"/>
      <c r="CT605" s="106"/>
      <c r="CU605" s="106"/>
      <c r="CV605" s="106"/>
      <c r="CW605" s="106"/>
      <c r="CX605" s="106"/>
      <c r="CY605" s="106"/>
      <c r="CZ605" s="106"/>
      <c r="DA605" s="106"/>
      <c r="DB605" s="106"/>
      <c r="DC605" s="106"/>
      <c r="DD605" s="106"/>
      <c r="DE605" s="106"/>
      <c r="DF605" s="106"/>
      <c r="DG605" s="106"/>
      <c r="DH605" s="106"/>
      <c r="DI605" s="106"/>
      <c r="DJ605" s="106"/>
      <c r="DK605" s="106"/>
      <c r="DL605" s="106"/>
      <c r="DM605" s="106"/>
      <c r="DN605" s="106"/>
      <c r="DO605" s="106"/>
      <c r="DP605" s="106"/>
      <c r="DQ605" s="106"/>
      <c r="DR605" s="106"/>
      <c r="DS605" s="106"/>
      <c r="DT605" s="106"/>
      <c r="DU605" s="106"/>
      <c r="DV605" s="106"/>
      <c r="DW605" s="106"/>
      <c r="DX605" s="106"/>
      <c r="DY605" s="106"/>
      <c r="DZ605" s="106"/>
      <c r="EA605" s="106"/>
      <c r="EB605" s="106"/>
      <c r="EC605" s="106"/>
      <c r="ED605" s="106"/>
      <c r="EE605" s="106"/>
      <c r="EF605" s="106"/>
      <c r="EG605" s="106"/>
      <c r="EH605" s="106"/>
      <c r="EI605" s="106"/>
    </row>
    <row r="606" spans="3:139" ht="15.75" customHeight="1" x14ac:dyDescent="0.25"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  <c r="CR606" s="106"/>
      <c r="CS606" s="106"/>
      <c r="CT606" s="106"/>
      <c r="CU606" s="106"/>
      <c r="CV606" s="106"/>
      <c r="CW606" s="106"/>
      <c r="CX606" s="106"/>
      <c r="CY606" s="106"/>
      <c r="CZ606" s="106"/>
      <c r="DA606" s="106"/>
      <c r="DB606" s="106"/>
      <c r="DC606" s="106"/>
      <c r="DD606" s="106"/>
      <c r="DE606" s="106"/>
      <c r="DF606" s="106"/>
      <c r="DG606" s="106"/>
      <c r="DH606" s="106"/>
      <c r="DI606" s="106"/>
      <c r="DJ606" s="106"/>
      <c r="DK606" s="106"/>
      <c r="DL606" s="106"/>
      <c r="DM606" s="106"/>
      <c r="DN606" s="106"/>
      <c r="DO606" s="106"/>
      <c r="DP606" s="106"/>
      <c r="DQ606" s="106"/>
      <c r="DR606" s="106"/>
      <c r="DS606" s="106"/>
      <c r="DT606" s="106"/>
      <c r="DU606" s="106"/>
      <c r="DV606" s="106"/>
      <c r="DW606" s="106"/>
      <c r="DX606" s="106"/>
      <c r="DY606" s="106"/>
      <c r="DZ606" s="106"/>
      <c r="EA606" s="106"/>
      <c r="EB606" s="106"/>
      <c r="EC606" s="106"/>
      <c r="ED606" s="106"/>
      <c r="EE606" s="106"/>
      <c r="EF606" s="106"/>
      <c r="EG606" s="106"/>
      <c r="EH606" s="106"/>
      <c r="EI606" s="106"/>
    </row>
    <row r="607" spans="3:139" ht="15.75" customHeight="1" x14ac:dyDescent="0.25"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  <c r="CR607" s="106"/>
      <c r="CS607" s="106"/>
      <c r="CT607" s="106"/>
      <c r="CU607" s="106"/>
      <c r="CV607" s="106"/>
      <c r="CW607" s="106"/>
      <c r="CX607" s="106"/>
      <c r="CY607" s="106"/>
      <c r="CZ607" s="106"/>
      <c r="DA607" s="106"/>
      <c r="DB607" s="106"/>
      <c r="DC607" s="106"/>
      <c r="DD607" s="106"/>
      <c r="DE607" s="106"/>
      <c r="DF607" s="106"/>
      <c r="DG607" s="106"/>
      <c r="DH607" s="106"/>
      <c r="DI607" s="106"/>
      <c r="DJ607" s="106"/>
      <c r="DK607" s="106"/>
      <c r="DL607" s="106"/>
      <c r="DM607" s="106"/>
      <c r="DN607" s="106"/>
      <c r="DO607" s="106"/>
      <c r="DP607" s="106"/>
      <c r="DQ607" s="106"/>
      <c r="DR607" s="106"/>
      <c r="DS607" s="106"/>
      <c r="DT607" s="106"/>
      <c r="DU607" s="106"/>
      <c r="DV607" s="106"/>
      <c r="DW607" s="106"/>
      <c r="DX607" s="106"/>
      <c r="DY607" s="106"/>
      <c r="DZ607" s="106"/>
      <c r="EA607" s="106"/>
      <c r="EB607" s="106"/>
      <c r="EC607" s="106"/>
      <c r="ED607" s="106"/>
      <c r="EE607" s="106"/>
      <c r="EF607" s="106"/>
      <c r="EG607" s="106"/>
      <c r="EH607" s="106"/>
      <c r="EI607" s="106"/>
    </row>
    <row r="608" spans="3:139" ht="15.75" customHeight="1" x14ac:dyDescent="0.25"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  <c r="CR608" s="106"/>
      <c r="CS608" s="106"/>
      <c r="CT608" s="106"/>
      <c r="CU608" s="106"/>
      <c r="CV608" s="106"/>
      <c r="CW608" s="106"/>
      <c r="CX608" s="106"/>
      <c r="CY608" s="106"/>
      <c r="CZ608" s="106"/>
      <c r="DA608" s="106"/>
      <c r="DB608" s="106"/>
      <c r="DC608" s="106"/>
      <c r="DD608" s="106"/>
      <c r="DE608" s="106"/>
      <c r="DF608" s="106"/>
      <c r="DG608" s="106"/>
      <c r="DH608" s="106"/>
      <c r="DI608" s="106"/>
      <c r="DJ608" s="106"/>
      <c r="DK608" s="106"/>
      <c r="DL608" s="106"/>
      <c r="DM608" s="106"/>
      <c r="DN608" s="106"/>
      <c r="DO608" s="106"/>
      <c r="DP608" s="106"/>
      <c r="DQ608" s="106"/>
      <c r="DR608" s="106"/>
      <c r="DS608" s="106"/>
      <c r="DT608" s="106"/>
      <c r="DU608" s="106"/>
      <c r="DV608" s="106"/>
      <c r="DW608" s="106"/>
      <c r="DX608" s="106"/>
      <c r="DY608" s="106"/>
      <c r="DZ608" s="106"/>
      <c r="EA608" s="106"/>
      <c r="EB608" s="106"/>
      <c r="EC608" s="106"/>
      <c r="ED608" s="106"/>
      <c r="EE608" s="106"/>
      <c r="EF608" s="106"/>
      <c r="EG608" s="106"/>
      <c r="EH608" s="106"/>
      <c r="EI608" s="106"/>
    </row>
    <row r="609" spans="3:139" ht="15.75" customHeight="1" x14ac:dyDescent="0.25"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  <c r="CR609" s="106"/>
      <c r="CS609" s="106"/>
      <c r="CT609" s="106"/>
      <c r="CU609" s="106"/>
      <c r="CV609" s="106"/>
      <c r="CW609" s="106"/>
      <c r="CX609" s="106"/>
      <c r="CY609" s="106"/>
      <c r="CZ609" s="106"/>
      <c r="DA609" s="106"/>
      <c r="DB609" s="106"/>
      <c r="DC609" s="106"/>
      <c r="DD609" s="106"/>
      <c r="DE609" s="106"/>
      <c r="DF609" s="106"/>
      <c r="DG609" s="106"/>
      <c r="DH609" s="106"/>
      <c r="DI609" s="106"/>
      <c r="DJ609" s="106"/>
      <c r="DK609" s="106"/>
      <c r="DL609" s="106"/>
      <c r="DM609" s="106"/>
      <c r="DN609" s="106"/>
      <c r="DO609" s="106"/>
      <c r="DP609" s="106"/>
      <c r="DQ609" s="106"/>
      <c r="DR609" s="106"/>
      <c r="DS609" s="106"/>
      <c r="DT609" s="106"/>
      <c r="DU609" s="106"/>
      <c r="DV609" s="106"/>
      <c r="DW609" s="106"/>
      <c r="DX609" s="106"/>
      <c r="DY609" s="106"/>
      <c r="DZ609" s="106"/>
      <c r="EA609" s="106"/>
      <c r="EB609" s="106"/>
      <c r="EC609" s="106"/>
      <c r="ED609" s="106"/>
      <c r="EE609" s="106"/>
      <c r="EF609" s="106"/>
      <c r="EG609" s="106"/>
      <c r="EH609" s="106"/>
      <c r="EI609" s="106"/>
    </row>
    <row r="610" spans="3:139" ht="15.75" customHeight="1" x14ac:dyDescent="0.25"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  <c r="CR610" s="106"/>
      <c r="CS610" s="106"/>
      <c r="CT610" s="106"/>
      <c r="CU610" s="106"/>
      <c r="CV610" s="106"/>
      <c r="CW610" s="106"/>
      <c r="CX610" s="106"/>
      <c r="CY610" s="106"/>
      <c r="CZ610" s="106"/>
      <c r="DA610" s="106"/>
      <c r="DB610" s="106"/>
      <c r="DC610" s="106"/>
      <c r="DD610" s="106"/>
      <c r="DE610" s="106"/>
      <c r="DF610" s="106"/>
      <c r="DG610" s="106"/>
      <c r="DH610" s="106"/>
      <c r="DI610" s="106"/>
      <c r="DJ610" s="106"/>
      <c r="DK610" s="106"/>
      <c r="DL610" s="106"/>
      <c r="DM610" s="106"/>
      <c r="DN610" s="106"/>
      <c r="DO610" s="106"/>
      <c r="DP610" s="106"/>
      <c r="DQ610" s="106"/>
      <c r="DR610" s="106"/>
      <c r="DS610" s="106"/>
      <c r="DT610" s="106"/>
      <c r="DU610" s="106"/>
      <c r="DV610" s="106"/>
      <c r="DW610" s="106"/>
      <c r="DX610" s="106"/>
      <c r="DY610" s="106"/>
      <c r="DZ610" s="106"/>
      <c r="EA610" s="106"/>
      <c r="EB610" s="106"/>
      <c r="EC610" s="106"/>
      <c r="ED610" s="106"/>
      <c r="EE610" s="106"/>
      <c r="EF610" s="106"/>
      <c r="EG610" s="106"/>
      <c r="EH610" s="106"/>
      <c r="EI610" s="106"/>
    </row>
    <row r="611" spans="3:139" ht="15.75" customHeight="1" x14ac:dyDescent="0.25"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  <c r="CR611" s="106"/>
      <c r="CS611" s="106"/>
      <c r="CT611" s="106"/>
      <c r="CU611" s="106"/>
      <c r="CV611" s="106"/>
      <c r="CW611" s="106"/>
      <c r="CX611" s="106"/>
      <c r="CY611" s="106"/>
      <c r="CZ611" s="106"/>
      <c r="DA611" s="106"/>
      <c r="DB611" s="106"/>
      <c r="DC611" s="106"/>
      <c r="DD611" s="106"/>
      <c r="DE611" s="106"/>
      <c r="DF611" s="106"/>
      <c r="DG611" s="106"/>
      <c r="DH611" s="106"/>
      <c r="DI611" s="106"/>
      <c r="DJ611" s="106"/>
      <c r="DK611" s="106"/>
      <c r="DL611" s="106"/>
      <c r="DM611" s="106"/>
      <c r="DN611" s="106"/>
      <c r="DO611" s="106"/>
      <c r="DP611" s="106"/>
      <c r="DQ611" s="106"/>
      <c r="DR611" s="106"/>
      <c r="DS611" s="106"/>
      <c r="DT611" s="106"/>
      <c r="DU611" s="106"/>
      <c r="DV611" s="106"/>
      <c r="DW611" s="106"/>
      <c r="DX611" s="106"/>
      <c r="DY611" s="106"/>
      <c r="DZ611" s="106"/>
      <c r="EA611" s="106"/>
      <c r="EB611" s="106"/>
      <c r="EC611" s="106"/>
      <c r="ED611" s="106"/>
      <c r="EE611" s="106"/>
      <c r="EF611" s="106"/>
      <c r="EG611" s="106"/>
      <c r="EH611" s="106"/>
      <c r="EI611" s="106"/>
    </row>
    <row r="612" spans="3:139" ht="15.75" customHeight="1" x14ac:dyDescent="0.25"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  <c r="CR612" s="106"/>
      <c r="CS612" s="106"/>
      <c r="CT612" s="106"/>
      <c r="CU612" s="106"/>
      <c r="CV612" s="106"/>
      <c r="CW612" s="106"/>
      <c r="CX612" s="106"/>
      <c r="CY612" s="106"/>
      <c r="CZ612" s="106"/>
      <c r="DA612" s="106"/>
      <c r="DB612" s="106"/>
      <c r="DC612" s="106"/>
      <c r="DD612" s="106"/>
      <c r="DE612" s="106"/>
      <c r="DF612" s="106"/>
      <c r="DG612" s="106"/>
      <c r="DH612" s="106"/>
      <c r="DI612" s="106"/>
      <c r="DJ612" s="106"/>
      <c r="DK612" s="106"/>
      <c r="DL612" s="106"/>
      <c r="DM612" s="106"/>
      <c r="DN612" s="106"/>
      <c r="DO612" s="106"/>
      <c r="DP612" s="106"/>
      <c r="DQ612" s="106"/>
      <c r="DR612" s="106"/>
      <c r="DS612" s="106"/>
      <c r="DT612" s="106"/>
      <c r="DU612" s="106"/>
      <c r="DV612" s="106"/>
      <c r="DW612" s="106"/>
      <c r="DX612" s="106"/>
      <c r="DY612" s="106"/>
      <c r="DZ612" s="106"/>
      <c r="EA612" s="106"/>
      <c r="EB612" s="106"/>
      <c r="EC612" s="106"/>
      <c r="ED612" s="106"/>
      <c r="EE612" s="106"/>
      <c r="EF612" s="106"/>
      <c r="EG612" s="106"/>
      <c r="EH612" s="106"/>
      <c r="EI612" s="106"/>
    </row>
    <row r="613" spans="3:139" ht="15.75" customHeight="1" x14ac:dyDescent="0.25"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  <c r="CR613" s="106"/>
      <c r="CS613" s="106"/>
      <c r="CT613" s="106"/>
      <c r="CU613" s="106"/>
      <c r="CV613" s="106"/>
      <c r="CW613" s="106"/>
      <c r="CX613" s="106"/>
      <c r="CY613" s="106"/>
      <c r="CZ613" s="106"/>
      <c r="DA613" s="106"/>
      <c r="DB613" s="106"/>
      <c r="DC613" s="106"/>
      <c r="DD613" s="106"/>
      <c r="DE613" s="106"/>
      <c r="DF613" s="106"/>
      <c r="DG613" s="106"/>
      <c r="DH613" s="106"/>
      <c r="DI613" s="106"/>
      <c r="DJ613" s="106"/>
      <c r="DK613" s="106"/>
      <c r="DL613" s="106"/>
      <c r="DM613" s="106"/>
      <c r="DN613" s="106"/>
      <c r="DO613" s="106"/>
      <c r="DP613" s="106"/>
      <c r="DQ613" s="106"/>
      <c r="DR613" s="106"/>
      <c r="DS613" s="106"/>
      <c r="DT613" s="106"/>
      <c r="DU613" s="106"/>
      <c r="DV613" s="106"/>
      <c r="DW613" s="106"/>
      <c r="DX613" s="106"/>
      <c r="DY613" s="106"/>
      <c r="DZ613" s="106"/>
      <c r="EA613" s="106"/>
      <c r="EB613" s="106"/>
      <c r="EC613" s="106"/>
      <c r="ED613" s="106"/>
      <c r="EE613" s="106"/>
      <c r="EF613" s="106"/>
      <c r="EG613" s="106"/>
      <c r="EH613" s="106"/>
      <c r="EI613" s="106"/>
    </row>
    <row r="614" spans="3:139" ht="15.75" customHeight="1" x14ac:dyDescent="0.25"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  <c r="CR614" s="106"/>
      <c r="CS614" s="106"/>
      <c r="CT614" s="106"/>
      <c r="CU614" s="106"/>
      <c r="CV614" s="106"/>
      <c r="CW614" s="106"/>
      <c r="CX614" s="106"/>
      <c r="CY614" s="106"/>
      <c r="CZ614" s="106"/>
      <c r="DA614" s="106"/>
      <c r="DB614" s="106"/>
      <c r="DC614" s="106"/>
      <c r="DD614" s="106"/>
      <c r="DE614" s="106"/>
      <c r="DF614" s="106"/>
      <c r="DG614" s="106"/>
      <c r="DH614" s="106"/>
      <c r="DI614" s="106"/>
      <c r="DJ614" s="106"/>
      <c r="DK614" s="106"/>
      <c r="DL614" s="106"/>
      <c r="DM614" s="106"/>
      <c r="DN614" s="106"/>
      <c r="DO614" s="106"/>
      <c r="DP614" s="106"/>
      <c r="DQ614" s="106"/>
      <c r="DR614" s="106"/>
      <c r="DS614" s="106"/>
      <c r="DT614" s="106"/>
      <c r="DU614" s="106"/>
      <c r="DV614" s="106"/>
      <c r="DW614" s="106"/>
      <c r="DX614" s="106"/>
      <c r="DY614" s="106"/>
      <c r="DZ614" s="106"/>
      <c r="EA614" s="106"/>
      <c r="EB614" s="106"/>
      <c r="EC614" s="106"/>
      <c r="ED614" s="106"/>
      <c r="EE614" s="106"/>
      <c r="EF614" s="106"/>
      <c r="EG614" s="106"/>
      <c r="EH614" s="106"/>
      <c r="EI614" s="106"/>
    </row>
    <row r="615" spans="3:139" ht="15.75" customHeight="1" x14ac:dyDescent="0.25"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  <c r="CR615" s="106"/>
      <c r="CS615" s="106"/>
      <c r="CT615" s="106"/>
      <c r="CU615" s="106"/>
      <c r="CV615" s="106"/>
      <c r="CW615" s="106"/>
      <c r="CX615" s="106"/>
      <c r="CY615" s="106"/>
      <c r="CZ615" s="106"/>
      <c r="DA615" s="106"/>
      <c r="DB615" s="106"/>
      <c r="DC615" s="106"/>
      <c r="DD615" s="106"/>
      <c r="DE615" s="106"/>
      <c r="DF615" s="106"/>
      <c r="DG615" s="106"/>
      <c r="DH615" s="106"/>
      <c r="DI615" s="106"/>
      <c r="DJ615" s="106"/>
      <c r="DK615" s="106"/>
      <c r="DL615" s="106"/>
      <c r="DM615" s="106"/>
      <c r="DN615" s="106"/>
      <c r="DO615" s="106"/>
      <c r="DP615" s="106"/>
      <c r="DQ615" s="106"/>
      <c r="DR615" s="106"/>
      <c r="DS615" s="106"/>
      <c r="DT615" s="106"/>
      <c r="DU615" s="106"/>
      <c r="DV615" s="106"/>
      <c r="DW615" s="106"/>
      <c r="DX615" s="106"/>
      <c r="DY615" s="106"/>
      <c r="DZ615" s="106"/>
      <c r="EA615" s="106"/>
      <c r="EB615" s="106"/>
      <c r="EC615" s="106"/>
      <c r="ED615" s="106"/>
      <c r="EE615" s="106"/>
      <c r="EF615" s="106"/>
      <c r="EG615" s="106"/>
      <c r="EH615" s="106"/>
      <c r="EI615" s="106"/>
    </row>
    <row r="616" spans="3:139" ht="15.75" customHeight="1" x14ac:dyDescent="0.25"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  <c r="CR616" s="106"/>
      <c r="CS616" s="106"/>
      <c r="CT616" s="106"/>
      <c r="CU616" s="106"/>
      <c r="CV616" s="106"/>
      <c r="CW616" s="106"/>
      <c r="CX616" s="106"/>
      <c r="CY616" s="106"/>
      <c r="CZ616" s="106"/>
      <c r="DA616" s="106"/>
      <c r="DB616" s="106"/>
      <c r="DC616" s="106"/>
      <c r="DD616" s="106"/>
      <c r="DE616" s="106"/>
      <c r="DF616" s="106"/>
      <c r="DG616" s="106"/>
      <c r="DH616" s="106"/>
      <c r="DI616" s="106"/>
      <c r="DJ616" s="106"/>
      <c r="DK616" s="106"/>
      <c r="DL616" s="106"/>
      <c r="DM616" s="106"/>
      <c r="DN616" s="106"/>
      <c r="DO616" s="106"/>
      <c r="DP616" s="106"/>
      <c r="DQ616" s="106"/>
      <c r="DR616" s="106"/>
      <c r="DS616" s="106"/>
      <c r="DT616" s="106"/>
      <c r="DU616" s="106"/>
      <c r="DV616" s="106"/>
      <c r="DW616" s="106"/>
      <c r="DX616" s="106"/>
      <c r="DY616" s="106"/>
      <c r="DZ616" s="106"/>
      <c r="EA616" s="106"/>
      <c r="EB616" s="106"/>
      <c r="EC616" s="106"/>
      <c r="ED616" s="106"/>
      <c r="EE616" s="106"/>
      <c r="EF616" s="106"/>
      <c r="EG616" s="106"/>
      <c r="EH616" s="106"/>
      <c r="EI616" s="106"/>
    </row>
    <row r="617" spans="3:139" ht="15.75" customHeight="1" x14ac:dyDescent="0.25"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  <c r="CR617" s="106"/>
      <c r="CS617" s="106"/>
      <c r="CT617" s="106"/>
      <c r="CU617" s="106"/>
      <c r="CV617" s="106"/>
      <c r="CW617" s="106"/>
      <c r="CX617" s="106"/>
      <c r="CY617" s="106"/>
      <c r="CZ617" s="106"/>
      <c r="DA617" s="106"/>
      <c r="DB617" s="106"/>
      <c r="DC617" s="106"/>
      <c r="DD617" s="106"/>
      <c r="DE617" s="106"/>
      <c r="DF617" s="106"/>
      <c r="DG617" s="106"/>
      <c r="DH617" s="106"/>
      <c r="DI617" s="106"/>
      <c r="DJ617" s="106"/>
      <c r="DK617" s="106"/>
      <c r="DL617" s="106"/>
      <c r="DM617" s="106"/>
      <c r="DN617" s="106"/>
      <c r="DO617" s="106"/>
      <c r="DP617" s="106"/>
      <c r="DQ617" s="106"/>
      <c r="DR617" s="106"/>
      <c r="DS617" s="106"/>
      <c r="DT617" s="106"/>
      <c r="DU617" s="106"/>
      <c r="DV617" s="106"/>
      <c r="DW617" s="106"/>
      <c r="DX617" s="106"/>
      <c r="DY617" s="106"/>
      <c r="DZ617" s="106"/>
      <c r="EA617" s="106"/>
      <c r="EB617" s="106"/>
      <c r="EC617" s="106"/>
      <c r="ED617" s="106"/>
      <c r="EE617" s="106"/>
      <c r="EF617" s="106"/>
      <c r="EG617" s="106"/>
      <c r="EH617" s="106"/>
      <c r="EI617" s="106"/>
    </row>
    <row r="618" spans="3:139" ht="15.75" customHeight="1" x14ac:dyDescent="0.25"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  <c r="CR618" s="106"/>
      <c r="CS618" s="106"/>
      <c r="CT618" s="106"/>
      <c r="CU618" s="106"/>
      <c r="CV618" s="106"/>
      <c r="CW618" s="106"/>
      <c r="CX618" s="106"/>
      <c r="CY618" s="106"/>
      <c r="CZ618" s="106"/>
      <c r="DA618" s="106"/>
      <c r="DB618" s="106"/>
      <c r="DC618" s="106"/>
      <c r="DD618" s="106"/>
      <c r="DE618" s="106"/>
      <c r="DF618" s="106"/>
      <c r="DG618" s="106"/>
      <c r="DH618" s="106"/>
      <c r="DI618" s="106"/>
      <c r="DJ618" s="106"/>
      <c r="DK618" s="106"/>
      <c r="DL618" s="106"/>
      <c r="DM618" s="106"/>
      <c r="DN618" s="106"/>
      <c r="DO618" s="106"/>
      <c r="DP618" s="106"/>
      <c r="DQ618" s="106"/>
      <c r="DR618" s="106"/>
      <c r="DS618" s="106"/>
      <c r="DT618" s="106"/>
      <c r="DU618" s="106"/>
      <c r="DV618" s="106"/>
      <c r="DW618" s="106"/>
      <c r="DX618" s="106"/>
      <c r="DY618" s="106"/>
      <c r="DZ618" s="106"/>
      <c r="EA618" s="106"/>
      <c r="EB618" s="106"/>
      <c r="EC618" s="106"/>
      <c r="ED618" s="106"/>
      <c r="EE618" s="106"/>
      <c r="EF618" s="106"/>
      <c r="EG618" s="106"/>
      <c r="EH618" s="106"/>
      <c r="EI618" s="106"/>
    </row>
    <row r="619" spans="3:139" ht="15.75" customHeight="1" x14ac:dyDescent="0.25"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  <c r="CR619" s="106"/>
      <c r="CS619" s="106"/>
      <c r="CT619" s="106"/>
      <c r="CU619" s="106"/>
      <c r="CV619" s="106"/>
      <c r="CW619" s="106"/>
      <c r="CX619" s="106"/>
      <c r="CY619" s="106"/>
      <c r="CZ619" s="106"/>
      <c r="DA619" s="106"/>
      <c r="DB619" s="106"/>
      <c r="DC619" s="106"/>
      <c r="DD619" s="106"/>
      <c r="DE619" s="106"/>
      <c r="DF619" s="106"/>
      <c r="DG619" s="106"/>
      <c r="DH619" s="106"/>
      <c r="DI619" s="106"/>
      <c r="DJ619" s="106"/>
      <c r="DK619" s="106"/>
      <c r="DL619" s="106"/>
      <c r="DM619" s="106"/>
      <c r="DN619" s="106"/>
      <c r="DO619" s="106"/>
      <c r="DP619" s="106"/>
      <c r="DQ619" s="106"/>
      <c r="DR619" s="106"/>
      <c r="DS619" s="106"/>
      <c r="DT619" s="106"/>
      <c r="DU619" s="106"/>
      <c r="DV619" s="106"/>
      <c r="DW619" s="106"/>
      <c r="DX619" s="106"/>
      <c r="DY619" s="106"/>
      <c r="DZ619" s="106"/>
      <c r="EA619" s="106"/>
      <c r="EB619" s="106"/>
      <c r="EC619" s="106"/>
      <c r="ED619" s="106"/>
      <c r="EE619" s="106"/>
      <c r="EF619" s="106"/>
      <c r="EG619" s="106"/>
      <c r="EH619" s="106"/>
      <c r="EI619" s="106"/>
    </row>
    <row r="620" spans="3:139" ht="15.75" customHeight="1" x14ac:dyDescent="0.25"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  <c r="CR620" s="106"/>
      <c r="CS620" s="106"/>
      <c r="CT620" s="106"/>
      <c r="CU620" s="106"/>
      <c r="CV620" s="106"/>
      <c r="CW620" s="106"/>
      <c r="CX620" s="106"/>
      <c r="CY620" s="106"/>
      <c r="CZ620" s="106"/>
      <c r="DA620" s="106"/>
      <c r="DB620" s="106"/>
      <c r="DC620" s="106"/>
      <c r="DD620" s="106"/>
      <c r="DE620" s="106"/>
      <c r="DF620" s="106"/>
      <c r="DG620" s="106"/>
      <c r="DH620" s="106"/>
      <c r="DI620" s="106"/>
      <c r="DJ620" s="106"/>
      <c r="DK620" s="106"/>
      <c r="DL620" s="106"/>
      <c r="DM620" s="106"/>
      <c r="DN620" s="106"/>
      <c r="DO620" s="106"/>
      <c r="DP620" s="106"/>
      <c r="DQ620" s="106"/>
      <c r="DR620" s="106"/>
      <c r="DS620" s="106"/>
      <c r="DT620" s="106"/>
      <c r="DU620" s="106"/>
      <c r="DV620" s="106"/>
      <c r="DW620" s="106"/>
      <c r="DX620" s="106"/>
      <c r="DY620" s="106"/>
      <c r="DZ620" s="106"/>
      <c r="EA620" s="106"/>
      <c r="EB620" s="106"/>
      <c r="EC620" s="106"/>
      <c r="ED620" s="106"/>
      <c r="EE620" s="106"/>
      <c r="EF620" s="106"/>
      <c r="EG620" s="106"/>
      <c r="EH620" s="106"/>
      <c r="EI620" s="106"/>
    </row>
    <row r="621" spans="3:139" ht="15.75" customHeight="1" x14ac:dyDescent="0.25"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  <c r="CR621" s="106"/>
      <c r="CS621" s="106"/>
      <c r="CT621" s="106"/>
      <c r="CU621" s="106"/>
      <c r="CV621" s="106"/>
      <c r="CW621" s="106"/>
      <c r="CX621" s="106"/>
      <c r="CY621" s="106"/>
      <c r="CZ621" s="106"/>
      <c r="DA621" s="106"/>
      <c r="DB621" s="106"/>
      <c r="DC621" s="106"/>
      <c r="DD621" s="106"/>
      <c r="DE621" s="106"/>
      <c r="DF621" s="106"/>
      <c r="DG621" s="106"/>
      <c r="DH621" s="106"/>
      <c r="DI621" s="106"/>
      <c r="DJ621" s="106"/>
      <c r="DK621" s="106"/>
      <c r="DL621" s="106"/>
      <c r="DM621" s="106"/>
      <c r="DN621" s="106"/>
      <c r="DO621" s="106"/>
      <c r="DP621" s="106"/>
      <c r="DQ621" s="106"/>
      <c r="DR621" s="106"/>
      <c r="DS621" s="106"/>
      <c r="DT621" s="106"/>
      <c r="DU621" s="106"/>
      <c r="DV621" s="106"/>
      <c r="DW621" s="106"/>
      <c r="DX621" s="106"/>
      <c r="DY621" s="106"/>
      <c r="DZ621" s="106"/>
      <c r="EA621" s="106"/>
      <c r="EB621" s="106"/>
      <c r="EC621" s="106"/>
      <c r="ED621" s="106"/>
      <c r="EE621" s="106"/>
      <c r="EF621" s="106"/>
      <c r="EG621" s="106"/>
      <c r="EH621" s="106"/>
      <c r="EI621" s="106"/>
    </row>
    <row r="622" spans="3:139" ht="15.75" customHeight="1" x14ac:dyDescent="0.25"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  <c r="CR622" s="106"/>
      <c r="CS622" s="106"/>
      <c r="CT622" s="106"/>
      <c r="CU622" s="106"/>
      <c r="CV622" s="106"/>
      <c r="CW622" s="106"/>
      <c r="CX622" s="106"/>
      <c r="CY622" s="106"/>
      <c r="CZ622" s="106"/>
      <c r="DA622" s="106"/>
      <c r="DB622" s="106"/>
      <c r="DC622" s="106"/>
      <c r="DD622" s="106"/>
      <c r="DE622" s="106"/>
      <c r="DF622" s="106"/>
      <c r="DG622" s="106"/>
      <c r="DH622" s="106"/>
      <c r="DI622" s="106"/>
      <c r="DJ622" s="106"/>
      <c r="DK622" s="106"/>
      <c r="DL622" s="106"/>
      <c r="DM622" s="106"/>
      <c r="DN622" s="106"/>
      <c r="DO622" s="106"/>
      <c r="DP622" s="106"/>
      <c r="DQ622" s="106"/>
      <c r="DR622" s="106"/>
      <c r="DS622" s="106"/>
      <c r="DT622" s="106"/>
      <c r="DU622" s="106"/>
      <c r="DV622" s="106"/>
      <c r="DW622" s="106"/>
      <c r="DX622" s="106"/>
      <c r="DY622" s="106"/>
      <c r="DZ622" s="106"/>
      <c r="EA622" s="106"/>
      <c r="EB622" s="106"/>
      <c r="EC622" s="106"/>
      <c r="ED622" s="106"/>
      <c r="EE622" s="106"/>
      <c r="EF622" s="106"/>
      <c r="EG622" s="106"/>
      <c r="EH622" s="106"/>
      <c r="EI622" s="106"/>
    </row>
    <row r="623" spans="3:139" ht="15.75" customHeight="1" x14ac:dyDescent="0.25"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  <c r="CR623" s="106"/>
      <c r="CS623" s="106"/>
      <c r="CT623" s="106"/>
      <c r="CU623" s="106"/>
      <c r="CV623" s="106"/>
      <c r="CW623" s="106"/>
      <c r="CX623" s="106"/>
      <c r="CY623" s="106"/>
      <c r="CZ623" s="106"/>
      <c r="DA623" s="106"/>
      <c r="DB623" s="106"/>
      <c r="DC623" s="106"/>
      <c r="DD623" s="106"/>
      <c r="DE623" s="106"/>
      <c r="DF623" s="106"/>
      <c r="DG623" s="106"/>
      <c r="DH623" s="106"/>
      <c r="DI623" s="106"/>
      <c r="DJ623" s="106"/>
      <c r="DK623" s="106"/>
      <c r="DL623" s="106"/>
      <c r="DM623" s="106"/>
      <c r="DN623" s="106"/>
      <c r="DO623" s="106"/>
      <c r="DP623" s="106"/>
      <c r="DQ623" s="106"/>
      <c r="DR623" s="106"/>
      <c r="DS623" s="106"/>
      <c r="DT623" s="106"/>
      <c r="DU623" s="106"/>
      <c r="DV623" s="106"/>
      <c r="DW623" s="106"/>
      <c r="DX623" s="106"/>
      <c r="DY623" s="106"/>
      <c r="DZ623" s="106"/>
      <c r="EA623" s="106"/>
      <c r="EB623" s="106"/>
      <c r="EC623" s="106"/>
      <c r="ED623" s="106"/>
      <c r="EE623" s="106"/>
      <c r="EF623" s="106"/>
      <c r="EG623" s="106"/>
      <c r="EH623" s="106"/>
      <c r="EI623" s="106"/>
    </row>
    <row r="624" spans="3:139" ht="15.75" customHeight="1" x14ac:dyDescent="0.25"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  <c r="CR624" s="106"/>
      <c r="CS624" s="106"/>
      <c r="CT624" s="106"/>
      <c r="CU624" s="106"/>
      <c r="CV624" s="106"/>
      <c r="CW624" s="106"/>
      <c r="CX624" s="106"/>
      <c r="CY624" s="106"/>
      <c r="CZ624" s="106"/>
      <c r="DA624" s="106"/>
      <c r="DB624" s="106"/>
      <c r="DC624" s="106"/>
      <c r="DD624" s="106"/>
      <c r="DE624" s="106"/>
      <c r="DF624" s="106"/>
      <c r="DG624" s="106"/>
      <c r="DH624" s="106"/>
      <c r="DI624" s="106"/>
      <c r="DJ624" s="106"/>
      <c r="DK624" s="106"/>
      <c r="DL624" s="106"/>
      <c r="DM624" s="106"/>
      <c r="DN624" s="106"/>
      <c r="DO624" s="106"/>
      <c r="DP624" s="106"/>
      <c r="DQ624" s="106"/>
      <c r="DR624" s="106"/>
      <c r="DS624" s="106"/>
      <c r="DT624" s="106"/>
      <c r="DU624" s="106"/>
      <c r="DV624" s="106"/>
      <c r="DW624" s="106"/>
      <c r="DX624" s="106"/>
      <c r="DY624" s="106"/>
      <c r="DZ624" s="106"/>
      <c r="EA624" s="106"/>
      <c r="EB624" s="106"/>
      <c r="EC624" s="106"/>
      <c r="ED624" s="106"/>
      <c r="EE624" s="106"/>
      <c r="EF624" s="106"/>
      <c r="EG624" s="106"/>
      <c r="EH624" s="106"/>
      <c r="EI624" s="106"/>
    </row>
    <row r="625" spans="3:139" ht="15.75" customHeight="1" x14ac:dyDescent="0.25"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  <c r="CR625" s="106"/>
      <c r="CS625" s="106"/>
      <c r="CT625" s="106"/>
      <c r="CU625" s="106"/>
      <c r="CV625" s="106"/>
      <c r="CW625" s="106"/>
      <c r="CX625" s="106"/>
      <c r="CY625" s="106"/>
      <c r="CZ625" s="106"/>
      <c r="DA625" s="106"/>
      <c r="DB625" s="106"/>
      <c r="DC625" s="106"/>
      <c r="DD625" s="106"/>
      <c r="DE625" s="106"/>
      <c r="DF625" s="106"/>
      <c r="DG625" s="106"/>
      <c r="DH625" s="106"/>
      <c r="DI625" s="106"/>
      <c r="DJ625" s="106"/>
      <c r="DK625" s="106"/>
      <c r="DL625" s="106"/>
      <c r="DM625" s="106"/>
      <c r="DN625" s="106"/>
      <c r="DO625" s="106"/>
      <c r="DP625" s="106"/>
      <c r="DQ625" s="106"/>
      <c r="DR625" s="106"/>
      <c r="DS625" s="106"/>
      <c r="DT625" s="106"/>
      <c r="DU625" s="106"/>
      <c r="DV625" s="106"/>
      <c r="DW625" s="106"/>
      <c r="DX625" s="106"/>
      <c r="DY625" s="106"/>
      <c r="DZ625" s="106"/>
      <c r="EA625" s="106"/>
      <c r="EB625" s="106"/>
      <c r="EC625" s="106"/>
      <c r="ED625" s="106"/>
      <c r="EE625" s="106"/>
      <c r="EF625" s="106"/>
      <c r="EG625" s="106"/>
      <c r="EH625" s="106"/>
      <c r="EI625" s="106"/>
    </row>
    <row r="626" spans="3:139" ht="15.75" customHeight="1" x14ac:dyDescent="0.25"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  <c r="CR626" s="106"/>
      <c r="CS626" s="106"/>
      <c r="CT626" s="106"/>
      <c r="CU626" s="106"/>
      <c r="CV626" s="106"/>
      <c r="CW626" s="106"/>
      <c r="CX626" s="106"/>
      <c r="CY626" s="106"/>
      <c r="CZ626" s="106"/>
      <c r="DA626" s="106"/>
      <c r="DB626" s="106"/>
      <c r="DC626" s="106"/>
      <c r="DD626" s="106"/>
      <c r="DE626" s="106"/>
      <c r="DF626" s="106"/>
      <c r="DG626" s="106"/>
      <c r="DH626" s="106"/>
      <c r="DI626" s="106"/>
      <c r="DJ626" s="106"/>
      <c r="DK626" s="106"/>
      <c r="DL626" s="106"/>
      <c r="DM626" s="106"/>
      <c r="DN626" s="106"/>
      <c r="DO626" s="106"/>
      <c r="DP626" s="106"/>
      <c r="DQ626" s="106"/>
      <c r="DR626" s="106"/>
      <c r="DS626" s="106"/>
      <c r="DT626" s="106"/>
      <c r="DU626" s="106"/>
      <c r="DV626" s="106"/>
      <c r="DW626" s="106"/>
      <c r="DX626" s="106"/>
      <c r="DY626" s="106"/>
      <c r="DZ626" s="106"/>
      <c r="EA626" s="106"/>
      <c r="EB626" s="106"/>
      <c r="EC626" s="106"/>
      <c r="ED626" s="106"/>
      <c r="EE626" s="106"/>
      <c r="EF626" s="106"/>
      <c r="EG626" s="106"/>
      <c r="EH626" s="106"/>
      <c r="EI626" s="106"/>
    </row>
    <row r="627" spans="3:139" ht="15.75" customHeight="1" x14ac:dyDescent="0.25"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  <c r="CR627" s="106"/>
      <c r="CS627" s="106"/>
      <c r="CT627" s="106"/>
      <c r="CU627" s="106"/>
      <c r="CV627" s="106"/>
      <c r="CW627" s="106"/>
      <c r="CX627" s="106"/>
      <c r="CY627" s="106"/>
      <c r="CZ627" s="106"/>
      <c r="DA627" s="106"/>
      <c r="DB627" s="106"/>
      <c r="DC627" s="106"/>
      <c r="DD627" s="106"/>
      <c r="DE627" s="106"/>
      <c r="DF627" s="106"/>
      <c r="DG627" s="106"/>
      <c r="DH627" s="106"/>
      <c r="DI627" s="106"/>
      <c r="DJ627" s="106"/>
      <c r="DK627" s="106"/>
      <c r="DL627" s="106"/>
      <c r="DM627" s="106"/>
      <c r="DN627" s="106"/>
      <c r="DO627" s="106"/>
      <c r="DP627" s="106"/>
      <c r="DQ627" s="106"/>
      <c r="DR627" s="106"/>
      <c r="DS627" s="106"/>
      <c r="DT627" s="106"/>
      <c r="DU627" s="106"/>
      <c r="DV627" s="106"/>
      <c r="DW627" s="106"/>
      <c r="DX627" s="106"/>
      <c r="DY627" s="106"/>
      <c r="DZ627" s="106"/>
      <c r="EA627" s="106"/>
      <c r="EB627" s="106"/>
      <c r="EC627" s="106"/>
      <c r="ED627" s="106"/>
      <c r="EE627" s="106"/>
      <c r="EF627" s="106"/>
      <c r="EG627" s="106"/>
      <c r="EH627" s="106"/>
      <c r="EI627" s="106"/>
    </row>
    <row r="628" spans="3:139" ht="15.75" customHeight="1" x14ac:dyDescent="0.25"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  <c r="CR628" s="106"/>
      <c r="CS628" s="106"/>
      <c r="CT628" s="106"/>
      <c r="CU628" s="106"/>
      <c r="CV628" s="106"/>
      <c r="CW628" s="106"/>
      <c r="CX628" s="106"/>
      <c r="CY628" s="106"/>
      <c r="CZ628" s="106"/>
      <c r="DA628" s="106"/>
      <c r="DB628" s="106"/>
      <c r="DC628" s="106"/>
      <c r="DD628" s="106"/>
      <c r="DE628" s="106"/>
      <c r="DF628" s="106"/>
      <c r="DG628" s="106"/>
      <c r="DH628" s="106"/>
      <c r="DI628" s="106"/>
      <c r="DJ628" s="106"/>
      <c r="DK628" s="106"/>
      <c r="DL628" s="106"/>
      <c r="DM628" s="106"/>
      <c r="DN628" s="106"/>
      <c r="DO628" s="106"/>
      <c r="DP628" s="106"/>
      <c r="DQ628" s="106"/>
      <c r="DR628" s="106"/>
      <c r="DS628" s="106"/>
      <c r="DT628" s="106"/>
      <c r="DU628" s="106"/>
      <c r="DV628" s="106"/>
      <c r="DW628" s="106"/>
      <c r="DX628" s="106"/>
      <c r="DY628" s="106"/>
      <c r="DZ628" s="106"/>
      <c r="EA628" s="106"/>
      <c r="EB628" s="106"/>
      <c r="EC628" s="106"/>
      <c r="ED628" s="106"/>
      <c r="EE628" s="106"/>
      <c r="EF628" s="106"/>
      <c r="EG628" s="106"/>
      <c r="EH628" s="106"/>
      <c r="EI628" s="106"/>
    </row>
    <row r="629" spans="3:139" ht="15.75" customHeight="1" x14ac:dyDescent="0.25"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  <c r="CR629" s="106"/>
      <c r="CS629" s="106"/>
      <c r="CT629" s="106"/>
      <c r="CU629" s="106"/>
      <c r="CV629" s="106"/>
      <c r="CW629" s="106"/>
      <c r="CX629" s="106"/>
      <c r="CY629" s="106"/>
      <c r="CZ629" s="106"/>
      <c r="DA629" s="106"/>
      <c r="DB629" s="106"/>
      <c r="DC629" s="106"/>
      <c r="DD629" s="106"/>
      <c r="DE629" s="106"/>
      <c r="DF629" s="106"/>
      <c r="DG629" s="106"/>
      <c r="DH629" s="106"/>
      <c r="DI629" s="106"/>
      <c r="DJ629" s="106"/>
      <c r="DK629" s="106"/>
      <c r="DL629" s="106"/>
      <c r="DM629" s="106"/>
      <c r="DN629" s="106"/>
      <c r="DO629" s="106"/>
      <c r="DP629" s="106"/>
      <c r="DQ629" s="106"/>
      <c r="DR629" s="106"/>
      <c r="DS629" s="106"/>
      <c r="DT629" s="106"/>
      <c r="DU629" s="106"/>
      <c r="DV629" s="106"/>
      <c r="DW629" s="106"/>
      <c r="DX629" s="106"/>
      <c r="DY629" s="106"/>
      <c r="DZ629" s="106"/>
      <c r="EA629" s="106"/>
      <c r="EB629" s="106"/>
      <c r="EC629" s="106"/>
      <c r="ED629" s="106"/>
      <c r="EE629" s="106"/>
      <c r="EF629" s="106"/>
      <c r="EG629" s="106"/>
      <c r="EH629" s="106"/>
      <c r="EI629" s="106"/>
    </row>
    <row r="630" spans="3:139" ht="15.75" customHeight="1" x14ac:dyDescent="0.25"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  <c r="CR630" s="106"/>
      <c r="CS630" s="106"/>
      <c r="CT630" s="106"/>
      <c r="CU630" s="106"/>
      <c r="CV630" s="106"/>
      <c r="CW630" s="106"/>
      <c r="CX630" s="106"/>
      <c r="CY630" s="106"/>
      <c r="CZ630" s="106"/>
      <c r="DA630" s="106"/>
      <c r="DB630" s="106"/>
      <c r="DC630" s="106"/>
      <c r="DD630" s="106"/>
      <c r="DE630" s="106"/>
      <c r="DF630" s="106"/>
      <c r="DG630" s="106"/>
      <c r="DH630" s="106"/>
      <c r="DI630" s="106"/>
      <c r="DJ630" s="106"/>
      <c r="DK630" s="106"/>
      <c r="DL630" s="106"/>
      <c r="DM630" s="106"/>
      <c r="DN630" s="106"/>
      <c r="DO630" s="106"/>
      <c r="DP630" s="106"/>
      <c r="DQ630" s="106"/>
      <c r="DR630" s="106"/>
      <c r="DS630" s="106"/>
      <c r="DT630" s="106"/>
      <c r="DU630" s="106"/>
      <c r="DV630" s="106"/>
      <c r="DW630" s="106"/>
      <c r="DX630" s="106"/>
      <c r="DY630" s="106"/>
      <c r="DZ630" s="106"/>
      <c r="EA630" s="106"/>
      <c r="EB630" s="106"/>
      <c r="EC630" s="106"/>
      <c r="ED630" s="106"/>
      <c r="EE630" s="106"/>
      <c r="EF630" s="106"/>
      <c r="EG630" s="106"/>
      <c r="EH630" s="106"/>
      <c r="EI630" s="106"/>
    </row>
    <row r="631" spans="3:139" ht="15.75" customHeight="1" x14ac:dyDescent="0.25"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  <c r="CR631" s="106"/>
      <c r="CS631" s="106"/>
      <c r="CT631" s="106"/>
      <c r="CU631" s="106"/>
      <c r="CV631" s="106"/>
      <c r="CW631" s="106"/>
      <c r="CX631" s="106"/>
      <c r="CY631" s="106"/>
      <c r="CZ631" s="106"/>
      <c r="DA631" s="106"/>
      <c r="DB631" s="106"/>
      <c r="DC631" s="106"/>
      <c r="DD631" s="106"/>
      <c r="DE631" s="106"/>
      <c r="DF631" s="106"/>
      <c r="DG631" s="106"/>
      <c r="DH631" s="106"/>
      <c r="DI631" s="106"/>
      <c r="DJ631" s="106"/>
      <c r="DK631" s="106"/>
      <c r="DL631" s="106"/>
      <c r="DM631" s="106"/>
      <c r="DN631" s="106"/>
      <c r="DO631" s="106"/>
      <c r="DP631" s="106"/>
      <c r="DQ631" s="106"/>
      <c r="DR631" s="106"/>
      <c r="DS631" s="106"/>
      <c r="DT631" s="106"/>
      <c r="DU631" s="106"/>
      <c r="DV631" s="106"/>
      <c r="DW631" s="106"/>
      <c r="DX631" s="106"/>
      <c r="DY631" s="106"/>
      <c r="DZ631" s="106"/>
      <c r="EA631" s="106"/>
      <c r="EB631" s="106"/>
      <c r="EC631" s="106"/>
      <c r="ED631" s="106"/>
      <c r="EE631" s="106"/>
      <c r="EF631" s="106"/>
      <c r="EG631" s="106"/>
      <c r="EH631" s="106"/>
      <c r="EI631" s="106"/>
    </row>
    <row r="632" spans="3:139" ht="15.75" customHeight="1" x14ac:dyDescent="0.25"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  <c r="CR632" s="106"/>
      <c r="CS632" s="106"/>
      <c r="CT632" s="106"/>
      <c r="CU632" s="106"/>
      <c r="CV632" s="106"/>
      <c r="CW632" s="106"/>
      <c r="CX632" s="106"/>
      <c r="CY632" s="106"/>
      <c r="CZ632" s="106"/>
      <c r="DA632" s="106"/>
      <c r="DB632" s="106"/>
      <c r="DC632" s="106"/>
      <c r="DD632" s="106"/>
      <c r="DE632" s="106"/>
      <c r="DF632" s="106"/>
      <c r="DG632" s="106"/>
      <c r="DH632" s="106"/>
      <c r="DI632" s="106"/>
      <c r="DJ632" s="106"/>
      <c r="DK632" s="106"/>
      <c r="DL632" s="106"/>
      <c r="DM632" s="106"/>
      <c r="DN632" s="106"/>
      <c r="DO632" s="106"/>
      <c r="DP632" s="106"/>
      <c r="DQ632" s="106"/>
      <c r="DR632" s="106"/>
      <c r="DS632" s="106"/>
      <c r="DT632" s="106"/>
      <c r="DU632" s="106"/>
      <c r="DV632" s="106"/>
      <c r="DW632" s="106"/>
      <c r="DX632" s="106"/>
      <c r="DY632" s="106"/>
      <c r="DZ632" s="106"/>
      <c r="EA632" s="106"/>
      <c r="EB632" s="106"/>
      <c r="EC632" s="106"/>
      <c r="ED632" s="106"/>
      <c r="EE632" s="106"/>
      <c r="EF632" s="106"/>
      <c r="EG632" s="106"/>
      <c r="EH632" s="106"/>
      <c r="EI632" s="106"/>
    </row>
    <row r="633" spans="3:139" ht="15.75" customHeight="1" x14ac:dyDescent="0.25"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  <c r="CR633" s="106"/>
      <c r="CS633" s="106"/>
      <c r="CT633" s="106"/>
      <c r="CU633" s="106"/>
      <c r="CV633" s="106"/>
      <c r="CW633" s="106"/>
      <c r="CX633" s="106"/>
      <c r="CY633" s="106"/>
      <c r="CZ633" s="106"/>
      <c r="DA633" s="106"/>
      <c r="DB633" s="106"/>
      <c r="DC633" s="106"/>
      <c r="DD633" s="106"/>
      <c r="DE633" s="106"/>
      <c r="DF633" s="106"/>
      <c r="DG633" s="106"/>
      <c r="DH633" s="106"/>
      <c r="DI633" s="106"/>
      <c r="DJ633" s="106"/>
      <c r="DK633" s="106"/>
      <c r="DL633" s="106"/>
      <c r="DM633" s="106"/>
      <c r="DN633" s="106"/>
      <c r="DO633" s="106"/>
      <c r="DP633" s="106"/>
      <c r="DQ633" s="106"/>
      <c r="DR633" s="106"/>
      <c r="DS633" s="106"/>
      <c r="DT633" s="106"/>
      <c r="DU633" s="106"/>
      <c r="DV633" s="106"/>
      <c r="DW633" s="106"/>
      <c r="DX633" s="106"/>
      <c r="DY633" s="106"/>
      <c r="DZ633" s="106"/>
      <c r="EA633" s="106"/>
      <c r="EB633" s="106"/>
      <c r="EC633" s="106"/>
      <c r="ED633" s="106"/>
      <c r="EE633" s="106"/>
      <c r="EF633" s="106"/>
      <c r="EG633" s="106"/>
      <c r="EH633" s="106"/>
      <c r="EI633" s="106"/>
    </row>
    <row r="634" spans="3:139" ht="15.75" customHeight="1" x14ac:dyDescent="0.25"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  <c r="CR634" s="106"/>
      <c r="CS634" s="106"/>
      <c r="CT634" s="106"/>
      <c r="CU634" s="106"/>
      <c r="CV634" s="106"/>
      <c r="CW634" s="106"/>
      <c r="CX634" s="106"/>
      <c r="CY634" s="106"/>
      <c r="CZ634" s="106"/>
      <c r="DA634" s="106"/>
      <c r="DB634" s="106"/>
      <c r="DC634" s="106"/>
      <c r="DD634" s="106"/>
      <c r="DE634" s="106"/>
      <c r="DF634" s="106"/>
      <c r="DG634" s="106"/>
      <c r="DH634" s="106"/>
      <c r="DI634" s="106"/>
      <c r="DJ634" s="106"/>
      <c r="DK634" s="106"/>
      <c r="DL634" s="106"/>
      <c r="DM634" s="106"/>
      <c r="DN634" s="106"/>
      <c r="DO634" s="106"/>
      <c r="DP634" s="106"/>
      <c r="DQ634" s="106"/>
      <c r="DR634" s="106"/>
      <c r="DS634" s="106"/>
      <c r="DT634" s="106"/>
      <c r="DU634" s="106"/>
      <c r="DV634" s="106"/>
      <c r="DW634" s="106"/>
      <c r="DX634" s="106"/>
      <c r="DY634" s="106"/>
      <c r="DZ634" s="106"/>
      <c r="EA634" s="106"/>
      <c r="EB634" s="106"/>
      <c r="EC634" s="106"/>
      <c r="ED634" s="106"/>
      <c r="EE634" s="106"/>
      <c r="EF634" s="106"/>
      <c r="EG634" s="106"/>
      <c r="EH634" s="106"/>
      <c r="EI634" s="106"/>
    </row>
    <row r="635" spans="3:139" ht="15.75" customHeight="1" x14ac:dyDescent="0.25"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  <c r="CR635" s="106"/>
      <c r="CS635" s="106"/>
      <c r="CT635" s="106"/>
      <c r="CU635" s="106"/>
      <c r="CV635" s="106"/>
      <c r="CW635" s="106"/>
      <c r="CX635" s="106"/>
      <c r="CY635" s="106"/>
      <c r="CZ635" s="106"/>
      <c r="DA635" s="106"/>
      <c r="DB635" s="106"/>
      <c r="DC635" s="106"/>
      <c r="DD635" s="106"/>
      <c r="DE635" s="106"/>
      <c r="DF635" s="106"/>
      <c r="DG635" s="106"/>
      <c r="DH635" s="106"/>
      <c r="DI635" s="106"/>
      <c r="DJ635" s="106"/>
      <c r="DK635" s="106"/>
      <c r="DL635" s="106"/>
      <c r="DM635" s="106"/>
      <c r="DN635" s="106"/>
      <c r="DO635" s="106"/>
      <c r="DP635" s="106"/>
      <c r="DQ635" s="106"/>
      <c r="DR635" s="106"/>
      <c r="DS635" s="106"/>
      <c r="DT635" s="106"/>
      <c r="DU635" s="106"/>
      <c r="DV635" s="106"/>
      <c r="DW635" s="106"/>
      <c r="DX635" s="106"/>
      <c r="DY635" s="106"/>
      <c r="DZ635" s="106"/>
      <c r="EA635" s="106"/>
      <c r="EB635" s="106"/>
      <c r="EC635" s="106"/>
      <c r="ED635" s="106"/>
      <c r="EE635" s="106"/>
      <c r="EF635" s="106"/>
      <c r="EG635" s="106"/>
      <c r="EH635" s="106"/>
      <c r="EI635" s="106"/>
    </row>
    <row r="636" spans="3:139" ht="15.75" customHeight="1" x14ac:dyDescent="0.25"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  <c r="CR636" s="106"/>
      <c r="CS636" s="106"/>
      <c r="CT636" s="106"/>
      <c r="CU636" s="106"/>
      <c r="CV636" s="106"/>
      <c r="CW636" s="106"/>
      <c r="CX636" s="106"/>
      <c r="CY636" s="106"/>
      <c r="CZ636" s="106"/>
      <c r="DA636" s="106"/>
      <c r="DB636" s="106"/>
      <c r="DC636" s="106"/>
      <c r="DD636" s="106"/>
      <c r="DE636" s="106"/>
      <c r="DF636" s="106"/>
      <c r="DG636" s="106"/>
      <c r="DH636" s="106"/>
      <c r="DI636" s="106"/>
      <c r="DJ636" s="106"/>
      <c r="DK636" s="106"/>
      <c r="DL636" s="106"/>
      <c r="DM636" s="106"/>
      <c r="DN636" s="106"/>
      <c r="DO636" s="106"/>
      <c r="DP636" s="106"/>
      <c r="DQ636" s="106"/>
      <c r="DR636" s="106"/>
      <c r="DS636" s="106"/>
      <c r="DT636" s="106"/>
      <c r="DU636" s="106"/>
      <c r="DV636" s="106"/>
      <c r="DW636" s="106"/>
      <c r="DX636" s="106"/>
      <c r="DY636" s="106"/>
      <c r="DZ636" s="106"/>
      <c r="EA636" s="106"/>
      <c r="EB636" s="106"/>
      <c r="EC636" s="106"/>
      <c r="ED636" s="106"/>
      <c r="EE636" s="106"/>
      <c r="EF636" s="106"/>
      <c r="EG636" s="106"/>
      <c r="EH636" s="106"/>
      <c r="EI636" s="106"/>
    </row>
    <row r="637" spans="3:139" ht="15.75" customHeight="1" x14ac:dyDescent="0.25"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  <c r="CR637" s="106"/>
      <c r="CS637" s="106"/>
      <c r="CT637" s="106"/>
      <c r="CU637" s="106"/>
      <c r="CV637" s="106"/>
      <c r="CW637" s="106"/>
      <c r="CX637" s="106"/>
      <c r="CY637" s="106"/>
      <c r="CZ637" s="106"/>
      <c r="DA637" s="106"/>
      <c r="DB637" s="106"/>
      <c r="DC637" s="106"/>
      <c r="DD637" s="106"/>
      <c r="DE637" s="106"/>
      <c r="DF637" s="106"/>
      <c r="DG637" s="106"/>
      <c r="DH637" s="106"/>
      <c r="DI637" s="106"/>
      <c r="DJ637" s="106"/>
      <c r="DK637" s="106"/>
      <c r="DL637" s="106"/>
      <c r="DM637" s="106"/>
      <c r="DN637" s="106"/>
      <c r="DO637" s="106"/>
      <c r="DP637" s="106"/>
      <c r="DQ637" s="106"/>
      <c r="DR637" s="106"/>
      <c r="DS637" s="106"/>
      <c r="DT637" s="106"/>
      <c r="DU637" s="106"/>
      <c r="DV637" s="106"/>
      <c r="DW637" s="106"/>
      <c r="DX637" s="106"/>
      <c r="DY637" s="106"/>
      <c r="DZ637" s="106"/>
      <c r="EA637" s="106"/>
      <c r="EB637" s="106"/>
      <c r="EC637" s="106"/>
      <c r="ED637" s="106"/>
      <c r="EE637" s="106"/>
      <c r="EF637" s="106"/>
      <c r="EG637" s="106"/>
      <c r="EH637" s="106"/>
      <c r="EI637" s="106"/>
    </row>
    <row r="638" spans="3:139" ht="15.75" customHeight="1" x14ac:dyDescent="0.25"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  <c r="CR638" s="106"/>
      <c r="CS638" s="106"/>
      <c r="CT638" s="106"/>
      <c r="CU638" s="106"/>
      <c r="CV638" s="106"/>
      <c r="CW638" s="106"/>
      <c r="CX638" s="106"/>
      <c r="CY638" s="106"/>
      <c r="CZ638" s="106"/>
      <c r="DA638" s="106"/>
      <c r="DB638" s="106"/>
      <c r="DC638" s="106"/>
      <c r="DD638" s="106"/>
      <c r="DE638" s="106"/>
      <c r="DF638" s="106"/>
      <c r="DG638" s="106"/>
      <c r="DH638" s="106"/>
      <c r="DI638" s="106"/>
      <c r="DJ638" s="106"/>
      <c r="DK638" s="106"/>
      <c r="DL638" s="106"/>
      <c r="DM638" s="106"/>
      <c r="DN638" s="106"/>
      <c r="DO638" s="106"/>
      <c r="DP638" s="106"/>
      <c r="DQ638" s="106"/>
      <c r="DR638" s="106"/>
      <c r="DS638" s="106"/>
      <c r="DT638" s="106"/>
      <c r="DU638" s="106"/>
      <c r="DV638" s="106"/>
      <c r="DW638" s="106"/>
      <c r="DX638" s="106"/>
      <c r="DY638" s="106"/>
      <c r="DZ638" s="106"/>
      <c r="EA638" s="106"/>
      <c r="EB638" s="106"/>
      <c r="EC638" s="106"/>
      <c r="ED638" s="106"/>
      <c r="EE638" s="106"/>
      <c r="EF638" s="106"/>
      <c r="EG638" s="106"/>
      <c r="EH638" s="106"/>
      <c r="EI638" s="106"/>
    </row>
    <row r="639" spans="3:139" ht="15.75" customHeight="1" x14ac:dyDescent="0.25"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  <c r="CR639" s="106"/>
      <c r="CS639" s="106"/>
      <c r="CT639" s="106"/>
      <c r="CU639" s="106"/>
      <c r="CV639" s="106"/>
      <c r="CW639" s="106"/>
      <c r="CX639" s="106"/>
      <c r="CY639" s="106"/>
      <c r="CZ639" s="106"/>
      <c r="DA639" s="106"/>
      <c r="DB639" s="106"/>
      <c r="DC639" s="106"/>
      <c r="DD639" s="106"/>
      <c r="DE639" s="106"/>
      <c r="DF639" s="106"/>
      <c r="DG639" s="106"/>
      <c r="DH639" s="106"/>
      <c r="DI639" s="106"/>
      <c r="DJ639" s="106"/>
      <c r="DK639" s="106"/>
      <c r="DL639" s="106"/>
      <c r="DM639" s="106"/>
      <c r="DN639" s="106"/>
      <c r="DO639" s="106"/>
      <c r="DP639" s="106"/>
      <c r="DQ639" s="106"/>
      <c r="DR639" s="106"/>
      <c r="DS639" s="106"/>
      <c r="DT639" s="106"/>
      <c r="DU639" s="106"/>
      <c r="DV639" s="106"/>
      <c r="DW639" s="106"/>
      <c r="DX639" s="106"/>
      <c r="DY639" s="106"/>
      <c r="DZ639" s="106"/>
      <c r="EA639" s="106"/>
      <c r="EB639" s="106"/>
      <c r="EC639" s="106"/>
      <c r="ED639" s="106"/>
      <c r="EE639" s="106"/>
      <c r="EF639" s="106"/>
      <c r="EG639" s="106"/>
      <c r="EH639" s="106"/>
      <c r="EI639" s="106"/>
    </row>
    <row r="640" spans="3:139" ht="15.75" customHeight="1" x14ac:dyDescent="0.25"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  <c r="CR640" s="106"/>
      <c r="CS640" s="106"/>
      <c r="CT640" s="106"/>
      <c r="CU640" s="106"/>
      <c r="CV640" s="106"/>
      <c r="CW640" s="106"/>
      <c r="CX640" s="106"/>
      <c r="CY640" s="106"/>
      <c r="CZ640" s="106"/>
      <c r="DA640" s="106"/>
      <c r="DB640" s="106"/>
      <c r="DC640" s="106"/>
      <c r="DD640" s="106"/>
      <c r="DE640" s="106"/>
      <c r="DF640" s="106"/>
      <c r="DG640" s="106"/>
      <c r="DH640" s="106"/>
      <c r="DI640" s="106"/>
      <c r="DJ640" s="106"/>
      <c r="DK640" s="106"/>
      <c r="DL640" s="106"/>
      <c r="DM640" s="106"/>
      <c r="DN640" s="106"/>
      <c r="DO640" s="106"/>
      <c r="DP640" s="106"/>
      <c r="DQ640" s="106"/>
      <c r="DR640" s="106"/>
      <c r="DS640" s="106"/>
      <c r="DT640" s="106"/>
      <c r="DU640" s="106"/>
      <c r="DV640" s="106"/>
      <c r="DW640" s="106"/>
      <c r="DX640" s="106"/>
      <c r="DY640" s="106"/>
      <c r="DZ640" s="106"/>
      <c r="EA640" s="106"/>
      <c r="EB640" s="106"/>
      <c r="EC640" s="106"/>
      <c r="ED640" s="106"/>
      <c r="EE640" s="106"/>
      <c r="EF640" s="106"/>
      <c r="EG640" s="106"/>
      <c r="EH640" s="106"/>
      <c r="EI640" s="106"/>
    </row>
    <row r="641" spans="3:139" ht="15.75" customHeight="1" x14ac:dyDescent="0.25"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  <c r="CR641" s="106"/>
      <c r="CS641" s="106"/>
      <c r="CT641" s="106"/>
      <c r="CU641" s="106"/>
      <c r="CV641" s="106"/>
      <c r="CW641" s="106"/>
      <c r="CX641" s="106"/>
      <c r="CY641" s="106"/>
      <c r="CZ641" s="106"/>
      <c r="DA641" s="106"/>
      <c r="DB641" s="106"/>
      <c r="DC641" s="106"/>
      <c r="DD641" s="106"/>
      <c r="DE641" s="106"/>
      <c r="DF641" s="106"/>
      <c r="DG641" s="106"/>
      <c r="DH641" s="106"/>
      <c r="DI641" s="106"/>
      <c r="DJ641" s="106"/>
      <c r="DK641" s="106"/>
      <c r="DL641" s="106"/>
      <c r="DM641" s="106"/>
      <c r="DN641" s="106"/>
      <c r="DO641" s="106"/>
      <c r="DP641" s="106"/>
      <c r="DQ641" s="106"/>
      <c r="DR641" s="106"/>
      <c r="DS641" s="106"/>
      <c r="DT641" s="106"/>
      <c r="DU641" s="106"/>
      <c r="DV641" s="106"/>
      <c r="DW641" s="106"/>
      <c r="DX641" s="106"/>
      <c r="DY641" s="106"/>
      <c r="DZ641" s="106"/>
      <c r="EA641" s="106"/>
      <c r="EB641" s="106"/>
      <c r="EC641" s="106"/>
      <c r="ED641" s="106"/>
      <c r="EE641" s="106"/>
      <c r="EF641" s="106"/>
      <c r="EG641" s="106"/>
      <c r="EH641" s="106"/>
      <c r="EI641" s="106"/>
    </row>
    <row r="642" spans="3:139" ht="15.75" customHeight="1" x14ac:dyDescent="0.25"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  <c r="CR642" s="106"/>
      <c r="CS642" s="106"/>
      <c r="CT642" s="106"/>
      <c r="CU642" s="106"/>
      <c r="CV642" s="106"/>
      <c r="CW642" s="106"/>
      <c r="CX642" s="106"/>
      <c r="CY642" s="106"/>
      <c r="CZ642" s="106"/>
      <c r="DA642" s="106"/>
      <c r="DB642" s="106"/>
      <c r="DC642" s="106"/>
      <c r="DD642" s="106"/>
      <c r="DE642" s="106"/>
      <c r="DF642" s="106"/>
      <c r="DG642" s="106"/>
      <c r="DH642" s="106"/>
      <c r="DI642" s="106"/>
      <c r="DJ642" s="106"/>
      <c r="DK642" s="106"/>
      <c r="DL642" s="106"/>
      <c r="DM642" s="106"/>
      <c r="DN642" s="106"/>
      <c r="DO642" s="106"/>
      <c r="DP642" s="106"/>
      <c r="DQ642" s="106"/>
      <c r="DR642" s="106"/>
      <c r="DS642" s="106"/>
      <c r="DT642" s="106"/>
      <c r="DU642" s="106"/>
      <c r="DV642" s="106"/>
      <c r="DW642" s="106"/>
      <c r="DX642" s="106"/>
      <c r="DY642" s="106"/>
      <c r="DZ642" s="106"/>
      <c r="EA642" s="106"/>
      <c r="EB642" s="106"/>
      <c r="EC642" s="106"/>
      <c r="ED642" s="106"/>
      <c r="EE642" s="106"/>
      <c r="EF642" s="106"/>
      <c r="EG642" s="106"/>
      <c r="EH642" s="106"/>
      <c r="EI642" s="106"/>
    </row>
    <row r="643" spans="3:139" ht="15.75" customHeight="1" x14ac:dyDescent="0.25"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  <c r="CR643" s="106"/>
      <c r="CS643" s="106"/>
      <c r="CT643" s="106"/>
      <c r="CU643" s="106"/>
      <c r="CV643" s="106"/>
      <c r="CW643" s="106"/>
      <c r="CX643" s="106"/>
      <c r="CY643" s="106"/>
      <c r="CZ643" s="106"/>
      <c r="DA643" s="106"/>
      <c r="DB643" s="106"/>
      <c r="DC643" s="106"/>
      <c r="DD643" s="106"/>
      <c r="DE643" s="106"/>
      <c r="DF643" s="106"/>
      <c r="DG643" s="106"/>
      <c r="DH643" s="106"/>
      <c r="DI643" s="106"/>
      <c r="DJ643" s="106"/>
      <c r="DK643" s="106"/>
      <c r="DL643" s="106"/>
      <c r="DM643" s="106"/>
      <c r="DN643" s="106"/>
      <c r="DO643" s="106"/>
      <c r="DP643" s="106"/>
      <c r="DQ643" s="106"/>
      <c r="DR643" s="106"/>
      <c r="DS643" s="106"/>
      <c r="DT643" s="106"/>
      <c r="DU643" s="106"/>
      <c r="DV643" s="106"/>
      <c r="DW643" s="106"/>
      <c r="DX643" s="106"/>
      <c r="DY643" s="106"/>
      <c r="DZ643" s="106"/>
      <c r="EA643" s="106"/>
      <c r="EB643" s="106"/>
      <c r="EC643" s="106"/>
      <c r="ED643" s="106"/>
      <c r="EE643" s="106"/>
      <c r="EF643" s="106"/>
      <c r="EG643" s="106"/>
      <c r="EH643" s="106"/>
      <c r="EI643" s="106"/>
    </row>
    <row r="644" spans="3:139" ht="15.75" customHeight="1" x14ac:dyDescent="0.25"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  <c r="CR644" s="106"/>
      <c r="CS644" s="106"/>
      <c r="CT644" s="106"/>
      <c r="CU644" s="106"/>
      <c r="CV644" s="106"/>
      <c r="CW644" s="106"/>
      <c r="CX644" s="106"/>
      <c r="CY644" s="106"/>
      <c r="CZ644" s="106"/>
      <c r="DA644" s="106"/>
      <c r="DB644" s="106"/>
      <c r="DC644" s="106"/>
      <c r="DD644" s="106"/>
      <c r="DE644" s="106"/>
      <c r="DF644" s="106"/>
      <c r="DG644" s="106"/>
      <c r="DH644" s="106"/>
      <c r="DI644" s="106"/>
      <c r="DJ644" s="106"/>
      <c r="DK644" s="106"/>
      <c r="DL644" s="106"/>
      <c r="DM644" s="106"/>
      <c r="DN644" s="106"/>
      <c r="DO644" s="106"/>
      <c r="DP644" s="106"/>
      <c r="DQ644" s="106"/>
      <c r="DR644" s="106"/>
      <c r="DS644" s="106"/>
      <c r="DT644" s="106"/>
      <c r="DU644" s="106"/>
      <c r="DV644" s="106"/>
      <c r="DW644" s="106"/>
      <c r="DX644" s="106"/>
      <c r="DY644" s="106"/>
      <c r="DZ644" s="106"/>
      <c r="EA644" s="106"/>
      <c r="EB644" s="106"/>
      <c r="EC644" s="106"/>
      <c r="ED644" s="106"/>
      <c r="EE644" s="106"/>
      <c r="EF644" s="106"/>
      <c r="EG644" s="106"/>
      <c r="EH644" s="106"/>
      <c r="EI644" s="106"/>
    </row>
    <row r="645" spans="3:139" ht="15.75" customHeight="1" x14ac:dyDescent="0.25"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  <c r="CR645" s="106"/>
      <c r="CS645" s="106"/>
      <c r="CT645" s="106"/>
      <c r="CU645" s="106"/>
      <c r="CV645" s="106"/>
      <c r="CW645" s="106"/>
      <c r="CX645" s="106"/>
      <c r="CY645" s="106"/>
      <c r="CZ645" s="106"/>
      <c r="DA645" s="106"/>
      <c r="DB645" s="106"/>
      <c r="DC645" s="106"/>
      <c r="DD645" s="106"/>
      <c r="DE645" s="106"/>
      <c r="DF645" s="106"/>
      <c r="DG645" s="106"/>
      <c r="DH645" s="106"/>
      <c r="DI645" s="106"/>
      <c r="DJ645" s="106"/>
      <c r="DK645" s="106"/>
      <c r="DL645" s="106"/>
      <c r="DM645" s="106"/>
      <c r="DN645" s="106"/>
      <c r="DO645" s="106"/>
      <c r="DP645" s="106"/>
      <c r="DQ645" s="106"/>
      <c r="DR645" s="106"/>
      <c r="DS645" s="106"/>
      <c r="DT645" s="106"/>
      <c r="DU645" s="106"/>
      <c r="DV645" s="106"/>
      <c r="DW645" s="106"/>
      <c r="DX645" s="106"/>
      <c r="DY645" s="106"/>
      <c r="DZ645" s="106"/>
      <c r="EA645" s="106"/>
      <c r="EB645" s="106"/>
      <c r="EC645" s="106"/>
      <c r="ED645" s="106"/>
      <c r="EE645" s="106"/>
      <c r="EF645" s="106"/>
      <c r="EG645" s="106"/>
      <c r="EH645" s="106"/>
      <c r="EI645" s="106"/>
    </row>
    <row r="646" spans="3:139" ht="15.75" customHeight="1" x14ac:dyDescent="0.25"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  <c r="CR646" s="106"/>
      <c r="CS646" s="106"/>
      <c r="CT646" s="106"/>
      <c r="CU646" s="106"/>
      <c r="CV646" s="106"/>
      <c r="CW646" s="106"/>
      <c r="CX646" s="106"/>
      <c r="CY646" s="106"/>
      <c r="CZ646" s="106"/>
      <c r="DA646" s="106"/>
      <c r="DB646" s="106"/>
      <c r="DC646" s="106"/>
      <c r="DD646" s="106"/>
      <c r="DE646" s="106"/>
      <c r="DF646" s="106"/>
      <c r="DG646" s="106"/>
      <c r="DH646" s="106"/>
      <c r="DI646" s="106"/>
      <c r="DJ646" s="106"/>
      <c r="DK646" s="106"/>
      <c r="DL646" s="106"/>
      <c r="DM646" s="106"/>
      <c r="DN646" s="106"/>
      <c r="DO646" s="106"/>
      <c r="DP646" s="106"/>
      <c r="DQ646" s="106"/>
      <c r="DR646" s="106"/>
      <c r="DS646" s="106"/>
      <c r="DT646" s="106"/>
      <c r="DU646" s="106"/>
      <c r="DV646" s="106"/>
      <c r="DW646" s="106"/>
      <c r="DX646" s="106"/>
      <c r="DY646" s="106"/>
      <c r="DZ646" s="106"/>
      <c r="EA646" s="106"/>
      <c r="EB646" s="106"/>
      <c r="EC646" s="106"/>
      <c r="ED646" s="106"/>
      <c r="EE646" s="106"/>
      <c r="EF646" s="106"/>
      <c r="EG646" s="106"/>
      <c r="EH646" s="106"/>
      <c r="EI646" s="106"/>
    </row>
    <row r="647" spans="3:139" ht="15.75" customHeight="1" x14ac:dyDescent="0.25"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  <c r="CR647" s="106"/>
      <c r="CS647" s="106"/>
      <c r="CT647" s="106"/>
      <c r="CU647" s="106"/>
      <c r="CV647" s="106"/>
      <c r="CW647" s="106"/>
      <c r="CX647" s="106"/>
      <c r="CY647" s="106"/>
      <c r="CZ647" s="106"/>
      <c r="DA647" s="106"/>
      <c r="DB647" s="106"/>
      <c r="DC647" s="106"/>
      <c r="DD647" s="106"/>
      <c r="DE647" s="106"/>
      <c r="DF647" s="106"/>
      <c r="DG647" s="106"/>
      <c r="DH647" s="106"/>
      <c r="DI647" s="106"/>
      <c r="DJ647" s="106"/>
      <c r="DK647" s="106"/>
      <c r="DL647" s="106"/>
      <c r="DM647" s="106"/>
      <c r="DN647" s="106"/>
      <c r="DO647" s="106"/>
      <c r="DP647" s="106"/>
      <c r="DQ647" s="106"/>
      <c r="DR647" s="106"/>
      <c r="DS647" s="106"/>
      <c r="DT647" s="106"/>
      <c r="DU647" s="106"/>
      <c r="DV647" s="106"/>
      <c r="DW647" s="106"/>
      <c r="DX647" s="106"/>
      <c r="DY647" s="106"/>
      <c r="DZ647" s="106"/>
      <c r="EA647" s="106"/>
      <c r="EB647" s="106"/>
      <c r="EC647" s="106"/>
      <c r="ED647" s="106"/>
      <c r="EE647" s="106"/>
      <c r="EF647" s="106"/>
      <c r="EG647" s="106"/>
      <c r="EH647" s="106"/>
      <c r="EI647" s="106"/>
    </row>
    <row r="648" spans="3:139" ht="15.75" customHeight="1" x14ac:dyDescent="0.25"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  <c r="CR648" s="106"/>
      <c r="CS648" s="106"/>
      <c r="CT648" s="106"/>
      <c r="CU648" s="106"/>
      <c r="CV648" s="106"/>
      <c r="CW648" s="106"/>
      <c r="CX648" s="106"/>
      <c r="CY648" s="106"/>
      <c r="CZ648" s="106"/>
      <c r="DA648" s="106"/>
      <c r="DB648" s="106"/>
      <c r="DC648" s="106"/>
      <c r="DD648" s="106"/>
      <c r="DE648" s="106"/>
      <c r="DF648" s="106"/>
      <c r="DG648" s="106"/>
      <c r="DH648" s="106"/>
      <c r="DI648" s="106"/>
      <c r="DJ648" s="106"/>
      <c r="DK648" s="106"/>
      <c r="DL648" s="106"/>
      <c r="DM648" s="106"/>
      <c r="DN648" s="106"/>
      <c r="DO648" s="106"/>
      <c r="DP648" s="106"/>
      <c r="DQ648" s="106"/>
      <c r="DR648" s="106"/>
      <c r="DS648" s="106"/>
      <c r="DT648" s="106"/>
      <c r="DU648" s="106"/>
      <c r="DV648" s="106"/>
      <c r="DW648" s="106"/>
      <c r="DX648" s="106"/>
      <c r="DY648" s="106"/>
      <c r="DZ648" s="106"/>
      <c r="EA648" s="106"/>
      <c r="EB648" s="106"/>
      <c r="EC648" s="106"/>
      <c r="ED648" s="106"/>
      <c r="EE648" s="106"/>
      <c r="EF648" s="106"/>
      <c r="EG648" s="106"/>
      <c r="EH648" s="106"/>
      <c r="EI648" s="106"/>
    </row>
    <row r="649" spans="3:139" ht="15.75" customHeight="1" x14ac:dyDescent="0.25"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  <c r="CR649" s="106"/>
      <c r="CS649" s="106"/>
      <c r="CT649" s="106"/>
      <c r="CU649" s="106"/>
      <c r="CV649" s="106"/>
      <c r="CW649" s="106"/>
      <c r="CX649" s="106"/>
      <c r="CY649" s="106"/>
      <c r="CZ649" s="106"/>
      <c r="DA649" s="106"/>
      <c r="DB649" s="106"/>
      <c r="DC649" s="106"/>
      <c r="DD649" s="106"/>
      <c r="DE649" s="106"/>
      <c r="DF649" s="106"/>
      <c r="DG649" s="106"/>
      <c r="DH649" s="106"/>
      <c r="DI649" s="106"/>
      <c r="DJ649" s="106"/>
      <c r="DK649" s="106"/>
      <c r="DL649" s="106"/>
      <c r="DM649" s="106"/>
      <c r="DN649" s="106"/>
      <c r="DO649" s="106"/>
      <c r="DP649" s="106"/>
      <c r="DQ649" s="106"/>
      <c r="DR649" s="106"/>
      <c r="DS649" s="106"/>
      <c r="DT649" s="106"/>
      <c r="DU649" s="106"/>
      <c r="DV649" s="106"/>
      <c r="DW649" s="106"/>
      <c r="DX649" s="106"/>
      <c r="DY649" s="106"/>
      <c r="DZ649" s="106"/>
      <c r="EA649" s="106"/>
      <c r="EB649" s="106"/>
      <c r="EC649" s="106"/>
      <c r="ED649" s="106"/>
      <c r="EE649" s="106"/>
      <c r="EF649" s="106"/>
      <c r="EG649" s="106"/>
      <c r="EH649" s="106"/>
      <c r="EI649" s="106"/>
    </row>
    <row r="650" spans="3:139" ht="15.75" customHeight="1" x14ac:dyDescent="0.25"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  <c r="CR650" s="106"/>
      <c r="CS650" s="106"/>
      <c r="CT650" s="106"/>
      <c r="CU650" s="106"/>
      <c r="CV650" s="106"/>
      <c r="CW650" s="106"/>
      <c r="CX650" s="106"/>
      <c r="CY650" s="106"/>
      <c r="CZ650" s="106"/>
      <c r="DA650" s="106"/>
      <c r="DB650" s="106"/>
      <c r="DC650" s="106"/>
      <c r="DD650" s="106"/>
      <c r="DE650" s="106"/>
      <c r="DF650" s="106"/>
      <c r="DG650" s="106"/>
      <c r="DH650" s="106"/>
      <c r="DI650" s="106"/>
      <c r="DJ650" s="106"/>
      <c r="DK650" s="106"/>
      <c r="DL650" s="106"/>
      <c r="DM650" s="106"/>
      <c r="DN650" s="106"/>
      <c r="DO650" s="106"/>
      <c r="DP650" s="106"/>
      <c r="DQ650" s="106"/>
      <c r="DR650" s="106"/>
      <c r="DS650" s="106"/>
      <c r="DT650" s="106"/>
      <c r="DU650" s="106"/>
      <c r="DV650" s="106"/>
      <c r="DW650" s="106"/>
      <c r="DX650" s="106"/>
      <c r="DY650" s="106"/>
      <c r="DZ650" s="106"/>
      <c r="EA650" s="106"/>
      <c r="EB650" s="106"/>
      <c r="EC650" s="106"/>
      <c r="ED650" s="106"/>
      <c r="EE650" s="106"/>
      <c r="EF650" s="106"/>
      <c r="EG650" s="106"/>
      <c r="EH650" s="106"/>
      <c r="EI650" s="106"/>
    </row>
    <row r="651" spans="3:139" ht="15.75" customHeight="1" x14ac:dyDescent="0.25"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  <c r="CR651" s="106"/>
      <c r="CS651" s="106"/>
      <c r="CT651" s="106"/>
      <c r="CU651" s="106"/>
      <c r="CV651" s="106"/>
      <c r="CW651" s="106"/>
      <c r="CX651" s="106"/>
      <c r="CY651" s="106"/>
      <c r="CZ651" s="106"/>
      <c r="DA651" s="106"/>
      <c r="DB651" s="106"/>
      <c r="DC651" s="106"/>
      <c r="DD651" s="106"/>
      <c r="DE651" s="106"/>
      <c r="DF651" s="106"/>
      <c r="DG651" s="106"/>
      <c r="DH651" s="106"/>
      <c r="DI651" s="106"/>
      <c r="DJ651" s="106"/>
      <c r="DK651" s="106"/>
      <c r="DL651" s="106"/>
      <c r="DM651" s="106"/>
      <c r="DN651" s="106"/>
      <c r="DO651" s="106"/>
      <c r="DP651" s="106"/>
      <c r="DQ651" s="106"/>
      <c r="DR651" s="106"/>
      <c r="DS651" s="106"/>
      <c r="DT651" s="106"/>
      <c r="DU651" s="106"/>
      <c r="DV651" s="106"/>
      <c r="DW651" s="106"/>
      <c r="DX651" s="106"/>
      <c r="DY651" s="106"/>
      <c r="DZ651" s="106"/>
      <c r="EA651" s="106"/>
      <c r="EB651" s="106"/>
      <c r="EC651" s="106"/>
      <c r="ED651" s="106"/>
      <c r="EE651" s="106"/>
      <c r="EF651" s="106"/>
      <c r="EG651" s="106"/>
      <c r="EH651" s="106"/>
      <c r="EI651" s="106"/>
    </row>
    <row r="652" spans="3:139" ht="15.75" customHeight="1" x14ac:dyDescent="0.25"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  <c r="CR652" s="106"/>
      <c r="CS652" s="106"/>
      <c r="CT652" s="106"/>
      <c r="CU652" s="106"/>
      <c r="CV652" s="106"/>
      <c r="CW652" s="106"/>
      <c r="CX652" s="106"/>
      <c r="CY652" s="106"/>
      <c r="CZ652" s="106"/>
      <c r="DA652" s="106"/>
      <c r="DB652" s="106"/>
      <c r="DC652" s="106"/>
      <c r="DD652" s="106"/>
      <c r="DE652" s="106"/>
      <c r="DF652" s="106"/>
      <c r="DG652" s="106"/>
      <c r="DH652" s="106"/>
      <c r="DI652" s="106"/>
      <c r="DJ652" s="106"/>
      <c r="DK652" s="106"/>
      <c r="DL652" s="106"/>
      <c r="DM652" s="106"/>
      <c r="DN652" s="106"/>
      <c r="DO652" s="106"/>
      <c r="DP652" s="106"/>
      <c r="DQ652" s="106"/>
      <c r="DR652" s="106"/>
      <c r="DS652" s="106"/>
      <c r="DT652" s="106"/>
      <c r="DU652" s="106"/>
      <c r="DV652" s="106"/>
      <c r="DW652" s="106"/>
      <c r="DX652" s="106"/>
      <c r="DY652" s="106"/>
      <c r="DZ652" s="106"/>
      <c r="EA652" s="106"/>
      <c r="EB652" s="106"/>
      <c r="EC652" s="106"/>
      <c r="ED652" s="106"/>
      <c r="EE652" s="106"/>
      <c r="EF652" s="106"/>
      <c r="EG652" s="106"/>
      <c r="EH652" s="106"/>
      <c r="EI652" s="106"/>
    </row>
    <row r="653" spans="3:139" ht="15.75" customHeight="1" x14ac:dyDescent="0.25"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  <c r="CR653" s="106"/>
      <c r="CS653" s="106"/>
      <c r="CT653" s="106"/>
      <c r="CU653" s="106"/>
      <c r="CV653" s="106"/>
      <c r="CW653" s="106"/>
      <c r="CX653" s="106"/>
      <c r="CY653" s="106"/>
      <c r="CZ653" s="106"/>
      <c r="DA653" s="106"/>
      <c r="DB653" s="106"/>
      <c r="DC653" s="106"/>
      <c r="DD653" s="106"/>
      <c r="DE653" s="106"/>
      <c r="DF653" s="106"/>
      <c r="DG653" s="106"/>
      <c r="DH653" s="106"/>
      <c r="DI653" s="106"/>
      <c r="DJ653" s="106"/>
      <c r="DK653" s="106"/>
      <c r="DL653" s="106"/>
      <c r="DM653" s="106"/>
      <c r="DN653" s="106"/>
      <c r="DO653" s="106"/>
      <c r="DP653" s="106"/>
      <c r="DQ653" s="106"/>
      <c r="DR653" s="106"/>
      <c r="DS653" s="106"/>
      <c r="DT653" s="106"/>
      <c r="DU653" s="106"/>
      <c r="DV653" s="106"/>
      <c r="DW653" s="106"/>
      <c r="DX653" s="106"/>
      <c r="DY653" s="106"/>
      <c r="DZ653" s="106"/>
      <c r="EA653" s="106"/>
      <c r="EB653" s="106"/>
      <c r="EC653" s="106"/>
      <c r="ED653" s="106"/>
      <c r="EE653" s="106"/>
      <c r="EF653" s="106"/>
      <c r="EG653" s="106"/>
      <c r="EH653" s="106"/>
      <c r="EI653" s="106"/>
    </row>
    <row r="654" spans="3:139" ht="15.75" customHeight="1" x14ac:dyDescent="0.25"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  <c r="CR654" s="106"/>
      <c r="CS654" s="106"/>
      <c r="CT654" s="106"/>
      <c r="CU654" s="106"/>
      <c r="CV654" s="106"/>
      <c r="CW654" s="106"/>
      <c r="CX654" s="106"/>
      <c r="CY654" s="106"/>
      <c r="CZ654" s="106"/>
      <c r="DA654" s="106"/>
      <c r="DB654" s="106"/>
      <c r="DC654" s="106"/>
      <c r="DD654" s="106"/>
      <c r="DE654" s="106"/>
      <c r="DF654" s="106"/>
      <c r="DG654" s="106"/>
      <c r="DH654" s="106"/>
      <c r="DI654" s="106"/>
      <c r="DJ654" s="106"/>
      <c r="DK654" s="106"/>
      <c r="DL654" s="106"/>
      <c r="DM654" s="106"/>
      <c r="DN654" s="106"/>
      <c r="DO654" s="106"/>
      <c r="DP654" s="106"/>
      <c r="DQ654" s="106"/>
      <c r="DR654" s="106"/>
      <c r="DS654" s="106"/>
      <c r="DT654" s="106"/>
      <c r="DU654" s="106"/>
      <c r="DV654" s="106"/>
      <c r="DW654" s="106"/>
      <c r="DX654" s="106"/>
      <c r="DY654" s="106"/>
      <c r="DZ654" s="106"/>
      <c r="EA654" s="106"/>
      <c r="EB654" s="106"/>
      <c r="EC654" s="106"/>
      <c r="ED654" s="106"/>
      <c r="EE654" s="106"/>
      <c r="EF654" s="106"/>
      <c r="EG654" s="106"/>
      <c r="EH654" s="106"/>
      <c r="EI654" s="106"/>
    </row>
    <row r="655" spans="3:139" ht="15.75" customHeight="1" x14ac:dyDescent="0.25"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  <c r="CR655" s="106"/>
      <c r="CS655" s="106"/>
      <c r="CT655" s="106"/>
      <c r="CU655" s="106"/>
      <c r="CV655" s="106"/>
      <c r="CW655" s="106"/>
      <c r="CX655" s="106"/>
      <c r="CY655" s="106"/>
      <c r="CZ655" s="106"/>
      <c r="DA655" s="106"/>
      <c r="DB655" s="106"/>
      <c r="DC655" s="106"/>
      <c r="DD655" s="106"/>
      <c r="DE655" s="106"/>
      <c r="DF655" s="106"/>
      <c r="DG655" s="106"/>
      <c r="DH655" s="106"/>
      <c r="DI655" s="106"/>
      <c r="DJ655" s="106"/>
      <c r="DK655" s="106"/>
      <c r="DL655" s="106"/>
      <c r="DM655" s="106"/>
      <c r="DN655" s="106"/>
      <c r="DO655" s="106"/>
      <c r="DP655" s="106"/>
      <c r="DQ655" s="106"/>
      <c r="DR655" s="106"/>
      <c r="DS655" s="106"/>
      <c r="DT655" s="106"/>
      <c r="DU655" s="106"/>
      <c r="DV655" s="106"/>
      <c r="DW655" s="106"/>
      <c r="DX655" s="106"/>
      <c r="DY655" s="106"/>
      <c r="DZ655" s="106"/>
      <c r="EA655" s="106"/>
      <c r="EB655" s="106"/>
      <c r="EC655" s="106"/>
      <c r="ED655" s="106"/>
      <c r="EE655" s="106"/>
      <c r="EF655" s="106"/>
      <c r="EG655" s="106"/>
      <c r="EH655" s="106"/>
      <c r="EI655" s="106"/>
    </row>
    <row r="656" spans="3:139" ht="15.75" customHeight="1" x14ac:dyDescent="0.25"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  <c r="CR656" s="106"/>
      <c r="CS656" s="106"/>
      <c r="CT656" s="106"/>
      <c r="CU656" s="106"/>
      <c r="CV656" s="106"/>
      <c r="CW656" s="106"/>
      <c r="CX656" s="106"/>
      <c r="CY656" s="106"/>
      <c r="CZ656" s="106"/>
      <c r="DA656" s="106"/>
      <c r="DB656" s="106"/>
      <c r="DC656" s="106"/>
      <c r="DD656" s="106"/>
      <c r="DE656" s="106"/>
      <c r="DF656" s="106"/>
      <c r="DG656" s="106"/>
      <c r="DH656" s="106"/>
      <c r="DI656" s="106"/>
      <c r="DJ656" s="106"/>
      <c r="DK656" s="106"/>
      <c r="DL656" s="106"/>
      <c r="DM656" s="106"/>
      <c r="DN656" s="106"/>
      <c r="DO656" s="106"/>
      <c r="DP656" s="106"/>
      <c r="DQ656" s="106"/>
      <c r="DR656" s="106"/>
      <c r="DS656" s="106"/>
      <c r="DT656" s="106"/>
      <c r="DU656" s="106"/>
      <c r="DV656" s="106"/>
      <c r="DW656" s="106"/>
      <c r="DX656" s="106"/>
      <c r="DY656" s="106"/>
      <c r="DZ656" s="106"/>
      <c r="EA656" s="106"/>
      <c r="EB656" s="106"/>
      <c r="EC656" s="106"/>
      <c r="ED656" s="106"/>
      <c r="EE656" s="106"/>
      <c r="EF656" s="106"/>
      <c r="EG656" s="106"/>
      <c r="EH656" s="106"/>
      <c r="EI656" s="106"/>
    </row>
    <row r="657" spans="3:139" ht="15.75" customHeight="1" x14ac:dyDescent="0.25"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  <c r="CR657" s="106"/>
      <c r="CS657" s="106"/>
      <c r="CT657" s="106"/>
      <c r="CU657" s="106"/>
      <c r="CV657" s="106"/>
      <c r="CW657" s="106"/>
      <c r="CX657" s="106"/>
      <c r="CY657" s="106"/>
      <c r="CZ657" s="106"/>
      <c r="DA657" s="106"/>
      <c r="DB657" s="106"/>
      <c r="DC657" s="106"/>
      <c r="DD657" s="106"/>
      <c r="DE657" s="106"/>
      <c r="DF657" s="106"/>
      <c r="DG657" s="106"/>
      <c r="DH657" s="106"/>
      <c r="DI657" s="106"/>
      <c r="DJ657" s="106"/>
      <c r="DK657" s="106"/>
      <c r="DL657" s="106"/>
      <c r="DM657" s="106"/>
      <c r="DN657" s="106"/>
      <c r="DO657" s="106"/>
      <c r="DP657" s="106"/>
      <c r="DQ657" s="106"/>
      <c r="DR657" s="106"/>
      <c r="DS657" s="106"/>
      <c r="DT657" s="106"/>
      <c r="DU657" s="106"/>
      <c r="DV657" s="106"/>
      <c r="DW657" s="106"/>
      <c r="DX657" s="106"/>
      <c r="DY657" s="106"/>
      <c r="DZ657" s="106"/>
      <c r="EA657" s="106"/>
      <c r="EB657" s="106"/>
      <c r="EC657" s="106"/>
      <c r="ED657" s="106"/>
      <c r="EE657" s="106"/>
      <c r="EF657" s="106"/>
      <c r="EG657" s="106"/>
      <c r="EH657" s="106"/>
      <c r="EI657" s="106"/>
    </row>
    <row r="658" spans="3:139" ht="15.75" customHeight="1" x14ac:dyDescent="0.25"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  <c r="CR658" s="106"/>
      <c r="CS658" s="106"/>
      <c r="CT658" s="106"/>
      <c r="CU658" s="106"/>
      <c r="CV658" s="106"/>
      <c r="CW658" s="106"/>
      <c r="CX658" s="106"/>
      <c r="CY658" s="106"/>
      <c r="CZ658" s="106"/>
      <c r="DA658" s="106"/>
      <c r="DB658" s="106"/>
      <c r="DC658" s="106"/>
      <c r="DD658" s="106"/>
      <c r="DE658" s="106"/>
      <c r="DF658" s="106"/>
      <c r="DG658" s="106"/>
      <c r="DH658" s="106"/>
      <c r="DI658" s="106"/>
      <c r="DJ658" s="106"/>
      <c r="DK658" s="106"/>
      <c r="DL658" s="106"/>
      <c r="DM658" s="106"/>
      <c r="DN658" s="106"/>
      <c r="DO658" s="106"/>
      <c r="DP658" s="106"/>
      <c r="DQ658" s="106"/>
      <c r="DR658" s="106"/>
      <c r="DS658" s="106"/>
      <c r="DT658" s="106"/>
      <c r="DU658" s="106"/>
      <c r="DV658" s="106"/>
      <c r="DW658" s="106"/>
      <c r="DX658" s="106"/>
      <c r="DY658" s="106"/>
      <c r="DZ658" s="106"/>
      <c r="EA658" s="106"/>
      <c r="EB658" s="106"/>
      <c r="EC658" s="106"/>
      <c r="ED658" s="106"/>
      <c r="EE658" s="106"/>
      <c r="EF658" s="106"/>
      <c r="EG658" s="106"/>
      <c r="EH658" s="106"/>
      <c r="EI658" s="106"/>
    </row>
    <row r="659" spans="3:139" ht="15.75" customHeight="1" x14ac:dyDescent="0.25"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  <c r="CR659" s="106"/>
      <c r="CS659" s="106"/>
      <c r="CT659" s="106"/>
      <c r="CU659" s="106"/>
      <c r="CV659" s="106"/>
      <c r="CW659" s="106"/>
      <c r="CX659" s="106"/>
      <c r="CY659" s="106"/>
      <c r="CZ659" s="106"/>
      <c r="DA659" s="106"/>
      <c r="DB659" s="106"/>
      <c r="DC659" s="106"/>
      <c r="DD659" s="106"/>
      <c r="DE659" s="106"/>
      <c r="DF659" s="106"/>
      <c r="DG659" s="106"/>
      <c r="DH659" s="106"/>
      <c r="DI659" s="106"/>
      <c r="DJ659" s="106"/>
      <c r="DK659" s="106"/>
      <c r="DL659" s="106"/>
      <c r="DM659" s="106"/>
      <c r="DN659" s="106"/>
      <c r="DO659" s="106"/>
      <c r="DP659" s="106"/>
      <c r="DQ659" s="106"/>
      <c r="DR659" s="106"/>
      <c r="DS659" s="106"/>
      <c r="DT659" s="106"/>
      <c r="DU659" s="106"/>
      <c r="DV659" s="106"/>
      <c r="DW659" s="106"/>
      <c r="DX659" s="106"/>
      <c r="DY659" s="106"/>
      <c r="DZ659" s="106"/>
      <c r="EA659" s="106"/>
      <c r="EB659" s="106"/>
      <c r="EC659" s="106"/>
      <c r="ED659" s="106"/>
      <c r="EE659" s="106"/>
      <c r="EF659" s="106"/>
      <c r="EG659" s="106"/>
      <c r="EH659" s="106"/>
      <c r="EI659" s="106"/>
    </row>
    <row r="660" spans="3:139" ht="15.75" customHeight="1" x14ac:dyDescent="0.25"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  <c r="CR660" s="106"/>
      <c r="CS660" s="106"/>
      <c r="CT660" s="106"/>
      <c r="CU660" s="106"/>
      <c r="CV660" s="106"/>
      <c r="CW660" s="106"/>
      <c r="CX660" s="106"/>
      <c r="CY660" s="106"/>
      <c r="CZ660" s="106"/>
      <c r="DA660" s="106"/>
      <c r="DB660" s="106"/>
      <c r="DC660" s="106"/>
      <c r="DD660" s="106"/>
      <c r="DE660" s="106"/>
      <c r="DF660" s="106"/>
      <c r="DG660" s="106"/>
      <c r="DH660" s="106"/>
      <c r="DI660" s="106"/>
      <c r="DJ660" s="106"/>
      <c r="DK660" s="106"/>
      <c r="DL660" s="106"/>
      <c r="DM660" s="106"/>
      <c r="DN660" s="106"/>
      <c r="DO660" s="106"/>
      <c r="DP660" s="106"/>
      <c r="DQ660" s="106"/>
      <c r="DR660" s="106"/>
      <c r="DS660" s="106"/>
      <c r="DT660" s="106"/>
      <c r="DU660" s="106"/>
      <c r="DV660" s="106"/>
      <c r="DW660" s="106"/>
      <c r="DX660" s="106"/>
      <c r="DY660" s="106"/>
      <c r="DZ660" s="106"/>
      <c r="EA660" s="106"/>
      <c r="EB660" s="106"/>
      <c r="EC660" s="106"/>
      <c r="ED660" s="106"/>
      <c r="EE660" s="106"/>
      <c r="EF660" s="106"/>
      <c r="EG660" s="106"/>
      <c r="EH660" s="106"/>
      <c r="EI660" s="106"/>
    </row>
    <row r="661" spans="3:139" ht="15.75" customHeight="1" x14ac:dyDescent="0.25"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  <c r="CR661" s="106"/>
      <c r="CS661" s="106"/>
      <c r="CT661" s="106"/>
      <c r="CU661" s="106"/>
      <c r="CV661" s="106"/>
      <c r="CW661" s="106"/>
      <c r="CX661" s="106"/>
      <c r="CY661" s="106"/>
      <c r="CZ661" s="106"/>
      <c r="DA661" s="106"/>
      <c r="DB661" s="106"/>
      <c r="DC661" s="106"/>
      <c r="DD661" s="106"/>
      <c r="DE661" s="106"/>
      <c r="DF661" s="106"/>
      <c r="DG661" s="106"/>
      <c r="DH661" s="106"/>
      <c r="DI661" s="106"/>
      <c r="DJ661" s="106"/>
      <c r="DK661" s="106"/>
      <c r="DL661" s="106"/>
      <c r="DM661" s="106"/>
      <c r="DN661" s="106"/>
      <c r="DO661" s="106"/>
      <c r="DP661" s="106"/>
      <c r="DQ661" s="106"/>
      <c r="DR661" s="106"/>
      <c r="DS661" s="106"/>
      <c r="DT661" s="106"/>
      <c r="DU661" s="106"/>
      <c r="DV661" s="106"/>
      <c r="DW661" s="106"/>
      <c r="DX661" s="106"/>
      <c r="DY661" s="106"/>
      <c r="DZ661" s="106"/>
      <c r="EA661" s="106"/>
      <c r="EB661" s="106"/>
      <c r="EC661" s="106"/>
      <c r="ED661" s="106"/>
      <c r="EE661" s="106"/>
      <c r="EF661" s="106"/>
      <c r="EG661" s="106"/>
      <c r="EH661" s="106"/>
      <c r="EI661" s="106"/>
    </row>
    <row r="662" spans="3:139" ht="15.75" customHeight="1" x14ac:dyDescent="0.25"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  <c r="CR662" s="106"/>
      <c r="CS662" s="106"/>
      <c r="CT662" s="106"/>
      <c r="CU662" s="106"/>
      <c r="CV662" s="106"/>
      <c r="CW662" s="106"/>
      <c r="CX662" s="106"/>
      <c r="CY662" s="106"/>
      <c r="CZ662" s="106"/>
      <c r="DA662" s="106"/>
      <c r="DB662" s="106"/>
      <c r="DC662" s="106"/>
      <c r="DD662" s="106"/>
      <c r="DE662" s="106"/>
      <c r="DF662" s="106"/>
      <c r="DG662" s="106"/>
      <c r="DH662" s="106"/>
      <c r="DI662" s="106"/>
      <c r="DJ662" s="106"/>
      <c r="DK662" s="106"/>
      <c r="DL662" s="106"/>
      <c r="DM662" s="106"/>
      <c r="DN662" s="106"/>
      <c r="DO662" s="106"/>
      <c r="DP662" s="106"/>
      <c r="DQ662" s="106"/>
      <c r="DR662" s="106"/>
      <c r="DS662" s="106"/>
      <c r="DT662" s="106"/>
      <c r="DU662" s="106"/>
      <c r="DV662" s="106"/>
      <c r="DW662" s="106"/>
      <c r="DX662" s="106"/>
      <c r="DY662" s="106"/>
      <c r="DZ662" s="106"/>
      <c r="EA662" s="106"/>
      <c r="EB662" s="106"/>
      <c r="EC662" s="106"/>
      <c r="ED662" s="106"/>
      <c r="EE662" s="106"/>
      <c r="EF662" s="106"/>
      <c r="EG662" s="106"/>
      <c r="EH662" s="106"/>
      <c r="EI662" s="106"/>
    </row>
    <row r="663" spans="3:139" ht="15.75" customHeight="1" x14ac:dyDescent="0.25"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  <c r="CR663" s="106"/>
      <c r="CS663" s="106"/>
      <c r="CT663" s="106"/>
      <c r="CU663" s="106"/>
      <c r="CV663" s="106"/>
      <c r="CW663" s="106"/>
      <c r="CX663" s="106"/>
      <c r="CY663" s="106"/>
      <c r="CZ663" s="106"/>
      <c r="DA663" s="106"/>
      <c r="DB663" s="106"/>
      <c r="DC663" s="106"/>
      <c r="DD663" s="106"/>
      <c r="DE663" s="106"/>
      <c r="DF663" s="106"/>
      <c r="DG663" s="106"/>
      <c r="DH663" s="106"/>
      <c r="DI663" s="106"/>
      <c r="DJ663" s="106"/>
      <c r="DK663" s="106"/>
      <c r="DL663" s="106"/>
      <c r="DM663" s="106"/>
      <c r="DN663" s="106"/>
      <c r="DO663" s="106"/>
      <c r="DP663" s="106"/>
      <c r="DQ663" s="106"/>
      <c r="DR663" s="106"/>
      <c r="DS663" s="106"/>
      <c r="DT663" s="106"/>
      <c r="DU663" s="106"/>
      <c r="DV663" s="106"/>
      <c r="DW663" s="106"/>
      <c r="DX663" s="106"/>
      <c r="DY663" s="106"/>
      <c r="DZ663" s="106"/>
      <c r="EA663" s="106"/>
      <c r="EB663" s="106"/>
      <c r="EC663" s="106"/>
      <c r="ED663" s="106"/>
      <c r="EE663" s="106"/>
      <c r="EF663" s="106"/>
      <c r="EG663" s="106"/>
      <c r="EH663" s="106"/>
      <c r="EI663" s="106"/>
    </row>
    <row r="664" spans="3:139" ht="15.75" customHeight="1" x14ac:dyDescent="0.25"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  <c r="CR664" s="106"/>
      <c r="CS664" s="106"/>
      <c r="CT664" s="106"/>
      <c r="CU664" s="106"/>
      <c r="CV664" s="106"/>
      <c r="CW664" s="106"/>
      <c r="CX664" s="106"/>
      <c r="CY664" s="106"/>
      <c r="CZ664" s="106"/>
      <c r="DA664" s="106"/>
      <c r="DB664" s="106"/>
      <c r="DC664" s="106"/>
      <c r="DD664" s="106"/>
      <c r="DE664" s="106"/>
      <c r="DF664" s="106"/>
      <c r="DG664" s="106"/>
      <c r="DH664" s="106"/>
      <c r="DI664" s="106"/>
      <c r="DJ664" s="106"/>
      <c r="DK664" s="106"/>
      <c r="DL664" s="106"/>
      <c r="DM664" s="106"/>
      <c r="DN664" s="106"/>
      <c r="DO664" s="106"/>
      <c r="DP664" s="106"/>
      <c r="DQ664" s="106"/>
      <c r="DR664" s="106"/>
      <c r="DS664" s="106"/>
      <c r="DT664" s="106"/>
      <c r="DU664" s="106"/>
      <c r="DV664" s="106"/>
      <c r="DW664" s="106"/>
      <c r="DX664" s="106"/>
      <c r="DY664" s="106"/>
      <c r="DZ664" s="106"/>
      <c r="EA664" s="106"/>
      <c r="EB664" s="106"/>
      <c r="EC664" s="106"/>
      <c r="ED664" s="106"/>
      <c r="EE664" s="106"/>
      <c r="EF664" s="106"/>
      <c r="EG664" s="106"/>
      <c r="EH664" s="106"/>
      <c r="EI664" s="106"/>
    </row>
    <row r="665" spans="3:139" ht="15.75" customHeight="1" x14ac:dyDescent="0.25"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  <c r="CR665" s="106"/>
      <c r="CS665" s="106"/>
      <c r="CT665" s="106"/>
      <c r="CU665" s="106"/>
      <c r="CV665" s="106"/>
      <c r="CW665" s="106"/>
      <c r="CX665" s="106"/>
      <c r="CY665" s="106"/>
      <c r="CZ665" s="106"/>
      <c r="DA665" s="106"/>
      <c r="DB665" s="106"/>
      <c r="DC665" s="106"/>
      <c r="DD665" s="106"/>
      <c r="DE665" s="106"/>
      <c r="DF665" s="106"/>
      <c r="DG665" s="106"/>
      <c r="DH665" s="106"/>
      <c r="DI665" s="106"/>
      <c r="DJ665" s="106"/>
      <c r="DK665" s="106"/>
      <c r="DL665" s="106"/>
      <c r="DM665" s="106"/>
      <c r="DN665" s="106"/>
      <c r="DO665" s="106"/>
      <c r="DP665" s="106"/>
      <c r="DQ665" s="106"/>
      <c r="DR665" s="106"/>
      <c r="DS665" s="106"/>
      <c r="DT665" s="106"/>
      <c r="DU665" s="106"/>
      <c r="DV665" s="106"/>
      <c r="DW665" s="106"/>
      <c r="DX665" s="106"/>
      <c r="DY665" s="106"/>
      <c r="DZ665" s="106"/>
      <c r="EA665" s="106"/>
      <c r="EB665" s="106"/>
      <c r="EC665" s="106"/>
      <c r="ED665" s="106"/>
      <c r="EE665" s="106"/>
      <c r="EF665" s="106"/>
      <c r="EG665" s="106"/>
      <c r="EH665" s="106"/>
      <c r="EI665" s="106"/>
    </row>
    <row r="666" spans="3:139" ht="15.75" customHeight="1" x14ac:dyDescent="0.25"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  <c r="CR666" s="106"/>
      <c r="CS666" s="106"/>
      <c r="CT666" s="106"/>
      <c r="CU666" s="106"/>
      <c r="CV666" s="106"/>
      <c r="CW666" s="106"/>
      <c r="CX666" s="106"/>
      <c r="CY666" s="106"/>
      <c r="CZ666" s="106"/>
      <c r="DA666" s="106"/>
      <c r="DB666" s="106"/>
      <c r="DC666" s="106"/>
      <c r="DD666" s="106"/>
      <c r="DE666" s="106"/>
      <c r="DF666" s="106"/>
      <c r="DG666" s="106"/>
      <c r="DH666" s="106"/>
      <c r="DI666" s="106"/>
      <c r="DJ666" s="106"/>
      <c r="DK666" s="106"/>
      <c r="DL666" s="106"/>
      <c r="DM666" s="106"/>
      <c r="DN666" s="106"/>
      <c r="DO666" s="106"/>
      <c r="DP666" s="106"/>
      <c r="DQ666" s="106"/>
      <c r="DR666" s="106"/>
      <c r="DS666" s="106"/>
      <c r="DT666" s="106"/>
      <c r="DU666" s="106"/>
      <c r="DV666" s="106"/>
      <c r="DW666" s="106"/>
      <c r="DX666" s="106"/>
      <c r="DY666" s="106"/>
      <c r="DZ666" s="106"/>
      <c r="EA666" s="106"/>
      <c r="EB666" s="106"/>
      <c r="EC666" s="106"/>
      <c r="ED666" s="106"/>
      <c r="EE666" s="106"/>
      <c r="EF666" s="106"/>
      <c r="EG666" s="106"/>
      <c r="EH666" s="106"/>
      <c r="EI666" s="106"/>
    </row>
    <row r="667" spans="3:139" ht="15.75" customHeight="1" x14ac:dyDescent="0.25"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  <c r="CR667" s="106"/>
      <c r="CS667" s="106"/>
      <c r="CT667" s="106"/>
      <c r="CU667" s="106"/>
      <c r="CV667" s="106"/>
      <c r="CW667" s="106"/>
      <c r="CX667" s="106"/>
      <c r="CY667" s="106"/>
      <c r="CZ667" s="106"/>
      <c r="DA667" s="106"/>
      <c r="DB667" s="106"/>
      <c r="DC667" s="106"/>
      <c r="DD667" s="106"/>
      <c r="DE667" s="106"/>
      <c r="DF667" s="106"/>
      <c r="DG667" s="106"/>
      <c r="DH667" s="106"/>
      <c r="DI667" s="106"/>
      <c r="DJ667" s="106"/>
      <c r="DK667" s="106"/>
      <c r="DL667" s="106"/>
      <c r="DM667" s="106"/>
      <c r="DN667" s="106"/>
      <c r="DO667" s="106"/>
      <c r="DP667" s="106"/>
      <c r="DQ667" s="106"/>
      <c r="DR667" s="106"/>
      <c r="DS667" s="106"/>
      <c r="DT667" s="106"/>
      <c r="DU667" s="106"/>
      <c r="DV667" s="106"/>
      <c r="DW667" s="106"/>
      <c r="DX667" s="106"/>
      <c r="DY667" s="106"/>
      <c r="DZ667" s="106"/>
      <c r="EA667" s="106"/>
      <c r="EB667" s="106"/>
      <c r="EC667" s="106"/>
      <c r="ED667" s="106"/>
      <c r="EE667" s="106"/>
      <c r="EF667" s="106"/>
      <c r="EG667" s="106"/>
      <c r="EH667" s="106"/>
      <c r="EI667" s="106"/>
    </row>
    <row r="668" spans="3:139" ht="15.75" customHeight="1" x14ac:dyDescent="0.25"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  <c r="CR668" s="106"/>
      <c r="CS668" s="106"/>
      <c r="CT668" s="106"/>
      <c r="CU668" s="106"/>
      <c r="CV668" s="106"/>
      <c r="CW668" s="106"/>
      <c r="CX668" s="106"/>
      <c r="CY668" s="106"/>
      <c r="CZ668" s="106"/>
      <c r="DA668" s="106"/>
      <c r="DB668" s="106"/>
      <c r="DC668" s="106"/>
      <c r="DD668" s="106"/>
      <c r="DE668" s="106"/>
      <c r="DF668" s="106"/>
      <c r="DG668" s="106"/>
      <c r="DH668" s="106"/>
      <c r="DI668" s="106"/>
      <c r="DJ668" s="106"/>
      <c r="DK668" s="106"/>
      <c r="DL668" s="106"/>
      <c r="DM668" s="106"/>
      <c r="DN668" s="106"/>
      <c r="DO668" s="106"/>
      <c r="DP668" s="106"/>
      <c r="DQ668" s="106"/>
      <c r="DR668" s="106"/>
      <c r="DS668" s="106"/>
      <c r="DT668" s="106"/>
      <c r="DU668" s="106"/>
      <c r="DV668" s="106"/>
      <c r="DW668" s="106"/>
      <c r="DX668" s="106"/>
      <c r="DY668" s="106"/>
      <c r="DZ668" s="106"/>
      <c r="EA668" s="106"/>
      <c r="EB668" s="106"/>
      <c r="EC668" s="106"/>
      <c r="ED668" s="106"/>
      <c r="EE668" s="106"/>
      <c r="EF668" s="106"/>
      <c r="EG668" s="106"/>
      <c r="EH668" s="106"/>
      <c r="EI668" s="106"/>
    </row>
    <row r="669" spans="3:139" ht="15.75" customHeight="1" x14ac:dyDescent="0.25"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  <c r="CR669" s="106"/>
      <c r="CS669" s="106"/>
      <c r="CT669" s="106"/>
      <c r="CU669" s="106"/>
      <c r="CV669" s="106"/>
      <c r="CW669" s="106"/>
      <c r="CX669" s="106"/>
      <c r="CY669" s="106"/>
      <c r="CZ669" s="106"/>
      <c r="DA669" s="106"/>
      <c r="DB669" s="106"/>
      <c r="DC669" s="106"/>
      <c r="DD669" s="106"/>
      <c r="DE669" s="106"/>
      <c r="DF669" s="106"/>
      <c r="DG669" s="106"/>
      <c r="DH669" s="106"/>
      <c r="DI669" s="106"/>
      <c r="DJ669" s="106"/>
      <c r="DK669" s="106"/>
      <c r="DL669" s="106"/>
      <c r="DM669" s="106"/>
      <c r="DN669" s="106"/>
      <c r="DO669" s="106"/>
      <c r="DP669" s="106"/>
      <c r="DQ669" s="106"/>
      <c r="DR669" s="106"/>
      <c r="DS669" s="106"/>
      <c r="DT669" s="106"/>
      <c r="DU669" s="106"/>
      <c r="DV669" s="106"/>
      <c r="DW669" s="106"/>
      <c r="DX669" s="106"/>
      <c r="DY669" s="106"/>
      <c r="DZ669" s="106"/>
      <c r="EA669" s="106"/>
      <c r="EB669" s="106"/>
      <c r="EC669" s="106"/>
      <c r="ED669" s="106"/>
      <c r="EE669" s="106"/>
      <c r="EF669" s="106"/>
      <c r="EG669" s="106"/>
      <c r="EH669" s="106"/>
      <c r="EI669" s="106"/>
    </row>
    <row r="670" spans="3:139" ht="15.75" customHeight="1" x14ac:dyDescent="0.25"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  <c r="CR670" s="106"/>
      <c r="CS670" s="106"/>
      <c r="CT670" s="106"/>
      <c r="CU670" s="106"/>
      <c r="CV670" s="106"/>
      <c r="CW670" s="106"/>
      <c r="CX670" s="106"/>
      <c r="CY670" s="106"/>
      <c r="CZ670" s="106"/>
      <c r="DA670" s="106"/>
      <c r="DB670" s="106"/>
      <c r="DC670" s="106"/>
      <c r="DD670" s="106"/>
      <c r="DE670" s="106"/>
      <c r="DF670" s="106"/>
      <c r="DG670" s="106"/>
      <c r="DH670" s="106"/>
      <c r="DI670" s="106"/>
      <c r="DJ670" s="106"/>
      <c r="DK670" s="106"/>
      <c r="DL670" s="106"/>
      <c r="DM670" s="106"/>
      <c r="DN670" s="106"/>
      <c r="DO670" s="106"/>
      <c r="DP670" s="106"/>
      <c r="DQ670" s="106"/>
      <c r="DR670" s="106"/>
      <c r="DS670" s="106"/>
      <c r="DT670" s="106"/>
      <c r="DU670" s="106"/>
      <c r="DV670" s="106"/>
      <c r="DW670" s="106"/>
      <c r="DX670" s="106"/>
      <c r="DY670" s="106"/>
      <c r="DZ670" s="106"/>
      <c r="EA670" s="106"/>
      <c r="EB670" s="106"/>
      <c r="EC670" s="106"/>
      <c r="ED670" s="106"/>
      <c r="EE670" s="106"/>
      <c r="EF670" s="106"/>
      <c r="EG670" s="106"/>
      <c r="EH670" s="106"/>
      <c r="EI670" s="106"/>
    </row>
    <row r="671" spans="3:139" ht="15.75" customHeight="1" x14ac:dyDescent="0.25"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  <c r="CR671" s="106"/>
      <c r="CS671" s="106"/>
      <c r="CT671" s="106"/>
      <c r="CU671" s="106"/>
      <c r="CV671" s="106"/>
      <c r="CW671" s="106"/>
      <c r="CX671" s="106"/>
      <c r="CY671" s="106"/>
      <c r="CZ671" s="106"/>
      <c r="DA671" s="106"/>
      <c r="DB671" s="106"/>
      <c r="DC671" s="106"/>
      <c r="DD671" s="106"/>
      <c r="DE671" s="106"/>
      <c r="DF671" s="106"/>
      <c r="DG671" s="106"/>
      <c r="DH671" s="106"/>
      <c r="DI671" s="106"/>
      <c r="DJ671" s="106"/>
      <c r="DK671" s="106"/>
      <c r="DL671" s="106"/>
      <c r="DM671" s="106"/>
      <c r="DN671" s="106"/>
      <c r="DO671" s="106"/>
      <c r="DP671" s="106"/>
      <c r="DQ671" s="106"/>
      <c r="DR671" s="106"/>
      <c r="DS671" s="106"/>
      <c r="DT671" s="106"/>
      <c r="DU671" s="106"/>
      <c r="DV671" s="106"/>
      <c r="DW671" s="106"/>
      <c r="DX671" s="106"/>
      <c r="DY671" s="106"/>
      <c r="DZ671" s="106"/>
      <c r="EA671" s="106"/>
      <c r="EB671" s="106"/>
      <c r="EC671" s="106"/>
      <c r="ED671" s="106"/>
      <c r="EE671" s="106"/>
      <c r="EF671" s="106"/>
      <c r="EG671" s="106"/>
      <c r="EH671" s="106"/>
      <c r="EI671" s="106"/>
    </row>
    <row r="672" spans="3:139" ht="15.75" customHeight="1" x14ac:dyDescent="0.25"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  <c r="CR672" s="106"/>
      <c r="CS672" s="106"/>
      <c r="CT672" s="106"/>
      <c r="CU672" s="106"/>
      <c r="CV672" s="106"/>
      <c r="CW672" s="106"/>
      <c r="CX672" s="106"/>
      <c r="CY672" s="106"/>
      <c r="CZ672" s="106"/>
      <c r="DA672" s="106"/>
      <c r="DB672" s="106"/>
      <c r="DC672" s="106"/>
      <c r="DD672" s="106"/>
      <c r="DE672" s="106"/>
      <c r="DF672" s="106"/>
      <c r="DG672" s="106"/>
      <c r="DH672" s="106"/>
      <c r="DI672" s="106"/>
      <c r="DJ672" s="106"/>
      <c r="DK672" s="106"/>
      <c r="DL672" s="106"/>
      <c r="DM672" s="106"/>
      <c r="DN672" s="106"/>
      <c r="DO672" s="106"/>
      <c r="DP672" s="106"/>
      <c r="DQ672" s="106"/>
      <c r="DR672" s="106"/>
      <c r="DS672" s="106"/>
      <c r="DT672" s="106"/>
      <c r="DU672" s="106"/>
      <c r="DV672" s="106"/>
      <c r="DW672" s="106"/>
      <c r="DX672" s="106"/>
      <c r="DY672" s="106"/>
      <c r="DZ672" s="106"/>
      <c r="EA672" s="106"/>
      <c r="EB672" s="106"/>
      <c r="EC672" s="106"/>
      <c r="ED672" s="106"/>
      <c r="EE672" s="106"/>
      <c r="EF672" s="106"/>
      <c r="EG672" s="106"/>
      <c r="EH672" s="106"/>
      <c r="EI672" s="106"/>
    </row>
    <row r="673" spans="3:139" ht="15.75" customHeight="1" x14ac:dyDescent="0.25"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  <c r="CR673" s="106"/>
      <c r="CS673" s="106"/>
      <c r="CT673" s="106"/>
      <c r="CU673" s="106"/>
      <c r="CV673" s="106"/>
      <c r="CW673" s="106"/>
      <c r="CX673" s="106"/>
      <c r="CY673" s="106"/>
      <c r="CZ673" s="106"/>
      <c r="DA673" s="106"/>
      <c r="DB673" s="106"/>
      <c r="DC673" s="106"/>
      <c r="DD673" s="106"/>
      <c r="DE673" s="106"/>
      <c r="DF673" s="106"/>
      <c r="DG673" s="106"/>
      <c r="DH673" s="106"/>
      <c r="DI673" s="106"/>
      <c r="DJ673" s="106"/>
      <c r="DK673" s="106"/>
      <c r="DL673" s="106"/>
      <c r="DM673" s="106"/>
      <c r="DN673" s="106"/>
      <c r="DO673" s="106"/>
      <c r="DP673" s="106"/>
      <c r="DQ673" s="106"/>
      <c r="DR673" s="106"/>
      <c r="DS673" s="106"/>
      <c r="DT673" s="106"/>
      <c r="DU673" s="106"/>
      <c r="DV673" s="106"/>
      <c r="DW673" s="106"/>
      <c r="DX673" s="106"/>
      <c r="DY673" s="106"/>
      <c r="DZ673" s="106"/>
      <c r="EA673" s="106"/>
      <c r="EB673" s="106"/>
      <c r="EC673" s="106"/>
      <c r="ED673" s="106"/>
      <c r="EE673" s="106"/>
      <c r="EF673" s="106"/>
      <c r="EG673" s="106"/>
      <c r="EH673" s="106"/>
      <c r="EI673" s="106"/>
    </row>
    <row r="674" spans="3:139" ht="15.75" customHeight="1" x14ac:dyDescent="0.25"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  <c r="CR674" s="106"/>
      <c r="CS674" s="106"/>
      <c r="CT674" s="106"/>
      <c r="CU674" s="106"/>
      <c r="CV674" s="106"/>
      <c r="CW674" s="106"/>
      <c r="CX674" s="106"/>
      <c r="CY674" s="106"/>
      <c r="CZ674" s="106"/>
      <c r="DA674" s="106"/>
      <c r="DB674" s="106"/>
      <c r="DC674" s="106"/>
      <c r="DD674" s="106"/>
      <c r="DE674" s="106"/>
      <c r="DF674" s="106"/>
      <c r="DG674" s="106"/>
      <c r="DH674" s="106"/>
      <c r="DI674" s="106"/>
      <c r="DJ674" s="106"/>
      <c r="DK674" s="106"/>
      <c r="DL674" s="106"/>
      <c r="DM674" s="106"/>
      <c r="DN674" s="106"/>
      <c r="DO674" s="106"/>
      <c r="DP674" s="106"/>
      <c r="DQ674" s="106"/>
      <c r="DR674" s="106"/>
      <c r="DS674" s="106"/>
      <c r="DT674" s="106"/>
      <c r="DU674" s="106"/>
      <c r="DV674" s="106"/>
      <c r="DW674" s="106"/>
      <c r="DX674" s="106"/>
      <c r="DY674" s="106"/>
      <c r="DZ674" s="106"/>
      <c r="EA674" s="106"/>
      <c r="EB674" s="106"/>
      <c r="EC674" s="106"/>
      <c r="ED674" s="106"/>
      <c r="EE674" s="106"/>
      <c r="EF674" s="106"/>
      <c r="EG674" s="106"/>
      <c r="EH674" s="106"/>
      <c r="EI674" s="106"/>
    </row>
    <row r="675" spans="3:139" ht="15.75" customHeight="1" x14ac:dyDescent="0.25"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  <c r="CR675" s="106"/>
      <c r="CS675" s="106"/>
      <c r="CT675" s="106"/>
      <c r="CU675" s="106"/>
      <c r="CV675" s="106"/>
      <c r="CW675" s="106"/>
      <c r="CX675" s="106"/>
      <c r="CY675" s="106"/>
      <c r="CZ675" s="106"/>
      <c r="DA675" s="106"/>
      <c r="DB675" s="106"/>
      <c r="DC675" s="106"/>
      <c r="DD675" s="106"/>
      <c r="DE675" s="106"/>
      <c r="DF675" s="106"/>
      <c r="DG675" s="106"/>
      <c r="DH675" s="106"/>
      <c r="DI675" s="106"/>
      <c r="DJ675" s="106"/>
      <c r="DK675" s="106"/>
      <c r="DL675" s="106"/>
      <c r="DM675" s="106"/>
      <c r="DN675" s="106"/>
      <c r="DO675" s="106"/>
      <c r="DP675" s="106"/>
      <c r="DQ675" s="106"/>
      <c r="DR675" s="106"/>
      <c r="DS675" s="106"/>
      <c r="DT675" s="106"/>
      <c r="DU675" s="106"/>
      <c r="DV675" s="106"/>
      <c r="DW675" s="106"/>
      <c r="DX675" s="106"/>
      <c r="DY675" s="106"/>
      <c r="DZ675" s="106"/>
      <c r="EA675" s="106"/>
      <c r="EB675" s="106"/>
      <c r="EC675" s="106"/>
      <c r="ED675" s="106"/>
      <c r="EE675" s="106"/>
      <c r="EF675" s="106"/>
      <c r="EG675" s="106"/>
      <c r="EH675" s="106"/>
      <c r="EI675" s="106"/>
    </row>
    <row r="676" spans="3:139" ht="15.75" customHeight="1" x14ac:dyDescent="0.25"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  <c r="CR676" s="106"/>
      <c r="CS676" s="106"/>
      <c r="CT676" s="106"/>
      <c r="CU676" s="106"/>
      <c r="CV676" s="106"/>
      <c r="CW676" s="106"/>
      <c r="CX676" s="106"/>
      <c r="CY676" s="106"/>
      <c r="CZ676" s="106"/>
      <c r="DA676" s="106"/>
      <c r="DB676" s="106"/>
      <c r="DC676" s="106"/>
      <c r="DD676" s="106"/>
      <c r="DE676" s="106"/>
      <c r="DF676" s="106"/>
      <c r="DG676" s="106"/>
      <c r="DH676" s="106"/>
      <c r="DI676" s="106"/>
      <c r="DJ676" s="106"/>
      <c r="DK676" s="106"/>
      <c r="DL676" s="106"/>
      <c r="DM676" s="106"/>
      <c r="DN676" s="106"/>
      <c r="DO676" s="106"/>
      <c r="DP676" s="106"/>
      <c r="DQ676" s="106"/>
      <c r="DR676" s="106"/>
      <c r="DS676" s="106"/>
      <c r="DT676" s="106"/>
      <c r="DU676" s="106"/>
      <c r="DV676" s="106"/>
      <c r="DW676" s="106"/>
      <c r="DX676" s="106"/>
      <c r="DY676" s="106"/>
      <c r="DZ676" s="106"/>
      <c r="EA676" s="106"/>
      <c r="EB676" s="106"/>
      <c r="EC676" s="106"/>
      <c r="ED676" s="106"/>
      <c r="EE676" s="106"/>
      <c r="EF676" s="106"/>
      <c r="EG676" s="106"/>
      <c r="EH676" s="106"/>
      <c r="EI676" s="106"/>
    </row>
    <row r="677" spans="3:139" ht="15.75" customHeight="1" x14ac:dyDescent="0.25"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  <c r="CZ677" s="106"/>
      <c r="DA677" s="106"/>
      <c r="DB677" s="106"/>
      <c r="DC677" s="106"/>
      <c r="DD677" s="106"/>
      <c r="DE677" s="106"/>
      <c r="DF677" s="106"/>
      <c r="DG677" s="106"/>
      <c r="DH677" s="106"/>
      <c r="DI677" s="106"/>
      <c r="DJ677" s="106"/>
      <c r="DK677" s="106"/>
      <c r="DL677" s="106"/>
      <c r="DM677" s="106"/>
      <c r="DN677" s="106"/>
      <c r="DO677" s="106"/>
      <c r="DP677" s="106"/>
      <c r="DQ677" s="106"/>
      <c r="DR677" s="106"/>
      <c r="DS677" s="106"/>
      <c r="DT677" s="106"/>
      <c r="DU677" s="106"/>
      <c r="DV677" s="106"/>
      <c r="DW677" s="106"/>
      <c r="DX677" s="106"/>
      <c r="DY677" s="106"/>
      <c r="DZ677" s="106"/>
      <c r="EA677" s="106"/>
      <c r="EB677" s="106"/>
      <c r="EC677" s="106"/>
      <c r="ED677" s="106"/>
      <c r="EE677" s="106"/>
      <c r="EF677" s="106"/>
      <c r="EG677" s="106"/>
      <c r="EH677" s="106"/>
      <c r="EI677" s="106"/>
    </row>
    <row r="678" spans="3:139" ht="15.75" customHeight="1" x14ac:dyDescent="0.25"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  <c r="CZ678" s="106"/>
      <c r="DA678" s="106"/>
      <c r="DB678" s="106"/>
      <c r="DC678" s="106"/>
      <c r="DD678" s="106"/>
      <c r="DE678" s="106"/>
      <c r="DF678" s="106"/>
      <c r="DG678" s="106"/>
      <c r="DH678" s="106"/>
      <c r="DI678" s="106"/>
      <c r="DJ678" s="106"/>
      <c r="DK678" s="106"/>
      <c r="DL678" s="106"/>
      <c r="DM678" s="106"/>
      <c r="DN678" s="106"/>
      <c r="DO678" s="106"/>
      <c r="DP678" s="106"/>
      <c r="DQ678" s="106"/>
      <c r="DR678" s="106"/>
      <c r="DS678" s="106"/>
      <c r="DT678" s="106"/>
      <c r="DU678" s="106"/>
      <c r="DV678" s="106"/>
      <c r="DW678" s="106"/>
      <c r="DX678" s="106"/>
      <c r="DY678" s="106"/>
      <c r="DZ678" s="106"/>
      <c r="EA678" s="106"/>
      <c r="EB678" s="106"/>
      <c r="EC678" s="106"/>
      <c r="ED678" s="106"/>
      <c r="EE678" s="106"/>
      <c r="EF678" s="106"/>
      <c r="EG678" s="106"/>
      <c r="EH678" s="106"/>
      <c r="EI678" s="106"/>
    </row>
    <row r="679" spans="3:139" ht="15.75" customHeight="1" x14ac:dyDescent="0.25"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  <c r="CR679" s="106"/>
      <c r="CS679" s="106"/>
      <c r="CT679" s="106"/>
      <c r="CU679" s="106"/>
      <c r="CV679" s="106"/>
      <c r="CW679" s="106"/>
      <c r="CX679" s="106"/>
      <c r="CY679" s="106"/>
      <c r="CZ679" s="106"/>
      <c r="DA679" s="106"/>
      <c r="DB679" s="106"/>
      <c r="DC679" s="106"/>
      <c r="DD679" s="106"/>
      <c r="DE679" s="106"/>
      <c r="DF679" s="106"/>
      <c r="DG679" s="106"/>
      <c r="DH679" s="106"/>
      <c r="DI679" s="106"/>
      <c r="DJ679" s="106"/>
      <c r="DK679" s="106"/>
      <c r="DL679" s="106"/>
      <c r="DM679" s="106"/>
      <c r="DN679" s="106"/>
      <c r="DO679" s="106"/>
      <c r="DP679" s="106"/>
      <c r="DQ679" s="106"/>
      <c r="DR679" s="106"/>
      <c r="DS679" s="106"/>
      <c r="DT679" s="106"/>
      <c r="DU679" s="106"/>
      <c r="DV679" s="106"/>
      <c r="DW679" s="106"/>
      <c r="DX679" s="106"/>
      <c r="DY679" s="106"/>
      <c r="DZ679" s="106"/>
      <c r="EA679" s="106"/>
      <c r="EB679" s="106"/>
      <c r="EC679" s="106"/>
      <c r="ED679" s="106"/>
      <c r="EE679" s="106"/>
      <c r="EF679" s="106"/>
      <c r="EG679" s="106"/>
      <c r="EH679" s="106"/>
      <c r="EI679" s="106"/>
    </row>
    <row r="680" spans="3:139" ht="15.75" customHeight="1" x14ac:dyDescent="0.25"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  <c r="CR680" s="106"/>
      <c r="CS680" s="106"/>
      <c r="CT680" s="106"/>
      <c r="CU680" s="106"/>
      <c r="CV680" s="106"/>
      <c r="CW680" s="106"/>
      <c r="CX680" s="106"/>
      <c r="CY680" s="106"/>
      <c r="CZ680" s="106"/>
      <c r="DA680" s="106"/>
      <c r="DB680" s="106"/>
      <c r="DC680" s="106"/>
      <c r="DD680" s="106"/>
      <c r="DE680" s="106"/>
      <c r="DF680" s="106"/>
      <c r="DG680" s="106"/>
      <c r="DH680" s="106"/>
      <c r="DI680" s="106"/>
      <c r="DJ680" s="106"/>
      <c r="DK680" s="106"/>
      <c r="DL680" s="106"/>
      <c r="DM680" s="106"/>
      <c r="DN680" s="106"/>
      <c r="DO680" s="106"/>
      <c r="DP680" s="106"/>
      <c r="DQ680" s="106"/>
      <c r="DR680" s="106"/>
      <c r="DS680" s="106"/>
      <c r="DT680" s="106"/>
      <c r="DU680" s="106"/>
      <c r="DV680" s="106"/>
      <c r="DW680" s="106"/>
      <c r="DX680" s="106"/>
      <c r="DY680" s="106"/>
      <c r="DZ680" s="106"/>
      <c r="EA680" s="106"/>
      <c r="EB680" s="106"/>
      <c r="EC680" s="106"/>
      <c r="ED680" s="106"/>
      <c r="EE680" s="106"/>
      <c r="EF680" s="106"/>
      <c r="EG680" s="106"/>
      <c r="EH680" s="106"/>
      <c r="EI680" s="106"/>
    </row>
    <row r="681" spans="3:139" ht="15.75" customHeight="1" x14ac:dyDescent="0.25"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  <c r="CR681" s="106"/>
      <c r="CS681" s="106"/>
      <c r="CT681" s="106"/>
      <c r="CU681" s="106"/>
      <c r="CV681" s="106"/>
      <c r="CW681" s="106"/>
      <c r="CX681" s="106"/>
      <c r="CY681" s="106"/>
      <c r="CZ681" s="106"/>
      <c r="DA681" s="106"/>
      <c r="DB681" s="106"/>
      <c r="DC681" s="106"/>
      <c r="DD681" s="106"/>
      <c r="DE681" s="106"/>
      <c r="DF681" s="106"/>
      <c r="DG681" s="106"/>
      <c r="DH681" s="106"/>
      <c r="DI681" s="106"/>
      <c r="DJ681" s="106"/>
      <c r="DK681" s="106"/>
      <c r="DL681" s="106"/>
      <c r="DM681" s="106"/>
      <c r="DN681" s="106"/>
      <c r="DO681" s="106"/>
      <c r="DP681" s="106"/>
      <c r="DQ681" s="106"/>
      <c r="DR681" s="106"/>
      <c r="DS681" s="106"/>
      <c r="DT681" s="106"/>
      <c r="DU681" s="106"/>
      <c r="DV681" s="106"/>
      <c r="DW681" s="106"/>
      <c r="DX681" s="106"/>
      <c r="DY681" s="106"/>
      <c r="DZ681" s="106"/>
      <c r="EA681" s="106"/>
      <c r="EB681" s="106"/>
      <c r="EC681" s="106"/>
      <c r="ED681" s="106"/>
      <c r="EE681" s="106"/>
      <c r="EF681" s="106"/>
      <c r="EG681" s="106"/>
      <c r="EH681" s="106"/>
      <c r="EI681" s="106"/>
    </row>
    <row r="682" spans="3:139" ht="15.75" customHeight="1" x14ac:dyDescent="0.25"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  <c r="CR682" s="106"/>
      <c r="CS682" s="106"/>
      <c r="CT682" s="106"/>
      <c r="CU682" s="106"/>
      <c r="CV682" s="106"/>
      <c r="CW682" s="106"/>
      <c r="CX682" s="106"/>
      <c r="CY682" s="106"/>
      <c r="CZ682" s="106"/>
      <c r="DA682" s="106"/>
      <c r="DB682" s="106"/>
      <c r="DC682" s="106"/>
      <c r="DD682" s="106"/>
      <c r="DE682" s="106"/>
      <c r="DF682" s="106"/>
      <c r="DG682" s="106"/>
      <c r="DH682" s="106"/>
      <c r="DI682" s="106"/>
      <c r="DJ682" s="106"/>
      <c r="DK682" s="106"/>
      <c r="DL682" s="106"/>
      <c r="DM682" s="106"/>
      <c r="DN682" s="106"/>
      <c r="DO682" s="106"/>
      <c r="DP682" s="106"/>
      <c r="DQ682" s="106"/>
      <c r="DR682" s="106"/>
      <c r="DS682" s="106"/>
      <c r="DT682" s="106"/>
      <c r="DU682" s="106"/>
      <c r="DV682" s="106"/>
      <c r="DW682" s="106"/>
      <c r="DX682" s="106"/>
      <c r="DY682" s="106"/>
      <c r="DZ682" s="106"/>
      <c r="EA682" s="106"/>
      <c r="EB682" s="106"/>
      <c r="EC682" s="106"/>
      <c r="ED682" s="106"/>
      <c r="EE682" s="106"/>
      <c r="EF682" s="106"/>
      <c r="EG682" s="106"/>
      <c r="EH682" s="106"/>
      <c r="EI682" s="106"/>
    </row>
    <row r="683" spans="3:139" ht="15.75" customHeight="1" x14ac:dyDescent="0.25"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  <c r="CR683" s="106"/>
      <c r="CS683" s="106"/>
      <c r="CT683" s="106"/>
      <c r="CU683" s="106"/>
      <c r="CV683" s="106"/>
      <c r="CW683" s="106"/>
      <c r="CX683" s="106"/>
      <c r="CY683" s="106"/>
      <c r="CZ683" s="106"/>
      <c r="DA683" s="106"/>
      <c r="DB683" s="106"/>
      <c r="DC683" s="106"/>
      <c r="DD683" s="106"/>
      <c r="DE683" s="106"/>
      <c r="DF683" s="106"/>
      <c r="DG683" s="106"/>
      <c r="DH683" s="106"/>
      <c r="DI683" s="106"/>
      <c r="DJ683" s="106"/>
      <c r="DK683" s="106"/>
      <c r="DL683" s="106"/>
      <c r="DM683" s="106"/>
      <c r="DN683" s="106"/>
      <c r="DO683" s="106"/>
      <c r="DP683" s="106"/>
      <c r="DQ683" s="106"/>
      <c r="DR683" s="106"/>
      <c r="DS683" s="106"/>
      <c r="DT683" s="106"/>
      <c r="DU683" s="106"/>
      <c r="DV683" s="106"/>
      <c r="DW683" s="106"/>
      <c r="DX683" s="106"/>
      <c r="DY683" s="106"/>
      <c r="DZ683" s="106"/>
      <c r="EA683" s="106"/>
      <c r="EB683" s="106"/>
      <c r="EC683" s="106"/>
      <c r="ED683" s="106"/>
      <c r="EE683" s="106"/>
      <c r="EF683" s="106"/>
      <c r="EG683" s="106"/>
      <c r="EH683" s="106"/>
      <c r="EI683" s="106"/>
    </row>
    <row r="684" spans="3:139" ht="15.75" customHeight="1" x14ac:dyDescent="0.25"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  <c r="CR684" s="106"/>
      <c r="CS684" s="106"/>
      <c r="CT684" s="106"/>
      <c r="CU684" s="106"/>
      <c r="CV684" s="106"/>
      <c r="CW684" s="106"/>
      <c r="CX684" s="106"/>
      <c r="CY684" s="106"/>
      <c r="CZ684" s="106"/>
      <c r="DA684" s="106"/>
      <c r="DB684" s="106"/>
      <c r="DC684" s="106"/>
      <c r="DD684" s="106"/>
      <c r="DE684" s="106"/>
      <c r="DF684" s="106"/>
      <c r="DG684" s="106"/>
      <c r="DH684" s="106"/>
      <c r="DI684" s="106"/>
      <c r="DJ684" s="106"/>
      <c r="DK684" s="106"/>
      <c r="DL684" s="106"/>
      <c r="DM684" s="106"/>
      <c r="DN684" s="106"/>
      <c r="DO684" s="106"/>
      <c r="DP684" s="106"/>
      <c r="DQ684" s="106"/>
      <c r="DR684" s="106"/>
      <c r="DS684" s="106"/>
      <c r="DT684" s="106"/>
      <c r="DU684" s="106"/>
      <c r="DV684" s="106"/>
      <c r="DW684" s="106"/>
      <c r="DX684" s="106"/>
      <c r="DY684" s="106"/>
      <c r="DZ684" s="106"/>
      <c r="EA684" s="106"/>
      <c r="EB684" s="106"/>
      <c r="EC684" s="106"/>
      <c r="ED684" s="106"/>
      <c r="EE684" s="106"/>
      <c r="EF684" s="106"/>
      <c r="EG684" s="106"/>
      <c r="EH684" s="106"/>
      <c r="EI684" s="106"/>
    </row>
    <row r="685" spans="3:139" ht="15.75" customHeight="1" x14ac:dyDescent="0.25"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  <c r="CR685" s="106"/>
      <c r="CS685" s="106"/>
      <c r="CT685" s="106"/>
      <c r="CU685" s="106"/>
      <c r="CV685" s="106"/>
      <c r="CW685" s="106"/>
      <c r="CX685" s="106"/>
      <c r="CY685" s="106"/>
      <c r="CZ685" s="106"/>
      <c r="DA685" s="106"/>
      <c r="DB685" s="106"/>
      <c r="DC685" s="106"/>
      <c r="DD685" s="106"/>
      <c r="DE685" s="106"/>
      <c r="DF685" s="106"/>
      <c r="DG685" s="106"/>
      <c r="DH685" s="106"/>
      <c r="DI685" s="106"/>
      <c r="DJ685" s="106"/>
      <c r="DK685" s="106"/>
      <c r="DL685" s="106"/>
      <c r="DM685" s="106"/>
      <c r="DN685" s="106"/>
      <c r="DO685" s="106"/>
      <c r="DP685" s="106"/>
      <c r="DQ685" s="106"/>
      <c r="DR685" s="106"/>
      <c r="DS685" s="106"/>
      <c r="DT685" s="106"/>
      <c r="DU685" s="106"/>
      <c r="DV685" s="106"/>
      <c r="DW685" s="106"/>
      <c r="DX685" s="106"/>
      <c r="DY685" s="106"/>
      <c r="DZ685" s="106"/>
      <c r="EA685" s="106"/>
      <c r="EB685" s="106"/>
      <c r="EC685" s="106"/>
      <c r="ED685" s="106"/>
      <c r="EE685" s="106"/>
      <c r="EF685" s="106"/>
      <c r="EG685" s="106"/>
      <c r="EH685" s="106"/>
      <c r="EI685" s="106"/>
    </row>
    <row r="686" spans="3:139" ht="15.75" customHeight="1" x14ac:dyDescent="0.25"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  <c r="CR686" s="106"/>
      <c r="CS686" s="106"/>
      <c r="CT686" s="106"/>
      <c r="CU686" s="106"/>
      <c r="CV686" s="106"/>
      <c r="CW686" s="106"/>
      <c r="CX686" s="106"/>
      <c r="CY686" s="106"/>
      <c r="CZ686" s="106"/>
      <c r="DA686" s="106"/>
      <c r="DB686" s="106"/>
      <c r="DC686" s="106"/>
      <c r="DD686" s="106"/>
      <c r="DE686" s="106"/>
      <c r="DF686" s="106"/>
      <c r="DG686" s="106"/>
      <c r="DH686" s="106"/>
      <c r="DI686" s="106"/>
      <c r="DJ686" s="106"/>
      <c r="DK686" s="106"/>
      <c r="DL686" s="106"/>
      <c r="DM686" s="106"/>
      <c r="DN686" s="106"/>
      <c r="DO686" s="106"/>
      <c r="DP686" s="106"/>
      <c r="DQ686" s="106"/>
      <c r="DR686" s="106"/>
      <c r="DS686" s="106"/>
      <c r="DT686" s="106"/>
      <c r="DU686" s="106"/>
      <c r="DV686" s="106"/>
      <c r="DW686" s="106"/>
      <c r="DX686" s="106"/>
      <c r="DY686" s="106"/>
      <c r="DZ686" s="106"/>
      <c r="EA686" s="106"/>
      <c r="EB686" s="106"/>
      <c r="EC686" s="106"/>
      <c r="ED686" s="106"/>
      <c r="EE686" s="106"/>
      <c r="EF686" s="106"/>
      <c r="EG686" s="106"/>
      <c r="EH686" s="106"/>
      <c r="EI686" s="106"/>
    </row>
    <row r="687" spans="3:139" ht="15.75" customHeight="1" x14ac:dyDescent="0.25"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  <c r="CR687" s="106"/>
      <c r="CS687" s="106"/>
      <c r="CT687" s="106"/>
      <c r="CU687" s="106"/>
      <c r="CV687" s="106"/>
      <c r="CW687" s="106"/>
      <c r="CX687" s="106"/>
      <c r="CY687" s="106"/>
      <c r="CZ687" s="106"/>
      <c r="DA687" s="106"/>
      <c r="DB687" s="106"/>
      <c r="DC687" s="106"/>
      <c r="DD687" s="106"/>
      <c r="DE687" s="106"/>
      <c r="DF687" s="106"/>
      <c r="DG687" s="106"/>
      <c r="DH687" s="106"/>
      <c r="DI687" s="106"/>
      <c r="DJ687" s="106"/>
      <c r="DK687" s="106"/>
      <c r="DL687" s="106"/>
      <c r="DM687" s="106"/>
      <c r="DN687" s="106"/>
      <c r="DO687" s="106"/>
      <c r="DP687" s="106"/>
      <c r="DQ687" s="106"/>
      <c r="DR687" s="106"/>
      <c r="DS687" s="106"/>
      <c r="DT687" s="106"/>
      <c r="DU687" s="106"/>
      <c r="DV687" s="106"/>
      <c r="DW687" s="106"/>
      <c r="DX687" s="106"/>
      <c r="DY687" s="106"/>
      <c r="DZ687" s="106"/>
      <c r="EA687" s="106"/>
      <c r="EB687" s="106"/>
      <c r="EC687" s="106"/>
      <c r="ED687" s="106"/>
      <c r="EE687" s="106"/>
      <c r="EF687" s="106"/>
      <c r="EG687" s="106"/>
      <c r="EH687" s="106"/>
      <c r="EI687" s="106"/>
    </row>
    <row r="688" spans="3:139" ht="15.75" customHeight="1" x14ac:dyDescent="0.25"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  <c r="CR688" s="106"/>
      <c r="CS688" s="106"/>
      <c r="CT688" s="106"/>
      <c r="CU688" s="106"/>
      <c r="CV688" s="106"/>
      <c r="CW688" s="106"/>
      <c r="CX688" s="106"/>
      <c r="CY688" s="106"/>
      <c r="CZ688" s="106"/>
      <c r="DA688" s="106"/>
      <c r="DB688" s="106"/>
      <c r="DC688" s="106"/>
      <c r="DD688" s="106"/>
      <c r="DE688" s="106"/>
      <c r="DF688" s="106"/>
      <c r="DG688" s="106"/>
      <c r="DH688" s="106"/>
      <c r="DI688" s="106"/>
      <c r="DJ688" s="106"/>
      <c r="DK688" s="106"/>
      <c r="DL688" s="106"/>
      <c r="DM688" s="106"/>
      <c r="DN688" s="106"/>
      <c r="DO688" s="106"/>
      <c r="DP688" s="106"/>
      <c r="DQ688" s="106"/>
      <c r="DR688" s="106"/>
      <c r="DS688" s="106"/>
      <c r="DT688" s="106"/>
      <c r="DU688" s="106"/>
      <c r="DV688" s="106"/>
      <c r="DW688" s="106"/>
      <c r="DX688" s="106"/>
      <c r="DY688" s="106"/>
      <c r="DZ688" s="106"/>
      <c r="EA688" s="106"/>
      <c r="EB688" s="106"/>
      <c r="EC688" s="106"/>
      <c r="ED688" s="106"/>
      <c r="EE688" s="106"/>
      <c r="EF688" s="106"/>
      <c r="EG688" s="106"/>
      <c r="EH688" s="106"/>
      <c r="EI688" s="106"/>
    </row>
    <row r="689" spans="3:139" ht="15.75" customHeight="1" x14ac:dyDescent="0.25"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  <c r="CR689" s="106"/>
      <c r="CS689" s="106"/>
      <c r="CT689" s="106"/>
      <c r="CU689" s="106"/>
      <c r="CV689" s="106"/>
      <c r="CW689" s="106"/>
      <c r="CX689" s="106"/>
      <c r="CY689" s="106"/>
      <c r="CZ689" s="106"/>
      <c r="DA689" s="106"/>
      <c r="DB689" s="106"/>
      <c r="DC689" s="106"/>
      <c r="DD689" s="106"/>
      <c r="DE689" s="106"/>
      <c r="DF689" s="106"/>
      <c r="DG689" s="106"/>
      <c r="DH689" s="106"/>
      <c r="DI689" s="106"/>
      <c r="DJ689" s="106"/>
      <c r="DK689" s="106"/>
      <c r="DL689" s="106"/>
      <c r="DM689" s="106"/>
      <c r="DN689" s="106"/>
      <c r="DO689" s="106"/>
      <c r="DP689" s="106"/>
      <c r="DQ689" s="106"/>
      <c r="DR689" s="106"/>
      <c r="DS689" s="106"/>
      <c r="DT689" s="106"/>
      <c r="DU689" s="106"/>
      <c r="DV689" s="106"/>
      <c r="DW689" s="106"/>
      <c r="DX689" s="106"/>
      <c r="DY689" s="106"/>
      <c r="DZ689" s="106"/>
      <c r="EA689" s="106"/>
      <c r="EB689" s="106"/>
      <c r="EC689" s="106"/>
      <c r="ED689" s="106"/>
      <c r="EE689" s="106"/>
      <c r="EF689" s="106"/>
      <c r="EG689" s="106"/>
      <c r="EH689" s="106"/>
      <c r="EI689" s="106"/>
    </row>
    <row r="690" spans="3:139" ht="15.75" customHeight="1" x14ac:dyDescent="0.25"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  <c r="CR690" s="106"/>
      <c r="CS690" s="106"/>
      <c r="CT690" s="106"/>
      <c r="CU690" s="106"/>
      <c r="CV690" s="106"/>
      <c r="CW690" s="106"/>
      <c r="CX690" s="106"/>
      <c r="CY690" s="106"/>
      <c r="CZ690" s="106"/>
      <c r="DA690" s="106"/>
      <c r="DB690" s="106"/>
      <c r="DC690" s="106"/>
      <c r="DD690" s="106"/>
      <c r="DE690" s="106"/>
      <c r="DF690" s="106"/>
      <c r="DG690" s="106"/>
      <c r="DH690" s="106"/>
      <c r="DI690" s="106"/>
      <c r="DJ690" s="106"/>
      <c r="DK690" s="106"/>
      <c r="DL690" s="106"/>
      <c r="DM690" s="106"/>
      <c r="DN690" s="106"/>
      <c r="DO690" s="106"/>
      <c r="DP690" s="106"/>
      <c r="DQ690" s="106"/>
      <c r="DR690" s="106"/>
      <c r="DS690" s="106"/>
      <c r="DT690" s="106"/>
      <c r="DU690" s="106"/>
      <c r="DV690" s="106"/>
      <c r="DW690" s="106"/>
      <c r="DX690" s="106"/>
      <c r="DY690" s="106"/>
      <c r="DZ690" s="106"/>
      <c r="EA690" s="106"/>
      <c r="EB690" s="106"/>
      <c r="EC690" s="106"/>
      <c r="ED690" s="106"/>
      <c r="EE690" s="106"/>
      <c r="EF690" s="106"/>
      <c r="EG690" s="106"/>
      <c r="EH690" s="106"/>
      <c r="EI690" s="106"/>
    </row>
    <row r="691" spans="3:139" ht="15.75" customHeight="1" x14ac:dyDescent="0.25"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  <c r="CR691" s="106"/>
      <c r="CS691" s="106"/>
      <c r="CT691" s="106"/>
      <c r="CU691" s="106"/>
      <c r="CV691" s="106"/>
      <c r="CW691" s="106"/>
      <c r="CX691" s="106"/>
      <c r="CY691" s="106"/>
      <c r="CZ691" s="106"/>
      <c r="DA691" s="106"/>
      <c r="DB691" s="106"/>
      <c r="DC691" s="106"/>
      <c r="DD691" s="106"/>
      <c r="DE691" s="106"/>
      <c r="DF691" s="106"/>
      <c r="DG691" s="106"/>
      <c r="DH691" s="106"/>
      <c r="DI691" s="106"/>
      <c r="DJ691" s="106"/>
      <c r="DK691" s="106"/>
      <c r="DL691" s="106"/>
      <c r="DM691" s="106"/>
      <c r="DN691" s="106"/>
      <c r="DO691" s="106"/>
      <c r="DP691" s="106"/>
      <c r="DQ691" s="106"/>
      <c r="DR691" s="106"/>
      <c r="DS691" s="106"/>
      <c r="DT691" s="106"/>
      <c r="DU691" s="106"/>
      <c r="DV691" s="106"/>
      <c r="DW691" s="106"/>
      <c r="DX691" s="106"/>
      <c r="DY691" s="106"/>
      <c r="DZ691" s="106"/>
      <c r="EA691" s="106"/>
      <c r="EB691" s="106"/>
      <c r="EC691" s="106"/>
      <c r="ED691" s="106"/>
      <c r="EE691" s="106"/>
      <c r="EF691" s="106"/>
      <c r="EG691" s="106"/>
      <c r="EH691" s="106"/>
      <c r="EI691" s="106"/>
    </row>
    <row r="692" spans="3:139" ht="15.75" customHeight="1" x14ac:dyDescent="0.25"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  <c r="CR692" s="106"/>
      <c r="CS692" s="106"/>
      <c r="CT692" s="106"/>
      <c r="CU692" s="106"/>
      <c r="CV692" s="106"/>
      <c r="CW692" s="106"/>
      <c r="CX692" s="106"/>
      <c r="CY692" s="106"/>
      <c r="CZ692" s="106"/>
      <c r="DA692" s="106"/>
      <c r="DB692" s="106"/>
      <c r="DC692" s="106"/>
      <c r="DD692" s="106"/>
      <c r="DE692" s="106"/>
      <c r="DF692" s="106"/>
      <c r="DG692" s="106"/>
      <c r="DH692" s="106"/>
      <c r="DI692" s="106"/>
      <c r="DJ692" s="106"/>
      <c r="DK692" s="106"/>
      <c r="DL692" s="106"/>
      <c r="DM692" s="106"/>
      <c r="DN692" s="106"/>
      <c r="DO692" s="106"/>
      <c r="DP692" s="106"/>
      <c r="DQ692" s="106"/>
      <c r="DR692" s="106"/>
      <c r="DS692" s="106"/>
      <c r="DT692" s="106"/>
      <c r="DU692" s="106"/>
      <c r="DV692" s="106"/>
      <c r="DW692" s="106"/>
      <c r="DX692" s="106"/>
      <c r="DY692" s="106"/>
      <c r="DZ692" s="106"/>
      <c r="EA692" s="106"/>
      <c r="EB692" s="106"/>
      <c r="EC692" s="106"/>
      <c r="ED692" s="106"/>
      <c r="EE692" s="106"/>
      <c r="EF692" s="106"/>
      <c r="EG692" s="106"/>
      <c r="EH692" s="106"/>
      <c r="EI692" s="106"/>
    </row>
    <row r="693" spans="3:139" ht="15.75" customHeight="1" x14ac:dyDescent="0.25"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  <c r="CR693" s="106"/>
      <c r="CS693" s="106"/>
      <c r="CT693" s="106"/>
      <c r="CU693" s="106"/>
      <c r="CV693" s="106"/>
      <c r="CW693" s="106"/>
      <c r="CX693" s="106"/>
      <c r="CY693" s="106"/>
      <c r="CZ693" s="106"/>
      <c r="DA693" s="106"/>
      <c r="DB693" s="106"/>
      <c r="DC693" s="106"/>
      <c r="DD693" s="106"/>
      <c r="DE693" s="106"/>
      <c r="DF693" s="106"/>
      <c r="DG693" s="106"/>
      <c r="DH693" s="106"/>
      <c r="DI693" s="106"/>
      <c r="DJ693" s="106"/>
      <c r="DK693" s="106"/>
      <c r="DL693" s="106"/>
      <c r="DM693" s="106"/>
      <c r="DN693" s="106"/>
      <c r="DO693" s="106"/>
      <c r="DP693" s="106"/>
      <c r="DQ693" s="106"/>
      <c r="DR693" s="106"/>
      <c r="DS693" s="106"/>
      <c r="DT693" s="106"/>
      <c r="DU693" s="106"/>
      <c r="DV693" s="106"/>
      <c r="DW693" s="106"/>
      <c r="DX693" s="106"/>
      <c r="DY693" s="106"/>
      <c r="DZ693" s="106"/>
      <c r="EA693" s="106"/>
      <c r="EB693" s="106"/>
      <c r="EC693" s="106"/>
      <c r="ED693" s="106"/>
      <c r="EE693" s="106"/>
      <c r="EF693" s="106"/>
      <c r="EG693" s="106"/>
      <c r="EH693" s="106"/>
      <c r="EI693" s="106"/>
    </row>
    <row r="694" spans="3:139" ht="15.75" customHeight="1" x14ac:dyDescent="0.25"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  <c r="CR694" s="106"/>
      <c r="CS694" s="106"/>
      <c r="CT694" s="106"/>
      <c r="CU694" s="106"/>
      <c r="CV694" s="106"/>
      <c r="CW694" s="106"/>
      <c r="CX694" s="106"/>
      <c r="CY694" s="106"/>
      <c r="CZ694" s="106"/>
      <c r="DA694" s="106"/>
      <c r="DB694" s="106"/>
      <c r="DC694" s="106"/>
      <c r="DD694" s="106"/>
      <c r="DE694" s="106"/>
      <c r="DF694" s="106"/>
      <c r="DG694" s="106"/>
      <c r="DH694" s="106"/>
      <c r="DI694" s="106"/>
      <c r="DJ694" s="106"/>
      <c r="DK694" s="106"/>
      <c r="DL694" s="106"/>
      <c r="DM694" s="106"/>
      <c r="DN694" s="106"/>
      <c r="DO694" s="106"/>
      <c r="DP694" s="106"/>
      <c r="DQ694" s="106"/>
      <c r="DR694" s="106"/>
      <c r="DS694" s="106"/>
      <c r="DT694" s="106"/>
      <c r="DU694" s="106"/>
      <c r="DV694" s="106"/>
      <c r="DW694" s="106"/>
      <c r="DX694" s="106"/>
      <c r="DY694" s="106"/>
      <c r="DZ694" s="106"/>
      <c r="EA694" s="106"/>
      <c r="EB694" s="106"/>
      <c r="EC694" s="106"/>
      <c r="ED694" s="106"/>
      <c r="EE694" s="106"/>
      <c r="EF694" s="106"/>
      <c r="EG694" s="106"/>
      <c r="EH694" s="106"/>
      <c r="EI694" s="106"/>
    </row>
    <row r="695" spans="3:139" ht="15.75" customHeight="1" x14ac:dyDescent="0.25"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  <c r="CR695" s="106"/>
      <c r="CS695" s="106"/>
      <c r="CT695" s="106"/>
      <c r="CU695" s="106"/>
      <c r="CV695" s="106"/>
      <c r="CW695" s="106"/>
      <c r="CX695" s="106"/>
      <c r="CY695" s="106"/>
      <c r="CZ695" s="106"/>
      <c r="DA695" s="106"/>
      <c r="DB695" s="106"/>
      <c r="DC695" s="106"/>
      <c r="DD695" s="106"/>
      <c r="DE695" s="106"/>
      <c r="DF695" s="106"/>
      <c r="DG695" s="106"/>
      <c r="DH695" s="106"/>
      <c r="DI695" s="106"/>
      <c r="DJ695" s="106"/>
      <c r="DK695" s="106"/>
      <c r="DL695" s="106"/>
      <c r="DM695" s="106"/>
      <c r="DN695" s="106"/>
      <c r="DO695" s="106"/>
      <c r="DP695" s="106"/>
      <c r="DQ695" s="106"/>
      <c r="DR695" s="106"/>
      <c r="DS695" s="106"/>
      <c r="DT695" s="106"/>
      <c r="DU695" s="106"/>
      <c r="DV695" s="106"/>
      <c r="DW695" s="106"/>
      <c r="DX695" s="106"/>
      <c r="DY695" s="106"/>
      <c r="DZ695" s="106"/>
      <c r="EA695" s="106"/>
      <c r="EB695" s="106"/>
      <c r="EC695" s="106"/>
      <c r="ED695" s="106"/>
      <c r="EE695" s="106"/>
      <c r="EF695" s="106"/>
      <c r="EG695" s="106"/>
      <c r="EH695" s="106"/>
      <c r="EI695" s="106"/>
    </row>
    <row r="696" spans="3:139" ht="15.75" customHeight="1" x14ac:dyDescent="0.25"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  <c r="CR696" s="106"/>
      <c r="CS696" s="106"/>
      <c r="CT696" s="106"/>
      <c r="CU696" s="106"/>
      <c r="CV696" s="106"/>
      <c r="CW696" s="106"/>
      <c r="CX696" s="106"/>
      <c r="CY696" s="106"/>
      <c r="CZ696" s="106"/>
      <c r="DA696" s="106"/>
      <c r="DB696" s="106"/>
      <c r="DC696" s="106"/>
      <c r="DD696" s="106"/>
      <c r="DE696" s="106"/>
      <c r="DF696" s="106"/>
      <c r="DG696" s="106"/>
      <c r="DH696" s="106"/>
      <c r="DI696" s="106"/>
      <c r="DJ696" s="106"/>
      <c r="DK696" s="106"/>
      <c r="DL696" s="106"/>
      <c r="DM696" s="106"/>
      <c r="DN696" s="106"/>
      <c r="DO696" s="106"/>
      <c r="DP696" s="106"/>
      <c r="DQ696" s="106"/>
      <c r="DR696" s="106"/>
      <c r="DS696" s="106"/>
      <c r="DT696" s="106"/>
      <c r="DU696" s="106"/>
      <c r="DV696" s="106"/>
      <c r="DW696" s="106"/>
      <c r="DX696" s="106"/>
      <c r="DY696" s="106"/>
      <c r="DZ696" s="106"/>
      <c r="EA696" s="106"/>
      <c r="EB696" s="106"/>
      <c r="EC696" s="106"/>
      <c r="ED696" s="106"/>
      <c r="EE696" s="106"/>
      <c r="EF696" s="106"/>
      <c r="EG696" s="106"/>
      <c r="EH696" s="106"/>
      <c r="EI696" s="106"/>
    </row>
    <row r="697" spans="3:139" ht="15.75" customHeight="1" x14ac:dyDescent="0.25"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  <c r="CR697" s="106"/>
      <c r="CS697" s="106"/>
      <c r="CT697" s="106"/>
      <c r="CU697" s="106"/>
      <c r="CV697" s="106"/>
      <c r="CW697" s="106"/>
      <c r="CX697" s="106"/>
      <c r="CY697" s="106"/>
      <c r="CZ697" s="106"/>
      <c r="DA697" s="106"/>
      <c r="DB697" s="106"/>
      <c r="DC697" s="106"/>
      <c r="DD697" s="106"/>
      <c r="DE697" s="106"/>
      <c r="DF697" s="106"/>
      <c r="DG697" s="106"/>
      <c r="DH697" s="106"/>
      <c r="DI697" s="106"/>
      <c r="DJ697" s="106"/>
      <c r="DK697" s="106"/>
      <c r="DL697" s="106"/>
      <c r="DM697" s="106"/>
      <c r="DN697" s="106"/>
      <c r="DO697" s="106"/>
      <c r="DP697" s="106"/>
      <c r="DQ697" s="106"/>
      <c r="DR697" s="106"/>
      <c r="DS697" s="106"/>
      <c r="DT697" s="106"/>
      <c r="DU697" s="106"/>
      <c r="DV697" s="106"/>
      <c r="DW697" s="106"/>
      <c r="DX697" s="106"/>
      <c r="DY697" s="106"/>
      <c r="DZ697" s="106"/>
      <c r="EA697" s="106"/>
      <c r="EB697" s="106"/>
      <c r="EC697" s="106"/>
      <c r="ED697" s="106"/>
      <c r="EE697" s="106"/>
      <c r="EF697" s="106"/>
      <c r="EG697" s="106"/>
      <c r="EH697" s="106"/>
      <c r="EI697" s="106"/>
    </row>
    <row r="698" spans="3:139" ht="15.75" customHeight="1" x14ac:dyDescent="0.25"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  <c r="CR698" s="106"/>
      <c r="CS698" s="106"/>
      <c r="CT698" s="106"/>
      <c r="CU698" s="106"/>
      <c r="CV698" s="106"/>
      <c r="CW698" s="106"/>
      <c r="CX698" s="106"/>
      <c r="CY698" s="106"/>
      <c r="CZ698" s="106"/>
      <c r="DA698" s="106"/>
      <c r="DB698" s="106"/>
      <c r="DC698" s="106"/>
      <c r="DD698" s="106"/>
      <c r="DE698" s="106"/>
      <c r="DF698" s="106"/>
      <c r="DG698" s="106"/>
      <c r="DH698" s="106"/>
      <c r="DI698" s="106"/>
      <c r="DJ698" s="106"/>
      <c r="DK698" s="106"/>
      <c r="DL698" s="106"/>
      <c r="DM698" s="106"/>
      <c r="DN698" s="106"/>
      <c r="DO698" s="106"/>
      <c r="DP698" s="106"/>
      <c r="DQ698" s="106"/>
      <c r="DR698" s="106"/>
      <c r="DS698" s="106"/>
      <c r="DT698" s="106"/>
      <c r="DU698" s="106"/>
      <c r="DV698" s="106"/>
      <c r="DW698" s="106"/>
      <c r="DX698" s="106"/>
      <c r="DY698" s="106"/>
      <c r="DZ698" s="106"/>
      <c r="EA698" s="106"/>
      <c r="EB698" s="106"/>
      <c r="EC698" s="106"/>
      <c r="ED698" s="106"/>
      <c r="EE698" s="106"/>
      <c r="EF698" s="106"/>
      <c r="EG698" s="106"/>
      <c r="EH698" s="106"/>
      <c r="EI698" s="106"/>
    </row>
    <row r="699" spans="3:139" ht="15.75" customHeight="1" x14ac:dyDescent="0.25"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  <c r="CR699" s="106"/>
      <c r="CS699" s="106"/>
      <c r="CT699" s="106"/>
      <c r="CU699" s="106"/>
      <c r="CV699" s="106"/>
      <c r="CW699" s="106"/>
      <c r="CX699" s="106"/>
      <c r="CY699" s="106"/>
      <c r="CZ699" s="106"/>
      <c r="DA699" s="106"/>
      <c r="DB699" s="106"/>
      <c r="DC699" s="106"/>
      <c r="DD699" s="106"/>
      <c r="DE699" s="106"/>
      <c r="DF699" s="106"/>
      <c r="DG699" s="106"/>
      <c r="DH699" s="106"/>
      <c r="DI699" s="106"/>
      <c r="DJ699" s="106"/>
      <c r="DK699" s="106"/>
      <c r="DL699" s="106"/>
      <c r="DM699" s="106"/>
      <c r="DN699" s="106"/>
      <c r="DO699" s="106"/>
      <c r="DP699" s="106"/>
      <c r="DQ699" s="106"/>
      <c r="DR699" s="106"/>
      <c r="DS699" s="106"/>
      <c r="DT699" s="106"/>
      <c r="DU699" s="106"/>
      <c r="DV699" s="106"/>
      <c r="DW699" s="106"/>
      <c r="DX699" s="106"/>
      <c r="DY699" s="106"/>
      <c r="DZ699" s="106"/>
      <c r="EA699" s="106"/>
      <c r="EB699" s="106"/>
      <c r="EC699" s="106"/>
      <c r="ED699" s="106"/>
      <c r="EE699" s="106"/>
      <c r="EF699" s="106"/>
      <c r="EG699" s="106"/>
      <c r="EH699" s="106"/>
      <c r="EI699" s="106"/>
    </row>
    <row r="700" spans="3:139" ht="15.75" customHeight="1" x14ac:dyDescent="0.25"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  <c r="CR700" s="106"/>
      <c r="CS700" s="106"/>
      <c r="CT700" s="106"/>
      <c r="CU700" s="106"/>
      <c r="CV700" s="106"/>
      <c r="CW700" s="106"/>
      <c r="CX700" s="106"/>
      <c r="CY700" s="106"/>
      <c r="CZ700" s="106"/>
      <c r="DA700" s="106"/>
      <c r="DB700" s="106"/>
      <c r="DC700" s="106"/>
      <c r="DD700" s="106"/>
      <c r="DE700" s="106"/>
      <c r="DF700" s="106"/>
      <c r="DG700" s="106"/>
      <c r="DH700" s="106"/>
      <c r="DI700" s="106"/>
      <c r="DJ700" s="106"/>
      <c r="DK700" s="106"/>
      <c r="DL700" s="106"/>
      <c r="DM700" s="106"/>
      <c r="DN700" s="106"/>
      <c r="DO700" s="106"/>
      <c r="DP700" s="106"/>
      <c r="DQ700" s="106"/>
      <c r="DR700" s="106"/>
      <c r="DS700" s="106"/>
      <c r="DT700" s="106"/>
      <c r="DU700" s="106"/>
      <c r="DV700" s="106"/>
      <c r="DW700" s="106"/>
      <c r="DX700" s="106"/>
      <c r="DY700" s="106"/>
      <c r="DZ700" s="106"/>
      <c r="EA700" s="106"/>
      <c r="EB700" s="106"/>
      <c r="EC700" s="106"/>
      <c r="ED700" s="106"/>
      <c r="EE700" s="106"/>
      <c r="EF700" s="106"/>
      <c r="EG700" s="106"/>
      <c r="EH700" s="106"/>
      <c r="EI700" s="106"/>
    </row>
    <row r="701" spans="3:139" ht="15.75" customHeight="1" x14ac:dyDescent="0.25"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  <c r="CR701" s="106"/>
      <c r="CS701" s="106"/>
      <c r="CT701" s="106"/>
      <c r="CU701" s="106"/>
      <c r="CV701" s="106"/>
      <c r="CW701" s="106"/>
      <c r="CX701" s="106"/>
      <c r="CY701" s="106"/>
      <c r="CZ701" s="106"/>
      <c r="DA701" s="106"/>
      <c r="DB701" s="106"/>
      <c r="DC701" s="106"/>
      <c r="DD701" s="106"/>
      <c r="DE701" s="106"/>
      <c r="DF701" s="106"/>
      <c r="DG701" s="106"/>
      <c r="DH701" s="106"/>
      <c r="DI701" s="106"/>
      <c r="DJ701" s="106"/>
      <c r="DK701" s="106"/>
      <c r="DL701" s="106"/>
      <c r="DM701" s="106"/>
      <c r="DN701" s="106"/>
      <c r="DO701" s="106"/>
      <c r="DP701" s="106"/>
      <c r="DQ701" s="106"/>
      <c r="DR701" s="106"/>
      <c r="DS701" s="106"/>
      <c r="DT701" s="106"/>
      <c r="DU701" s="106"/>
      <c r="DV701" s="106"/>
      <c r="DW701" s="106"/>
      <c r="DX701" s="106"/>
      <c r="DY701" s="106"/>
      <c r="DZ701" s="106"/>
      <c r="EA701" s="106"/>
      <c r="EB701" s="106"/>
      <c r="EC701" s="106"/>
      <c r="ED701" s="106"/>
      <c r="EE701" s="106"/>
      <c r="EF701" s="106"/>
      <c r="EG701" s="106"/>
      <c r="EH701" s="106"/>
      <c r="EI701" s="106"/>
    </row>
    <row r="702" spans="3:139" ht="15.75" customHeight="1" x14ac:dyDescent="0.25"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  <c r="CR702" s="106"/>
      <c r="CS702" s="106"/>
      <c r="CT702" s="106"/>
      <c r="CU702" s="106"/>
      <c r="CV702" s="106"/>
      <c r="CW702" s="106"/>
      <c r="CX702" s="106"/>
      <c r="CY702" s="106"/>
      <c r="CZ702" s="106"/>
      <c r="DA702" s="106"/>
      <c r="DB702" s="106"/>
      <c r="DC702" s="106"/>
      <c r="DD702" s="106"/>
      <c r="DE702" s="106"/>
      <c r="DF702" s="106"/>
      <c r="DG702" s="106"/>
      <c r="DH702" s="106"/>
      <c r="DI702" s="106"/>
      <c r="DJ702" s="106"/>
      <c r="DK702" s="106"/>
      <c r="DL702" s="106"/>
      <c r="DM702" s="106"/>
      <c r="DN702" s="106"/>
      <c r="DO702" s="106"/>
      <c r="DP702" s="106"/>
      <c r="DQ702" s="106"/>
      <c r="DR702" s="106"/>
      <c r="DS702" s="106"/>
      <c r="DT702" s="106"/>
      <c r="DU702" s="106"/>
      <c r="DV702" s="106"/>
      <c r="DW702" s="106"/>
      <c r="DX702" s="106"/>
      <c r="DY702" s="106"/>
      <c r="DZ702" s="106"/>
      <c r="EA702" s="106"/>
      <c r="EB702" s="106"/>
      <c r="EC702" s="106"/>
      <c r="ED702" s="106"/>
      <c r="EE702" s="106"/>
      <c r="EF702" s="106"/>
      <c r="EG702" s="106"/>
      <c r="EH702" s="106"/>
      <c r="EI702" s="106"/>
    </row>
    <row r="703" spans="3:139" ht="15.75" customHeight="1" x14ac:dyDescent="0.25"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  <c r="CR703" s="106"/>
      <c r="CS703" s="106"/>
      <c r="CT703" s="106"/>
      <c r="CU703" s="106"/>
      <c r="CV703" s="106"/>
      <c r="CW703" s="106"/>
      <c r="CX703" s="106"/>
      <c r="CY703" s="106"/>
      <c r="CZ703" s="106"/>
      <c r="DA703" s="106"/>
      <c r="DB703" s="106"/>
      <c r="DC703" s="106"/>
      <c r="DD703" s="106"/>
      <c r="DE703" s="106"/>
      <c r="DF703" s="106"/>
      <c r="DG703" s="106"/>
      <c r="DH703" s="106"/>
      <c r="DI703" s="106"/>
      <c r="DJ703" s="106"/>
      <c r="DK703" s="106"/>
      <c r="DL703" s="106"/>
      <c r="DM703" s="106"/>
      <c r="DN703" s="106"/>
      <c r="DO703" s="106"/>
      <c r="DP703" s="106"/>
      <c r="DQ703" s="106"/>
      <c r="DR703" s="106"/>
      <c r="DS703" s="106"/>
      <c r="DT703" s="106"/>
      <c r="DU703" s="106"/>
      <c r="DV703" s="106"/>
      <c r="DW703" s="106"/>
      <c r="DX703" s="106"/>
      <c r="DY703" s="106"/>
      <c r="DZ703" s="106"/>
      <c r="EA703" s="106"/>
      <c r="EB703" s="106"/>
      <c r="EC703" s="106"/>
      <c r="ED703" s="106"/>
      <c r="EE703" s="106"/>
      <c r="EF703" s="106"/>
      <c r="EG703" s="106"/>
      <c r="EH703" s="106"/>
      <c r="EI703" s="106"/>
    </row>
    <row r="704" spans="3:139" ht="15.75" customHeight="1" x14ac:dyDescent="0.25"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  <c r="CR704" s="106"/>
      <c r="CS704" s="106"/>
      <c r="CT704" s="106"/>
      <c r="CU704" s="106"/>
      <c r="CV704" s="106"/>
      <c r="CW704" s="106"/>
      <c r="CX704" s="106"/>
      <c r="CY704" s="106"/>
      <c r="CZ704" s="106"/>
      <c r="DA704" s="106"/>
      <c r="DB704" s="106"/>
      <c r="DC704" s="106"/>
      <c r="DD704" s="106"/>
      <c r="DE704" s="106"/>
      <c r="DF704" s="106"/>
      <c r="DG704" s="106"/>
      <c r="DH704" s="106"/>
      <c r="DI704" s="106"/>
      <c r="DJ704" s="106"/>
      <c r="DK704" s="106"/>
      <c r="DL704" s="106"/>
      <c r="DM704" s="106"/>
      <c r="DN704" s="106"/>
      <c r="DO704" s="106"/>
      <c r="DP704" s="106"/>
      <c r="DQ704" s="106"/>
      <c r="DR704" s="106"/>
      <c r="DS704" s="106"/>
      <c r="DT704" s="106"/>
      <c r="DU704" s="106"/>
      <c r="DV704" s="106"/>
      <c r="DW704" s="106"/>
      <c r="DX704" s="106"/>
      <c r="DY704" s="106"/>
      <c r="DZ704" s="106"/>
      <c r="EA704" s="106"/>
      <c r="EB704" s="106"/>
      <c r="EC704" s="106"/>
      <c r="ED704" s="106"/>
      <c r="EE704" s="106"/>
      <c r="EF704" s="106"/>
      <c r="EG704" s="106"/>
      <c r="EH704" s="106"/>
      <c r="EI704" s="106"/>
    </row>
    <row r="705" spans="3:139" ht="15.75" customHeight="1" x14ac:dyDescent="0.25"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  <c r="CR705" s="106"/>
      <c r="CS705" s="106"/>
      <c r="CT705" s="106"/>
      <c r="CU705" s="106"/>
      <c r="CV705" s="106"/>
      <c r="CW705" s="106"/>
      <c r="CX705" s="106"/>
      <c r="CY705" s="106"/>
      <c r="CZ705" s="106"/>
      <c r="DA705" s="106"/>
      <c r="DB705" s="106"/>
      <c r="DC705" s="106"/>
      <c r="DD705" s="106"/>
      <c r="DE705" s="106"/>
      <c r="DF705" s="106"/>
      <c r="DG705" s="106"/>
      <c r="DH705" s="106"/>
      <c r="DI705" s="106"/>
      <c r="DJ705" s="106"/>
      <c r="DK705" s="106"/>
      <c r="DL705" s="106"/>
      <c r="DM705" s="106"/>
      <c r="DN705" s="106"/>
      <c r="DO705" s="106"/>
      <c r="DP705" s="106"/>
      <c r="DQ705" s="106"/>
      <c r="DR705" s="106"/>
      <c r="DS705" s="106"/>
      <c r="DT705" s="106"/>
      <c r="DU705" s="106"/>
      <c r="DV705" s="106"/>
      <c r="DW705" s="106"/>
      <c r="DX705" s="106"/>
      <c r="DY705" s="106"/>
      <c r="DZ705" s="106"/>
      <c r="EA705" s="106"/>
      <c r="EB705" s="106"/>
      <c r="EC705" s="106"/>
      <c r="ED705" s="106"/>
      <c r="EE705" s="106"/>
      <c r="EF705" s="106"/>
      <c r="EG705" s="106"/>
      <c r="EH705" s="106"/>
      <c r="EI705" s="106"/>
    </row>
    <row r="706" spans="3:139" ht="15.75" customHeight="1" x14ac:dyDescent="0.25"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  <c r="CR706" s="106"/>
      <c r="CS706" s="106"/>
      <c r="CT706" s="106"/>
      <c r="CU706" s="106"/>
      <c r="CV706" s="106"/>
      <c r="CW706" s="106"/>
      <c r="CX706" s="106"/>
      <c r="CY706" s="106"/>
      <c r="CZ706" s="106"/>
      <c r="DA706" s="106"/>
      <c r="DB706" s="106"/>
      <c r="DC706" s="106"/>
      <c r="DD706" s="106"/>
      <c r="DE706" s="106"/>
      <c r="DF706" s="106"/>
      <c r="DG706" s="106"/>
      <c r="DH706" s="106"/>
      <c r="DI706" s="106"/>
      <c r="DJ706" s="106"/>
      <c r="DK706" s="106"/>
      <c r="DL706" s="106"/>
      <c r="DM706" s="106"/>
      <c r="DN706" s="106"/>
      <c r="DO706" s="106"/>
      <c r="DP706" s="106"/>
      <c r="DQ706" s="106"/>
      <c r="DR706" s="106"/>
      <c r="DS706" s="106"/>
      <c r="DT706" s="106"/>
      <c r="DU706" s="106"/>
      <c r="DV706" s="106"/>
      <c r="DW706" s="106"/>
      <c r="DX706" s="106"/>
      <c r="DY706" s="106"/>
      <c r="DZ706" s="106"/>
      <c r="EA706" s="106"/>
      <c r="EB706" s="106"/>
      <c r="EC706" s="106"/>
      <c r="ED706" s="106"/>
      <c r="EE706" s="106"/>
      <c r="EF706" s="106"/>
      <c r="EG706" s="106"/>
      <c r="EH706" s="106"/>
      <c r="EI706" s="106"/>
    </row>
    <row r="707" spans="3:139" ht="15.75" customHeight="1" x14ac:dyDescent="0.25"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  <c r="CR707" s="106"/>
      <c r="CS707" s="106"/>
      <c r="CT707" s="106"/>
      <c r="CU707" s="106"/>
      <c r="CV707" s="106"/>
      <c r="CW707" s="106"/>
      <c r="CX707" s="106"/>
      <c r="CY707" s="106"/>
      <c r="CZ707" s="106"/>
      <c r="DA707" s="106"/>
      <c r="DB707" s="106"/>
      <c r="DC707" s="106"/>
      <c r="DD707" s="106"/>
      <c r="DE707" s="106"/>
      <c r="DF707" s="106"/>
      <c r="DG707" s="106"/>
      <c r="DH707" s="106"/>
      <c r="DI707" s="106"/>
      <c r="DJ707" s="106"/>
      <c r="DK707" s="106"/>
      <c r="DL707" s="106"/>
      <c r="DM707" s="106"/>
      <c r="DN707" s="106"/>
      <c r="DO707" s="106"/>
      <c r="DP707" s="106"/>
      <c r="DQ707" s="106"/>
      <c r="DR707" s="106"/>
      <c r="DS707" s="106"/>
      <c r="DT707" s="106"/>
      <c r="DU707" s="106"/>
      <c r="DV707" s="106"/>
      <c r="DW707" s="106"/>
      <c r="DX707" s="106"/>
      <c r="DY707" s="106"/>
      <c r="DZ707" s="106"/>
      <c r="EA707" s="106"/>
      <c r="EB707" s="106"/>
      <c r="EC707" s="106"/>
      <c r="ED707" s="106"/>
      <c r="EE707" s="106"/>
      <c r="EF707" s="106"/>
      <c r="EG707" s="106"/>
      <c r="EH707" s="106"/>
      <c r="EI707" s="106"/>
    </row>
    <row r="708" spans="3:139" ht="15.75" customHeight="1" x14ac:dyDescent="0.25"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  <c r="CR708" s="106"/>
      <c r="CS708" s="106"/>
      <c r="CT708" s="106"/>
      <c r="CU708" s="106"/>
      <c r="CV708" s="106"/>
      <c r="CW708" s="106"/>
      <c r="CX708" s="106"/>
      <c r="CY708" s="106"/>
      <c r="CZ708" s="106"/>
      <c r="DA708" s="106"/>
      <c r="DB708" s="106"/>
      <c r="DC708" s="106"/>
      <c r="DD708" s="106"/>
      <c r="DE708" s="106"/>
      <c r="DF708" s="106"/>
      <c r="DG708" s="106"/>
      <c r="DH708" s="106"/>
      <c r="DI708" s="106"/>
      <c r="DJ708" s="106"/>
      <c r="DK708" s="106"/>
      <c r="DL708" s="106"/>
      <c r="DM708" s="106"/>
      <c r="DN708" s="106"/>
      <c r="DO708" s="106"/>
      <c r="DP708" s="106"/>
      <c r="DQ708" s="106"/>
      <c r="DR708" s="106"/>
      <c r="DS708" s="106"/>
      <c r="DT708" s="106"/>
      <c r="DU708" s="106"/>
      <c r="DV708" s="106"/>
      <c r="DW708" s="106"/>
      <c r="DX708" s="106"/>
      <c r="DY708" s="106"/>
      <c r="DZ708" s="106"/>
      <c r="EA708" s="106"/>
      <c r="EB708" s="106"/>
      <c r="EC708" s="106"/>
      <c r="ED708" s="106"/>
      <c r="EE708" s="106"/>
      <c r="EF708" s="106"/>
      <c r="EG708" s="106"/>
      <c r="EH708" s="106"/>
      <c r="EI708" s="106"/>
    </row>
    <row r="709" spans="3:139" ht="15.75" customHeight="1" x14ac:dyDescent="0.25"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  <c r="CR709" s="106"/>
      <c r="CS709" s="106"/>
      <c r="CT709" s="106"/>
      <c r="CU709" s="106"/>
      <c r="CV709" s="106"/>
      <c r="CW709" s="106"/>
      <c r="CX709" s="106"/>
      <c r="CY709" s="106"/>
      <c r="CZ709" s="106"/>
      <c r="DA709" s="106"/>
      <c r="DB709" s="106"/>
      <c r="DC709" s="106"/>
      <c r="DD709" s="106"/>
      <c r="DE709" s="106"/>
      <c r="DF709" s="106"/>
      <c r="DG709" s="106"/>
      <c r="DH709" s="106"/>
      <c r="DI709" s="106"/>
      <c r="DJ709" s="106"/>
      <c r="DK709" s="106"/>
      <c r="DL709" s="106"/>
      <c r="DM709" s="106"/>
      <c r="DN709" s="106"/>
      <c r="DO709" s="106"/>
      <c r="DP709" s="106"/>
      <c r="DQ709" s="106"/>
      <c r="DR709" s="106"/>
      <c r="DS709" s="106"/>
      <c r="DT709" s="106"/>
      <c r="DU709" s="106"/>
      <c r="DV709" s="106"/>
      <c r="DW709" s="106"/>
      <c r="DX709" s="106"/>
      <c r="DY709" s="106"/>
      <c r="DZ709" s="106"/>
      <c r="EA709" s="106"/>
      <c r="EB709" s="106"/>
      <c r="EC709" s="106"/>
      <c r="ED709" s="106"/>
      <c r="EE709" s="106"/>
      <c r="EF709" s="106"/>
      <c r="EG709" s="106"/>
      <c r="EH709" s="106"/>
      <c r="EI709" s="106"/>
    </row>
    <row r="710" spans="3:139" ht="15.75" customHeight="1" x14ac:dyDescent="0.25"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  <c r="CR710" s="106"/>
      <c r="CS710" s="106"/>
      <c r="CT710" s="106"/>
      <c r="CU710" s="106"/>
      <c r="CV710" s="106"/>
      <c r="CW710" s="106"/>
      <c r="CX710" s="106"/>
      <c r="CY710" s="106"/>
      <c r="CZ710" s="106"/>
      <c r="DA710" s="106"/>
      <c r="DB710" s="106"/>
      <c r="DC710" s="106"/>
      <c r="DD710" s="106"/>
      <c r="DE710" s="106"/>
      <c r="DF710" s="106"/>
      <c r="DG710" s="106"/>
      <c r="DH710" s="106"/>
      <c r="DI710" s="106"/>
      <c r="DJ710" s="106"/>
      <c r="DK710" s="106"/>
      <c r="DL710" s="106"/>
      <c r="DM710" s="106"/>
      <c r="DN710" s="106"/>
      <c r="DO710" s="106"/>
      <c r="DP710" s="106"/>
      <c r="DQ710" s="106"/>
      <c r="DR710" s="106"/>
      <c r="DS710" s="106"/>
      <c r="DT710" s="106"/>
      <c r="DU710" s="106"/>
      <c r="DV710" s="106"/>
      <c r="DW710" s="106"/>
      <c r="DX710" s="106"/>
      <c r="DY710" s="106"/>
      <c r="DZ710" s="106"/>
      <c r="EA710" s="106"/>
      <c r="EB710" s="106"/>
      <c r="EC710" s="106"/>
      <c r="ED710" s="106"/>
      <c r="EE710" s="106"/>
      <c r="EF710" s="106"/>
      <c r="EG710" s="106"/>
      <c r="EH710" s="106"/>
      <c r="EI710" s="106"/>
    </row>
    <row r="711" spans="3:139" ht="15.75" customHeight="1" x14ac:dyDescent="0.25"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  <c r="CR711" s="106"/>
      <c r="CS711" s="106"/>
      <c r="CT711" s="106"/>
      <c r="CU711" s="106"/>
      <c r="CV711" s="106"/>
      <c r="CW711" s="106"/>
      <c r="CX711" s="106"/>
      <c r="CY711" s="106"/>
      <c r="CZ711" s="106"/>
      <c r="DA711" s="106"/>
      <c r="DB711" s="106"/>
      <c r="DC711" s="106"/>
      <c r="DD711" s="106"/>
      <c r="DE711" s="106"/>
      <c r="DF711" s="106"/>
      <c r="DG711" s="106"/>
      <c r="DH711" s="106"/>
      <c r="DI711" s="106"/>
      <c r="DJ711" s="106"/>
      <c r="DK711" s="106"/>
      <c r="DL711" s="106"/>
      <c r="DM711" s="106"/>
      <c r="DN711" s="106"/>
      <c r="DO711" s="106"/>
      <c r="DP711" s="106"/>
      <c r="DQ711" s="106"/>
      <c r="DR711" s="106"/>
      <c r="DS711" s="106"/>
      <c r="DT711" s="106"/>
      <c r="DU711" s="106"/>
      <c r="DV711" s="106"/>
      <c r="DW711" s="106"/>
      <c r="DX711" s="106"/>
      <c r="DY711" s="106"/>
      <c r="DZ711" s="106"/>
      <c r="EA711" s="106"/>
      <c r="EB711" s="106"/>
      <c r="EC711" s="106"/>
      <c r="ED711" s="106"/>
      <c r="EE711" s="106"/>
      <c r="EF711" s="106"/>
      <c r="EG711" s="106"/>
      <c r="EH711" s="106"/>
      <c r="EI711" s="106"/>
    </row>
    <row r="712" spans="3:139" ht="15.75" customHeight="1" x14ac:dyDescent="0.25"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  <c r="CR712" s="106"/>
      <c r="CS712" s="106"/>
      <c r="CT712" s="106"/>
      <c r="CU712" s="106"/>
      <c r="CV712" s="106"/>
      <c r="CW712" s="106"/>
      <c r="CX712" s="106"/>
      <c r="CY712" s="106"/>
      <c r="CZ712" s="106"/>
      <c r="DA712" s="106"/>
      <c r="DB712" s="106"/>
      <c r="DC712" s="106"/>
      <c r="DD712" s="106"/>
      <c r="DE712" s="106"/>
      <c r="DF712" s="106"/>
      <c r="DG712" s="106"/>
      <c r="DH712" s="106"/>
      <c r="DI712" s="106"/>
      <c r="DJ712" s="106"/>
      <c r="DK712" s="106"/>
      <c r="DL712" s="106"/>
      <c r="DM712" s="106"/>
      <c r="DN712" s="106"/>
      <c r="DO712" s="106"/>
      <c r="DP712" s="106"/>
      <c r="DQ712" s="106"/>
      <c r="DR712" s="106"/>
      <c r="DS712" s="106"/>
      <c r="DT712" s="106"/>
      <c r="DU712" s="106"/>
      <c r="DV712" s="106"/>
      <c r="DW712" s="106"/>
      <c r="DX712" s="106"/>
      <c r="DY712" s="106"/>
      <c r="DZ712" s="106"/>
      <c r="EA712" s="106"/>
      <c r="EB712" s="106"/>
      <c r="EC712" s="106"/>
      <c r="ED712" s="106"/>
      <c r="EE712" s="106"/>
      <c r="EF712" s="106"/>
      <c r="EG712" s="106"/>
      <c r="EH712" s="106"/>
      <c r="EI712" s="106"/>
    </row>
    <row r="713" spans="3:139" ht="15.75" customHeight="1" x14ac:dyDescent="0.25"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  <c r="CR713" s="106"/>
      <c r="CS713" s="106"/>
      <c r="CT713" s="106"/>
      <c r="CU713" s="106"/>
      <c r="CV713" s="106"/>
      <c r="CW713" s="106"/>
      <c r="CX713" s="106"/>
      <c r="CY713" s="106"/>
      <c r="CZ713" s="106"/>
      <c r="DA713" s="106"/>
      <c r="DB713" s="106"/>
      <c r="DC713" s="106"/>
      <c r="DD713" s="106"/>
      <c r="DE713" s="106"/>
      <c r="DF713" s="106"/>
      <c r="DG713" s="106"/>
      <c r="DH713" s="106"/>
      <c r="DI713" s="106"/>
      <c r="DJ713" s="106"/>
      <c r="DK713" s="106"/>
      <c r="DL713" s="106"/>
      <c r="DM713" s="106"/>
      <c r="DN713" s="106"/>
      <c r="DO713" s="106"/>
      <c r="DP713" s="106"/>
      <c r="DQ713" s="106"/>
      <c r="DR713" s="106"/>
      <c r="DS713" s="106"/>
      <c r="DT713" s="106"/>
      <c r="DU713" s="106"/>
      <c r="DV713" s="106"/>
      <c r="DW713" s="106"/>
      <c r="DX713" s="106"/>
      <c r="DY713" s="106"/>
      <c r="DZ713" s="106"/>
      <c r="EA713" s="106"/>
      <c r="EB713" s="106"/>
      <c r="EC713" s="106"/>
      <c r="ED713" s="106"/>
      <c r="EE713" s="106"/>
      <c r="EF713" s="106"/>
      <c r="EG713" s="106"/>
      <c r="EH713" s="106"/>
      <c r="EI713" s="106"/>
    </row>
    <row r="714" spans="3:139" ht="15.75" customHeight="1" x14ac:dyDescent="0.25"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  <c r="CR714" s="106"/>
      <c r="CS714" s="106"/>
      <c r="CT714" s="106"/>
      <c r="CU714" s="106"/>
      <c r="CV714" s="106"/>
      <c r="CW714" s="106"/>
      <c r="CX714" s="106"/>
      <c r="CY714" s="106"/>
      <c r="CZ714" s="106"/>
      <c r="DA714" s="106"/>
      <c r="DB714" s="106"/>
      <c r="DC714" s="106"/>
      <c r="DD714" s="106"/>
      <c r="DE714" s="106"/>
      <c r="DF714" s="106"/>
      <c r="DG714" s="106"/>
      <c r="DH714" s="106"/>
      <c r="DI714" s="106"/>
      <c r="DJ714" s="106"/>
      <c r="DK714" s="106"/>
      <c r="DL714" s="106"/>
      <c r="DM714" s="106"/>
      <c r="DN714" s="106"/>
      <c r="DO714" s="106"/>
      <c r="DP714" s="106"/>
      <c r="DQ714" s="106"/>
      <c r="DR714" s="106"/>
      <c r="DS714" s="106"/>
      <c r="DT714" s="106"/>
      <c r="DU714" s="106"/>
      <c r="DV714" s="106"/>
      <c r="DW714" s="106"/>
      <c r="DX714" s="106"/>
      <c r="DY714" s="106"/>
      <c r="DZ714" s="106"/>
      <c r="EA714" s="106"/>
      <c r="EB714" s="106"/>
      <c r="EC714" s="106"/>
      <c r="ED714" s="106"/>
      <c r="EE714" s="106"/>
      <c r="EF714" s="106"/>
      <c r="EG714" s="106"/>
      <c r="EH714" s="106"/>
      <c r="EI714" s="106"/>
    </row>
    <row r="715" spans="3:139" ht="15.75" customHeight="1" x14ac:dyDescent="0.25"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  <c r="CR715" s="106"/>
      <c r="CS715" s="106"/>
      <c r="CT715" s="106"/>
      <c r="CU715" s="106"/>
      <c r="CV715" s="106"/>
      <c r="CW715" s="106"/>
      <c r="CX715" s="106"/>
      <c r="CY715" s="106"/>
      <c r="CZ715" s="106"/>
      <c r="DA715" s="106"/>
      <c r="DB715" s="106"/>
      <c r="DC715" s="106"/>
      <c r="DD715" s="106"/>
      <c r="DE715" s="106"/>
      <c r="DF715" s="106"/>
      <c r="DG715" s="106"/>
      <c r="DH715" s="106"/>
      <c r="DI715" s="106"/>
      <c r="DJ715" s="106"/>
      <c r="DK715" s="106"/>
      <c r="DL715" s="106"/>
      <c r="DM715" s="106"/>
      <c r="DN715" s="106"/>
      <c r="DO715" s="106"/>
      <c r="DP715" s="106"/>
      <c r="DQ715" s="106"/>
      <c r="DR715" s="106"/>
      <c r="DS715" s="106"/>
      <c r="DT715" s="106"/>
      <c r="DU715" s="106"/>
      <c r="DV715" s="106"/>
      <c r="DW715" s="106"/>
      <c r="DX715" s="106"/>
      <c r="DY715" s="106"/>
      <c r="DZ715" s="106"/>
      <c r="EA715" s="106"/>
      <c r="EB715" s="106"/>
      <c r="EC715" s="106"/>
      <c r="ED715" s="106"/>
      <c r="EE715" s="106"/>
      <c r="EF715" s="106"/>
      <c r="EG715" s="106"/>
      <c r="EH715" s="106"/>
      <c r="EI715" s="106"/>
    </row>
    <row r="716" spans="3:139" ht="15.75" customHeight="1" x14ac:dyDescent="0.25"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  <c r="CR716" s="106"/>
      <c r="CS716" s="106"/>
      <c r="CT716" s="106"/>
      <c r="CU716" s="106"/>
      <c r="CV716" s="106"/>
      <c r="CW716" s="106"/>
      <c r="CX716" s="106"/>
      <c r="CY716" s="106"/>
      <c r="CZ716" s="106"/>
      <c r="DA716" s="106"/>
      <c r="DB716" s="106"/>
      <c r="DC716" s="106"/>
      <c r="DD716" s="106"/>
      <c r="DE716" s="106"/>
      <c r="DF716" s="106"/>
      <c r="DG716" s="106"/>
      <c r="DH716" s="106"/>
      <c r="DI716" s="106"/>
      <c r="DJ716" s="106"/>
      <c r="DK716" s="106"/>
      <c r="DL716" s="106"/>
      <c r="DM716" s="106"/>
      <c r="DN716" s="106"/>
      <c r="DO716" s="106"/>
      <c r="DP716" s="106"/>
      <c r="DQ716" s="106"/>
      <c r="DR716" s="106"/>
      <c r="DS716" s="106"/>
      <c r="DT716" s="106"/>
      <c r="DU716" s="106"/>
      <c r="DV716" s="106"/>
      <c r="DW716" s="106"/>
      <c r="DX716" s="106"/>
      <c r="DY716" s="106"/>
      <c r="DZ716" s="106"/>
      <c r="EA716" s="106"/>
      <c r="EB716" s="106"/>
      <c r="EC716" s="106"/>
      <c r="ED716" s="106"/>
      <c r="EE716" s="106"/>
      <c r="EF716" s="106"/>
      <c r="EG716" s="106"/>
      <c r="EH716" s="106"/>
      <c r="EI716" s="106"/>
    </row>
    <row r="717" spans="3:139" ht="15.75" customHeight="1" x14ac:dyDescent="0.25"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  <c r="CR717" s="106"/>
      <c r="CS717" s="106"/>
      <c r="CT717" s="106"/>
      <c r="CU717" s="106"/>
      <c r="CV717" s="106"/>
      <c r="CW717" s="106"/>
      <c r="CX717" s="106"/>
      <c r="CY717" s="106"/>
      <c r="CZ717" s="106"/>
      <c r="DA717" s="106"/>
      <c r="DB717" s="106"/>
      <c r="DC717" s="106"/>
      <c r="DD717" s="106"/>
      <c r="DE717" s="106"/>
      <c r="DF717" s="106"/>
      <c r="DG717" s="106"/>
      <c r="DH717" s="106"/>
      <c r="DI717" s="106"/>
      <c r="DJ717" s="106"/>
      <c r="DK717" s="106"/>
      <c r="DL717" s="106"/>
      <c r="DM717" s="106"/>
      <c r="DN717" s="106"/>
      <c r="DO717" s="106"/>
      <c r="DP717" s="106"/>
      <c r="DQ717" s="106"/>
      <c r="DR717" s="106"/>
      <c r="DS717" s="106"/>
      <c r="DT717" s="106"/>
      <c r="DU717" s="106"/>
      <c r="DV717" s="106"/>
      <c r="DW717" s="106"/>
      <c r="DX717" s="106"/>
      <c r="DY717" s="106"/>
      <c r="DZ717" s="106"/>
      <c r="EA717" s="106"/>
      <c r="EB717" s="106"/>
      <c r="EC717" s="106"/>
      <c r="ED717" s="106"/>
      <c r="EE717" s="106"/>
      <c r="EF717" s="106"/>
      <c r="EG717" s="106"/>
      <c r="EH717" s="106"/>
      <c r="EI717" s="106"/>
    </row>
    <row r="718" spans="3:139" ht="15.75" customHeight="1" x14ac:dyDescent="0.25"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  <c r="CR718" s="106"/>
      <c r="CS718" s="106"/>
      <c r="CT718" s="106"/>
      <c r="CU718" s="106"/>
      <c r="CV718" s="106"/>
      <c r="CW718" s="106"/>
      <c r="CX718" s="106"/>
      <c r="CY718" s="106"/>
      <c r="CZ718" s="106"/>
      <c r="DA718" s="106"/>
      <c r="DB718" s="106"/>
      <c r="DC718" s="106"/>
      <c r="DD718" s="106"/>
      <c r="DE718" s="106"/>
      <c r="DF718" s="106"/>
      <c r="DG718" s="106"/>
      <c r="DH718" s="106"/>
      <c r="DI718" s="106"/>
      <c r="DJ718" s="106"/>
      <c r="DK718" s="106"/>
      <c r="DL718" s="106"/>
      <c r="DM718" s="106"/>
      <c r="DN718" s="106"/>
      <c r="DO718" s="106"/>
      <c r="DP718" s="106"/>
      <c r="DQ718" s="106"/>
      <c r="DR718" s="106"/>
      <c r="DS718" s="106"/>
      <c r="DT718" s="106"/>
      <c r="DU718" s="106"/>
      <c r="DV718" s="106"/>
      <c r="DW718" s="106"/>
      <c r="DX718" s="106"/>
      <c r="DY718" s="106"/>
      <c r="DZ718" s="106"/>
      <c r="EA718" s="106"/>
      <c r="EB718" s="106"/>
      <c r="EC718" s="106"/>
      <c r="ED718" s="106"/>
      <c r="EE718" s="106"/>
      <c r="EF718" s="106"/>
      <c r="EG718" s="106"/>
      <c r="EH718" s="106"/>
      <c r="EI718" s="106"/>
    </row>
    <row r="719" spans="3:139" ht="15.75" customHeight="1" x14ac:dyDescent="0.25"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  <c r="CR719" s="106"/>
      <c r="CS719" s="106"/>
      <c r="CT719" s="106"/>
      <c r="CU719" s="106"/>
      <c r="CV719" s="106"/>
      <c r="CW719" s="106"/>
      <c r="CX719" s="106"/>
      <c r="CY719" s="106"/>
      <c r="CZ719" s="106"/>
      <c r="DA719" s="106"/>
      <c r="DB719" s="106"/>
      <c r="DC719" s="106"/>
      <c r="DD719" s="106"/>
      <c r="DE719" s="106"/>
      <c r="DF719" s="106"/>
      <c r="DG719" s="106"/>
      <c r="DH719" s="106"/>
      <c r="DI719" s="106"/>
      <c r="DJ719" s="106"/>
      <c r="DK719" s="106"/>
      <c r="DL719" s="106"/>
      <c r="DM719" s="106"/>
      <c r="DN719" s="106"/>
      <c r="DO719" s="106"/>
      <c r="DP719" s="106"/>
      <c r="DQ719" s="106"/>
      <c r="DR719" s="106"/>
      <c r="DS719" s="106"/>
      <c r="DT719" s="106"/>
      <c r="DU719" s="106"/>
      <c r="DV719" s="106"/>
      <c r="DW719" s="106"/>
      <c r="DX719" s="106"/>
      <c r="DY719" s="106"/>
      <c r="DZ719" s="106"/>
      <c r="EA719" s="106"/>
      <c r="EB719" s="106"/>
      <c r="EC719" s="106"/>
      <c r="ED719" s="106"/>
      <c r="EE719" s="106"/>
      <c r="EF719" s="106"/>
      <c r="EG719" s="106"/>
      <c r="EH719" s="106"/>
      <c r="EI719" s="106"/>
    </row>
    <row r="720" spans="3:139" ht="15.75" customHeight="1" x14ac:dyDescent="0.25"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  <c r="CR720" s="106"/>
      <c r="CS720" s="106"/>
      <c r="CT720" s="106"/>
      <c r="CU720" s="106"/>
      <c r="CV720" s="106"/>
      <c r="CW720" s="106"/>
      <c r="CX720" s="106"/>
      <c r="CY720" s="106"/>
      <c r="CZ720" s="106"/>
      <c r="DA720" s="106"/>
      <c r="DB720" s="106"/>
      <c r="DC720" s="106"/>
      <c r="DD720" s="106"/>
      <c r="DE720" s="106"/>
      <c r="DF720" s="106"/>
      <c r="DG720" s="106"/>
      <c r="DH720" s="106"/>
      <c r="DI720" s="106"/>
      <c r="DJ720" s="106"/>
      <c r="DK720" s="106"/>
      <c r="DL720" s="106"/>
      <c r="DM720" s="106"/>
      <c r="DN720" s="106"/>
      <c r="DO720" s="106"/>
      <c r="DP720" s="106"/>
      <c r="DQ720" s="106"/>
      <c r="DR720" s="106"/>
      <c r="DS720" s="106"/>
      <c r="DT720" s="106"/>
      <c r="DU720" s="106"/>
      <c r="DV720" s="106"/>
      <c r="DW720" s="106"/>
      <c r="DX720" s="106"/>
      <c r="DY720" s="106"/>
      <c r="DZ720" s="106"/>
      <c r="EA720" s="106"/>
      <c r="EB720" s="106"/>
      <c r="EC720" s="106"/>
      <c r="ED720" s="106"/>
      <c r="EE720" s="106"/>
      <c r="EF720" s="106"/>
      <c r="EG720" s="106"/>
      <c r="EH720" s="106"/>
      <c r="EI720" s="106"/>
    </row>
    <row r="721" spans="3:139" ht="15.75" customHeight="1" x14ac:dyDescent="0.25"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  <c r="CR721" s="106"/>
      <c r="CS721" s="106"/>
      <c r="CT721" s="106"/>
      <c r="CU721" s="106"/>
      <c r="CV721" s="106"/>
      <c r="CW721" s="106"/>
      <c r="CX721" s="106"/>
      <c r="CY721" s="106"/>
      <c r="CZ721" s="106"/>
      <c r="DA721" s="106"/>
      <c r="DB721" s="106"/>
      <c r="DC721" s="106"/>
      <c r="DD721" s="106"/>
      <c r="DE721" s="106"/>
      <c r="DF721" s="106"/>
      <c r="DG721" s="106"/>
      <c r="DH721" s="106"/>
      <c r="DI721" s="106"/>
      <c r="DJ721" s="106"/>
      <c r="DK721" s="106"/>
      <c r="DL721" s="106"/>
      <c r="DM721" s="106"/>
      <c r="DN721" s="106"/>
      <c r="DO721" s="106"/>
      <c r="DP721" s="106"/>
      <c r="DQ721" s="106"/>
      <c r="DR721" s="106"/>
      <c r="DS721" s="106"/>
      <c r="DT721" s="106"/>
      <c r="DU721" s="106"/>
      <c r="DV721" s="106"/>
      <c r="DW721" s="106"/>
      <c r="DX721" s="106"/>
      <c r="DY721" s="106"/>
      <c r="DZ721" s="106"/>
      <c r="EA721" s="106"/>
      <c r="EB721" s="106"/>
      <c r="EC721" s="106"/>
      <c r="ED721" s="106"/>
      <c r="EE721" s="106"/>
      <c r="EF721" s="106"/>
      <c r="EG721" s="106"/>
      <c r="EH721" s="106"/>
      <c r="EI721" s="106"/>
    </row>
    <row r="722" spans="3:139" ht="15.75" customHeight="1" x14ac:dyDescent="0.25"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  <c r="CR722" s="106"/>
      <c r="CS722" s="106"/>
      <c r="CT722" s="106"/>
      <c r="CU722" s="106"/>
      <c r="CV722" s="106"/>
      <c r="CW722" s="106"/>
      <c r="CX722" s="106"/>
      <c r="CY722" s="106"/>
      <c r="CZ722" s="106"/>
      <c r="DA722" s="106"/>
      <c r="DB722" s="106"/>
      <c r="DC722" s="106"/>
      <c r="DD722" s="106"/>
      <c r="DE722" s="106"/>
      <c r="DF722" s="106"/>
      <c r="DG722" s="106"/>
      <c r="DH722" s="106"/>
      <c r="DI722" s="106"/>
      <c r="DJ722" s="106"/>
      <c r="DK722" s="106"/>
      <c r="DL722" s="106"/>
      <c r="DM722" s="106"/>
      <c r="DN722" s="106"/>
      <c r="DO722" s="106"/>
      <c r="DP722" s="106"/>
      <c r="DQ722" s="106"/>
      <c r="DR722" s="106"/>
      <c r="DS722" s="106"/>
      <c r="DT722" s="106"/>
      <c r="DU722" s="106"/>
      <c r="DV722" s="106"/>
      <c r="DW722" s="106"/>
      <c r="DX722" s="106"/>
      <c r="DY722" s="106"/>
      <c r="DZ722" s="106"/>
      <c r="EA722" s="106"/>
      <c r="EB722" s="106"/>
      <c r="EC722" s="106"/>
      <c r="ED722" s="106"/>
      <c r="EE722" s="106"/>
      <c r="EF722" s="106"/>
      <c r="EG722" s="106"/>
      <c r="EH722" s="106"/>
      <c r="EI722" s="106"/>
    </row>
    <row r="723" spans="3:139" ht="15.75" customHeight="1" x14ac:dyDescent="0.25"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  <c r="CR723" s="106"/>
      <c r="CS723" s="106"/>
      <c r="CT723" s="106"/>
      <c r="CU723" s="106"/>
      <c r="CV723" s="106"/>
      <c r="CW723" s="106"/>
      <c r="CX723" s="106"/>
      <c r="CY723" s="106"/>
      <c r="CZ723" s="106"/>
      <c r="DA723" s="106"/>
      <c r="DB723" s="106"/>
      <c r="DC723" s="106"/>
      <c r="DD723" s="106"/>
      <c r="DE723" s="106"/>
      <c r="DF723" s="106"/>
      <c r="DG723" s="106"/>
      <c r="DH723" s="106"/>
      <c r="DI723" s="106"/>
      <c r="DJ723" s="106"/>
      <c r="DK723" s="106"/>
      <c r="DL723" s="106"/>
      <c r="DM723" s="106"/>
      <c r="DN723" s="106"/>
      <c r="DO723" s="106"/>
      <c r="DP723" s="106"/>
      <c r="DQ723" s="106"/>
      <c r="DR723" s="106"/>
      <c r="DS723" s="106"/>
      <c r="DT723" s="106"/>
      <c r="DU723" s="106"/>
      <c r="DV723" s="106"/>
      <c r="DW723" s="106"/>
      <c r="DX723" s="106"/>
      <c r="DY723" s="106"/>
      <c r="DZ723" s="106"/>
      <c r="EA723" s="106"/>
      <c r="EB723" s="106"/>
      <c r="EC723" s="106"/>
      <c r="ED723" s="106"/>
      <c r="EE723" s="106"/>
      <c r="EF723" s="106"/>
      <c r="EG723" s="106"/>
      <c r="EH723" s="106"/>
      <c r="EI723" s="106"/>
    </row>
    <row r="724" spans="3:139" ht="15.75" customHeight="1" x14ac:dyDescent="0.25"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  <c r="CR724" s="106"/>
      <c r="CS724" s="106"/>
      <c r="CT724" s="106"/>
      <c r="CU724" s="106"/>
      <c r="CV724" s="106"/>
      <c r="CW724" s="106"/>
      <c r="CX724" s="106"/>
      <c r="CY724" s="106"/>
      <c r="CZ724" s="106"/>
      <c r="DA724" s="106"/>
      <c r="DB724" s="106"/>
      <c r="DC724" s="106"/>
      <c r="DD724" s="106"/>
      <c r="DE724" s="106"/>
      <c r="DF724" s="106"/>
      <c r="DG724" s="106"/>
      <c r="DH724" s="106"/>
      <c r="DI724" s="106"/>
      <c r="DJ724" s="106"/>
      <c r="DK724" s="106"/>
      <c r="DL724" s="106"/>
      <c r="DM724" s="106"/>
      <c r="DN724" s="106"/>
      <c r="DO724" s="106"/>
      <c r="DP724" s="106"/>
      <c r="DQ724" s="106"/>
      <c r="DR724" s="106"/>
      <c r="DS724" s="106"/>
      <c r="DT724" s="106"/>
      <c r="DU724" s="106"/>
      <c r="DV724" s="106"/>
      <c r="DW724" s="106"/>
      <c r="DX724" s="106"/>
      <c r="DY724" s="106"/>
      <c r="DZ724" s="106"/>
      <c r="EA724" s="106"/>
      <c r="EB724" s="106"/>
      <c r="EC724" s="106"/>
      <c r="ED724" s="106"/>
      <c r="EE724" s="106"/>
      <c r="EF724" s="106"/>
      <c r="EG724" s="106"/>
      <c r="EH724" s="106"/>
      <c r="EI724" s="106"/>
    </row>
    <row r="725" spans="3:139" ht="15.75" customHeight="1" x14ac:dyDescent="0.25"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  <c r="CR725" s="106"/>
      <c r="CS725" s="106"/>
      <c r="CT725" s="106"/>
      <c r="CU725" s="106"/>
      <c r="CV725" s="106"/>
      <c r="CW725" s="106"/>
      <c r="CX725" s="106"/>
      <c r="CY725" s="106"/>
      <c r="CZ725" s="106"/>
      <c r="DA725" s="106"/>
      <c r="DB725" s="106"/>
      <c r="DC725" s="106"/>
      <c r="DD725" s="106"/>
      <c r="DE725" s="106"/>
      <c r="DF725" s="106"/>
      <c r="DG725" s="106"/>
      <c r="DH725" s="106"/>
      <c r="DI725" s="106"/>
      <c r="DJ725" s="106"/>
      <c r="DK725" s="106"/>
      <c r="DL725" s="106"/>
      <c r="DM725" s="106"/>
      <c r="DN725" s="106"/>
      <c r="DO725" s="106"/>
      <c r="DP725" s="106"/>
      <c r="DQ725" s="106"/>
      <c r="DR725" s="106"/>
      <c r="DS725" s="106"/>
      <c r="DT725" s="106"/>
      <c r="DU725" s="106"/>
      <c r="DV725" s="106"/>
      <c r="DW725" s="106"/>
      <c r="DX725" s="106"/>
      <c r="DY725" s="106"/>
      <c r="DZ725" s="106"/>
      <c r="EA725" s="106"/>
      <c r="EB725" s="106"/>
      <c r="EC725" s="106"/>
      <c r="ED725" s="106"/>
      <c r="EE725" s="106"/>
      <c r="EF725" s="106"/>
      <c r="EG725" s="106"/>
      <c r="EH725" s="106"/>
      <c r="EI725" s="106"/>
    </row>
    <row r="726" spans="3:139" ht="15.75" customHeight="1" x14ac:dyDescent="0.25"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  <c r="CR726" s="106"/>
      <c r="CS726" s="106"/>
      <c r="CT726" s="106"/>
      <c r="CU726" s="106"/>
      <c r="CV726" s="106"/>
      <c r="CW726" s="106"/>
      <c r="CX726" s="106"/>
      <c r="CY726" s="106"/>
      <c r="CZ726" s="106"/>
      <c r="DA726" s="106"/>
      <c r="DB726" s="106"/>
      <c r="DC726" s="106"/>
      <c r="DD726" s="106"/>
      <c r="DE726" s="106"/>
      <c r="DF726" s="106"/>
      <c r="DG726" s="106"/>
      <c r="DH726" s="106"/>
      <c r="DI726" s="106"/>
      <c r="DJ726" s="106"/>
      <c r="DK726" s="106"/>
      <c r="DL726" s="106"/>
      <c r="DM726" s="106"/>
      <c r="DN726" s="106"/>
      <c r="DO726" s="106"/>
      <c r="DP726" s="106"/>
      <c r="DQ726" s="106"/>
      <c r="DR726" s="106"/>
      <c r="DS726" s="106"/>
      <c r="DT726" s="106"/>
      <c r="DU726" s="106"/>
      <c r="DV726" s="106"/>
      <c r="DW726" s="106"/>
      <c r="DX726" s="106"/>
      <c r="DY726" s="106"/>
      <c r="DZ726" s="106"/>
      <c r="EA726" s="106"/>
      <c r="EB726" s="106"/>
      <c r="EC726" s="106"/>
      <c r="ED726" s="106"/>
      <c r="EE726" s="106"/>
      <c r="EF726" s="106"/>
      <c r="EG726" s="106"/>
      <c r="EH726" s="106"/>
      <c r="EI726" s="106"/>
    </row>
    <row r="727" spans="3:139" ht="15.75" customHeight="1" x14ac:dyDescent="0.25"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  <c r="CR727" s="106"/>
      <c r="CS727" s="106"/>
      <c r="CT727" s="106"/>
      <c r="CU727" s="106"/>
      <c r="CV727" s="106"/>
      <c r="CW727" s="106"/>
      <c r="CX727" s="106"/>
      <c r="CY727" s="106"/>
      <c r="CZ727" s="106"/>
      <c r="DA727" s="106"/>
      <c r="DB727" s="106"/>
      <c r="DC727" s="106"/>
      <c r="DD727" s="106"/>
      <c r="DE727" s="106"/>
      <c r="DF727" s="106"/>
      <c r="DG727" s="106"/>
      <c r="DH727" s="106"/>
      <c r="DI727" s="106"/>
      <c r="DJ727" s="106"/>
      <c r="DK727" s="106"/>
      <c r="DL727" s="106"/>
      <c r="DM727" s="106"/>
      <c r="DN727" s="106"/>
      <c r="DO727" s="106"/>
      <c r="DP727" s="106"/>
      <c r="DQ727" s="106"/>
      <c r="DR727" s="106"/>
      <c r="DS727" s="106"/>
      <c r="DT727" s="106"/>
      <c r="DU727" s="106"/>
      <c r="DV727" s="106"/>
      <c r="DW727" s="106"/>
      <c r="DX727" s="106"/>
      <c r="DY727" s="106"/>
      <c r="DZ727" s="106"/>
      <c r="EA727" s="106"/>
      <c r="EB727" s="106"/>
      <c r="EC727" s="106"/>
      <c r="ED727" s="106"/>
      <c r="EE727" s="106"/>
      <c r="EF727" s="106"/>
      <c r="EG727" s="106"/>
      <c r="EH727" s="106"/>
      <c r="EI727" s="106"/>
    </row>
    <row r="728" spans="3:139" ht="15.75" customHeight="1" x14ac:dyDescent="0.25"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  <c r="CR728" s="106"/>
      <c r="CS728" s="106"/>
      <c r="CT728" s="106"/>
      <c r="CU728" s="106"/>
      <c r="CV728" s="106"/>
      <c r="CW728" s="106"/>
      <c r="CX728" s="106"/>
      <c r="CY728" s="106"/>
      <c r="CZ728" s="106"/>
      <c r="DA728" s="106"/>
      <c r="DB728" s="106"/>
      <c r="DC728" s="106"/>
      <c r="DD728" s="106"/>
      <c r="DE728" s="106"/>
      <c r="DF728" s="106"/>
      <c r="DG728" s="106"/>
      <c r="DH728" s="106"/>
      <c r="DI728" s="106"/>
      <c r="DJ728" s="106"/>
      <c r="DK728" s="106"/>
      <c r="DL728" s="106"/>
      <c r="DM728" s="106"/>
      <c r="DN728" s="106"/>
      <c r="DO728" s="106"/>
      <c r="DP728" s="106"/>
      <c r="DQ728" s="106"/>
      <c r="DR728" s="106"/>
      <c r="DS728" s="106"/>
      <c r="DT728" s="106"/>
      <c r="DU728" s="106"/>
      <c r="DV728" s="106"/>
      <c r="DW728" s="106"/>
      <c r="DX728" s="106"/>
      <c r="DY728" s="106"/>
      <c r="DZ728" s="106"/>
      <c r="EA728" s="106"/>
      <c r="EB728" s="106"/>
      <c r="EC728" s="106"/>
      <c r="ED728" s="106"/>
      <c r="EE728" s="106"/>
      <c r="EF728" s="106"/>
      <c r="EG728" s="106"/>
      <c r="EH728" s="106"/>
      <c r="EI728" s="106"/>
    </row>
    <row r="729" spans="3:139" ht="15.75" customHeight="1" x14ac:dyDescent="0.25"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  <c r="CR729" s="106"/>
      <c r="CS729" s="106"/>
      <c r="CT729" s="106"/>
      <c r="CU729" s="106"/>
      <c r="CV729" s="106"/>
      <c r="CW729" s="106"/>
      <c r="CX729" s="106"/>
      <c r="CY729" s="106"/>
      <c r="CZ729" s="106"/>
      <c r="DA729" s="106"/>
      <c r="DB729" s="106"/>
      <c r="DC729" s="106"/>
      <c r="DD729" s="106"/>
      <c r="DE729" s="106"/>
      <c r="DF729" s="106"/>
      <c r="DG729" s="106"/>
      <c r="DH729" s="106"/>
      <c r="DI729" s="106"/>
      <c r="DJ729" s="106"/>
      <c r="DK729" s="106"/>
      <c r="DL729" s="106"/>
      <c r="DM729" s="106"/>
      <c r="DN729" s="106"/>
      <c r="DO729" s="106"/>
      <c r="DP729" s="106"/>
      <c r="DQ729" s="106"/>
      <c r="DR729" s="106"/>
      <c r="DS729" s="106"/>
      <c r="DT729" s="106"/>
      <c r="DU729" s="106"/>
      <c r="DV729" s="106"/>
      <c r="DW729" s="106"/>
      <c r="DX729" s="106"/>
      <c r="DY729" s="106"/>
      <c r="DZ729" s="106"/>
      <c r="EA729" s="106"/>
      <c r="EB729" s="106"/>
      <c r="EC729" s="106"/>
      <c r="ED729" s="106"/>
      <c r="EE729" s="106"/>
      <c r="EF729" s="106"/>
      <c r="EG729" s="106"/>
      <c r="EH729" s="106"/>
      <c r="EI729" s="106"/>
    </row>
    <row r="730" spans="3:139" ht="15.75" customHeight="1" x14ac:dyDescent="0.25"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  <c r="CR730" s="106"/>
      <c r="CS730" s="106"/>
      <c r="CT730" s="106"/>
      <c r="CU730" s="106"/>
      <c r="CV730" s="106"/>
      <c r="CW730" s="106"/>
      <c r="CX730" s="106"/>
      <c r="CY730" s="106"/>
      <c r="CZ730" s="106"/>
      <c r="DA730" s="106"/>
      <c r="DB730" s="106"/>
      <c r="DC730" s="106"/>
      <c r="DD730" s="106"/>
      <c r="DE730" s="106"/>
      <c r="DF730" s="106"/>
      <c r="DG730" s="106"/>
      <c r="DH730" s="106"/>
      <c r="DI730" s="106"/>
      <c r="DJ730" s="106"/>
      <c r="DK730" s="106"/>
      <c r="DL730" s="106"/>
      <c r="DM730" s="106"/>
      <c r="DN730" s="106"/>
      <c r="DO730" s="106"/>
      <c r="DP730" s="106"/>
      <c r="DQ730" s="106"/>
      <c r="DR730" s="106"/>
      <c r="DS730" s="106"/>
      <c r="DT730" s="106"/>
      <c r="DU730" s="106"/>
      <c r="DV730" s="106"/>
      <c r="DW730" s="106"/>
      <c r="DX730" s="106"/>
      <c r="DY730" s="106"/>
      <c r="DZ730" s="106"/>
      <c r="EA730" s="106"/>
      <c r="EB730" s="106"/>
      <c r="EC730" s="106"/>
      <c r="ED730" s="106"/>
      <c r="EE730" s="106"/>
      <c r="EF730" s="106"/>
      <c r="EG730" s="106"/>
      <c r="EH730" s="106"/>
      <c r="EI730" s="106"/>
    </row>
    <row r="731" spans="3:139" ht="15.75" customHeight="1" x14ac:dyDescent="0.25"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  <c r="CR731" s="106"/>
      <c r="CS731" s="106"/>
      <c r="CT731" s="106"/>
      <c r="CU731" s="106"/>
      <c r="CV731" s="106"/>
      <c r="CW731" s="106"/>
      <c r="CX731" s="106"/>
      <c r="CY731" s="106"/>
      <c r="CZ731" s="106"/>
      <c r="DA731" s="106"/>
      <c r="DB731" s="106"/>
      <c r="DC731" s="106"/>
      <c r="DD731" s="106"/>
      <c r="DE731" s="106"/>
      <c r="DF731" s="106"/>
      <c r="DG731" s="106"/>
      <c r="DH731" s="106"/>
      <c r="DI731" s="106"/>
      <c r="DJ731" s="106"/>
      <c r="DK731" s="106"/>
      <c r="DL731" s="106"/>
      <c r="DM731" s="106"/>
      <c r="DN731" s="106"/>
      <c r="DO731" s="106"/>
      <c r="DP731" s="106"/>
      <c r="DQ731" s="106"/>
      <c r="DR731" s="106"/>
      <c r="DS731" s="106"/>
      <c r="DT731" s="106"/>
      <c r="DU731" s="106"/>
      <c r="DV731" s="106"/>
      <c r="DW731" s="106"/>
      <c r="DX731" s="106"/>
      <c r="DY731" s="106"/>
      <c r="DZ731" s="106"/>
      <c r="EA731" s="106"/>
      <c r="EB731" s="106"/>
      <c r="EC731" s="106"/>
      <c r="ED731" s="106"/>
      <c r="EE731" s="106"/>
      <c r="EF731" s="106"/>
      <c r="EG731" s="106"/>
      <c r="EH731" s="106"/>
      <c r="EI731" s="106"/>
    </row>
    <row r="732" spans="3:139" ht="15.75" customHeight="1" x14ac:dyDescent="0.25"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  <c r="CR732" s="106"/>
      <c r="CS732" s="106"/>
      <c r="CT732" s="106"/>
      <c r="CU732" s="106"/>
      <c r="CV732" s="106"/>
      <c r="CW732" s="106"/>
      <c r="CX732" s="106"/>
      <c r="CY732" s="106"/>
      <c r="CZ732" s="106"/>
      <c r="DA732" s="106"/>
      <c r="DB732" s="106"/>
      <c r="DC732" s="106"/>
      <c r="DD732" s="106"/>
      <c r="DE732" s="106"/>
      <c r="DF732" s="106"/>
      <c r="DG732" s="106"/>
      <c r="DH732" s="106"/>
      <c r="DI732" s="106"/>
      <c r="DJ732" s="106"/>
      <c r="DK732" s="106"/>
      <c r="DL732" s="106"/>
      <c r="DM732" s="106"/>
      <c r="DN732" s="106"/>
      <c r="DO732" s="106"/>
      <c r="DP732" s="106"/>
      <c r="DQ732" s="106"/>
      <c r="DR732" s="106"/>
      <c r="DS732" s="106"/>
      <c r="DT732" s="106"/>
      <c r="DU732" s="106"/>
      <c r="DV732" s="106"/>
      <c r="DW732" s="106"/>
      <c r="DX732" s="106"/>
      <c r="DY732" s="106"/>
      <c r="DZ732" s="106"/>
      <c r="EA732" s="106"/>
      <c r="EB732" s="106"/>
      <c r="EC732" s="106"/>
      <c r="ED732" s="106"/>
      <c r="EE732" s="106"/>
      <c r="EF732" s="106"/>
      <c r="EG732" s="106"/>
      <c r="EH732" s="106"/>
      <c r="EI732" s="106"/>
    </row>
    <row r="733" spans="3:139" ht="15.75" customHeight="1" x14ac:dyDescent="0.25"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  <c r="CR733" s="106"/>
      <c r="CS733" s="106"/>
      <c r="CT733" s="106"/>
      <c r="CU733" s="106"/>
      <c r="CV733" s="106"/>
      <c r="CW733" s="106"/>
      <c r="CX733" s="106"/>
      <c r="CY733" s="106"/>
      <c r="CZ733" s="106"/>
      <c r="DA733" s="106"/>
      <c r="DB733" s="106"/>
      <c r="DC733" s="106"/>
      <c r="DD733" s="106"/>
      <c r="DE733" s="106"/>
      <c r="DF733" s="106"/>
      <c r="DG733" s="106"/>
      <c r="DH733" s="106"/>
      <c r="DI733" s="106"/>
      <c r="DJ733" s="106"/>
      <c r="DK733" s="106"/>
      <c r="DL733" s="106"/>
      <c r="DM733" s="106"/>
      <c r="DN733" s="106"/>
      <c r="DO733" s="106"/>
      <c r="DP733" s="106"/>
      <c r="DQ733" s="106"/>
      <c r="DR733" s="106"/>
      <c r="DS733" s="106"/>
      <c r="DT733" s="106"/>
      <c r="DU733" s="106"/>
      <c r="DV733" s="106"/>
      <c r="DW733" s="106"/>
      <c r="DX733" s="106"/>
      <c r="DY733" s="106"/>
      <c r="DZ733" s="106"/>
      <c r="EA733" s="106"/>
      <c r="EB733" s="106"/>
      <c r="EC733" s="106"/>
      <c r="ED733" s="106"/>
      <c r="EE733" s="106"/>
      <c r="EF733" s="106"/>
      <c r="EG733" s="106"/>
      <c r="EH733" s="106"/>
      <c r="EI733" s="106"/>
    </row>
    <row r="734" spans="3:139" ht="15.75" customHeight="1" x14ac:dyDescent="0.25"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  <c r="CR734" s="106"/>
      <c r="CS734" s="106"/>
      <c r="CT734" s="106"/>
      <c r="CU734" s="106"/>
      <c r="CV734" s="106"/>
      <c r="CW734" s="106"/>
      <c r="CX734" s="106"/>
      <c r="CY734" s="106"/>
      <c r="CZ734" s="106"/>
      <c r="DA734" s="106"/>
      <c r="DB734" s="106"/>
      <c r="DC734" s="106"/>
      <c r="DD734" s="106"/>
      <c r="DE734" s="106"/>
      <c r="DF734" s="106"/>
      <c r="DG734" s="106"/>
      <c r="DH734" s="106"/>
      <c r="DI734" s="106"/>
      <c r="DJ734" s="106"/>
      <c r="DK734" s="106"/>
      <c r="DL734" s="106"/>
      <c r="DM734" s="106"/>
      <c r="DN734" s="106"/>
      <c r="DO734" s="106"/>
      <c r="DP734" s="106"/>
      <c r="DQ734" s="106"/>
      <c r="DR734" s="106"/>
      <c r="DS734" s="106"/>
      <c r="DT734" s="106"/>
      <c r="DU734" s="106"/>
      <c r="DV734" s="106"/>
      <c r="DW734" s="106"/>
      <c r="DX734" s="106"/>
      <c r="DY734" s="106"/>
      <c r="DZ734" s="106"/>
      <c r="EA734" s="106"/>
      <c r="EB734" s="106"/>
      <c r="EC734" s="106"/>
      <c r="ED734" s="106"/>
      <c r="EE734" s="106"/>
      <c r="EF734" s="106"/>
      <c r="EG734" s="106"/>
      <c r="EH734" s="106"/>
      <c r="EI734" s="106"/>
    </row>
    <row r="735" spans="3:139" ht="15.75" customHeight="1" x14ac:dyDescent="0.25"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  <c r="CR735" s="106"/>
      <c r="CS735" s="106"/>
      <c r="CT735" s="106"/>
      <c r="CU735" s="106"/>
      <c r="CV735" s="106"/>
      <c r="CW735" s="106"/>
      <c r="CX735" s="106"/>
      <c r="CY735" s="106"/>
      <c r="CZ735" s="106"/>
      <c r="DA735" s="106"/>
      <c r="DB735" s="106"/>
      <c r="DC735" s="106"/>
      <c r="DD735" s="106"/>
      <c r="DE735" s="106"/>
      <c r="DF735" s="106"/>
      <c r="DG735" s="106"/>
      <c r="DH735" s="106"/>
      <c r="DI735" s="106"/>
      <c r="DJ735" s="106"/>
      <c r="DK735" s="106"/>
      <c r="DL735" s="106"/>
      <c r="DM735" s="106"/>
      <c r="DN735" s="106"/>
      <c r="DO735" s="106"/>
      <c r="DP735" s="106"/>
      <c r="DQ735" s="106"/>
      <c r="DR735" s="106"/>
      <c r="DS735" s="106"/>
      <c r="DT735" s="106"/>
      <c r="DU735" s="106"/>
      <c r="DV735" s="106"/>
      <c r="DW735" s="106"/>
      <c r="DX735" s="106"/>
      <c r="DY735" s="106"/>
      <c r="DZ735" s="106"/>
      <c r="EA735" s="106"/>
      <c r="EB735" s="106"/>
      <c r="EC735" s="106"/>
      <c r="ED735" s="106"/>
      <c r="EE735" s="106"/>
      <c r="EF735" s="106"/>
      <c r="EG735" s="106"/>
      <c r="EH735" s="106"/>
      <c r="EI735" s="106"/>
    </row>
    <row r="736" spans="3:139" ht="15.75" customHeight="1" x14ac:dyDescent="0.25"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  <c r="CR736" s="106"/>
      <c r="CS736" s="106"/>
      <c r="CT736" s="106"/>
      <c r="CU736" s="106"/>
      <c r="CV736" s="106"/>
      <c r="CW736" s="106"/>
      <c r="CX736" s="106"/>
      <c r="CY736" s="106"/>
      <c r="CZ736" s="106"/>
      <c r="DA736" s="106"/>
      <c r="DB736" s="106"/>
      <c r="DC736" s="106"/>
      <c r="DD736" s="106"/>
      <c r="DE736" s="106"/>
      <c r="DF736" s="106"/>
      <c r="DG736" s="106"/>
      <c r="DH736" s="106"/>
      <c r="DI736" s="106"/>
      <c r="DJ736" s="106"/>
      <c r="DK736" s="106"/>
      <c r="DL736" s="106"/>
      <c r="DM736" s="106"/>
      <c r="DN736" s="106"/>
      <c r="DO736" s="106"/>
      <c r="DP736" s="106"/>
      <c r="DQ736" s="106"/>
      <c r="DR736" s="106"/>
      <c r="DS736" s="106"/>
      <c r="DT736" s="106"/>
      <c r="DU736" s="106"/>
      <c r="DV736" s="106"/>
      <c r="DW736" s="106"/>
      <c r="DX736" s="106"/>
      <c r="DY736" s="106"/>
      <c r="DZ736" s="106"/>
      <c r="EA736" s="106"/>
      <c r="EB736" s="106"/>
      <c r="EC736" s="106"/>
      <c r="ED736" s="106"/>
      <c r="EE736" s="106"/>
      <c r="EF736" s="106"/>
      <c r="EG736" s="106"/>
      <c r="EH736" s="106"/>
      <c r="EI736" s="106"/>
    </row>
    <row r="737" spans="3:139" ht="15.75" customHeight="1" x14ac:dyDescent="0.25"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  <c r="CR737" s="106"/>
      <c r="CS737" s="106"/>
      <c r="CT737" s="106"/>
      <c r="CU737" s="106"/>
      <c r="CV737" s="106"/>
      <c r="CW737" s="106"/>
      <c r="CX737" s="106"/>
      <c r="CY737" s="106"/>
      <c r="CZ737" s="106"/>
      <c r="DA737" s="106"/>
      <c r="DB737" s="106"/>
      <c r="DC737" s="106"/>
      <c r="DD737" s="106"/>
      <c r="DE737" s="106"/>
      <c r="DF737" s="106"/>
      <c r="DG737" s="106"/>
      <c r="DH737" s="106"/>
      <c r="DI737" s="106"/>
      <c r="DJ737" s="106"/>
      <c r="DK737" s="106"/>
      <c r="DL737" s="106"/>
      <c r="DM737" s="106"/>
      <c r="DN737" s="106"/>
      <c r="DO737" s="106"/>
      <c r="DP737" s="106"/>
      <c r="DQ737" s="106"/>
      <c r="DR737" s="106"/>
      <c r="DS737" s="106"/>
      <c r="DT737" s="106"/>
      <c r="DU737" s="106"/>
      <c r="DV737" s="106"/>
      <c r="DW737" s="106"/>
      <c r="DX737" s="106"/>
      <c r="DY737" s="106"/>
      <c r="DZ737" s="106"/>
      <c r="EA737" s="106"/>
      <c r="EB737" s="106"/>
      <c r="EC737" s="106"/>
      <c r="ED737" s="106"/>
      <c r="EE737" s="106"/>
      <c r="EF737" s="106"/>
      <c r="EG737" s="106"/>
      <c r="EH737" s="106"/>
      <c r="EI737" s="106"/>
    </row>
    <row r="738" spans="3:139" ht="15.75" customHeight="1" x14ac:dyDescent="0.25"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  <c r="CR738" s="106"/>
      <c r="CS738" s="106"/>
      <c r="CT738" s="106"/>
      <c r="CU738" s="106"/>
      <c r="CV738" s="106"/>
      <c r="CW738" s="106"/>
      <c r="CX738" s="106"/>
      <c r="CY738" s="106"/>
      <c r="CZ738" s="106"/>
      <c r="DA738" s="106"/>
      <c r="DB738" s="106"/>
      <c r="DC738" s="106"/>
      <c r="DD738" s="106"/>
      <c r="DE738" s="106"/>
      <c r="DF738" s="106"/>
      <c r="DG738" s="106"/>
      <c r="DH738" s="106"/>
      <c r="DI738" s="106"/>
      <c r="DJ738" s="106"/>
      <c r="DK738" s="106"/>
      <c r="DL738" s="106"/>
      <c r="DM738" s="106"/>
      <c r="DN738" s="106"/>
      <c r="DO738" s="106"/>
      <c r="DP738" s="106"/>
      <c r="DQ738" s="106"/>
      <c r="DR738" s="106"/>
      <c r="DS738" s="106"/>
      <c r="DT738" s="106"/>
      <c r="DU738" s="106"/>
      <c r="DV738" s="106"/>
      <c r="DW738" s="106"/>
      <c r="DX738" s="106"/>
      <c r="DY738" s="106"/>
      <c r="DZ738" s="106"/>
      <c r="EA738" s="106"/>
      <c r="EB738" s="106"/>
      <c r="EC738" s="106"/>
      <c r="ED738" s="106"/>
      <c r="EE738" s="106"/>
      <c r="EF738" s="106"/>
      <c r="EG738" s="106"/>
      <c r="EH738" s="106"/>
      <c r="EI738" s="106"/>
    </row>
    <row r="739" spans="3:139" ht="15.75" customHeight="1" x14ac:dyDescent="0.25"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  <c r="CR739" s="106"/>
      <c r="CS739" s="106"/>
      <c r="CT739" s="106"/>
      <c r="CU739" s="106"/>
      <c r="CV739" s="106"/>
      <c r="CW739" s="106"/>
      <c r="CX739" s="106"/>
      <c r="CY739" s="106"/>
      <c r="CZ739" s="106"/>
      <c r="DA739" s="106"/>
      <c r="DB739" s="106"/>
      <c r="DC739" s="106"/>
      <c r="DD739" s="106"/>
      <c r="DE739" s="106"/>
      <c r="DF739" s="106"/>
      <c r="DG739" s="106"/>
      <c r="DH739" s="106"/>
      <c r="DI739" s="106"/>
      <c r="DJ739" s="106"/>
      <c r="DK739" s="106"/>
      <c r="DL739" s="106"/>
      <c r="DM739" s="106"/>
      <c r="DN739" s="106"/>
      <c r="DO739" s="106"/>
      <c r="DP739" s="106"/>
      <c r="DQ739" s="106"/>
      <c r="DR739" s="106"/>
      <c r="DS739" s="106"/>
      <c r="DT739" s="106"/>
      <c r="DU739" s="106"/>
      <c r="DV739" s="106"/>
      <c r="DW739" s="106"/>
      <c r="DX739" s="106"/>
      <c r="DY739" s="106"/>
      <c r="DZ739" s="106"/>
      <c r="EA739" s="106"/>
      <c r="EB739" s="106"/>
      <c r="EC739" s="106"/>
      <c r="ED739" s="106"/>
      <c r="EE739" s="106"/>
      <c r="EF739" s="106"/>
      <c r="EG739" s="106"/>
      <c r="EH739" s="106"/>
      <c r="EI739" s="106"/>
    </row>
    <row r="740" spans="3:139" ht="15.75" customHeight="1" x14ac:dyDescent="0.25"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  <c r="CR740" s="106"/>
      <c r="CS740" s="106"/>
      <c r="CT740" s="106"/>
      <c r="CU740" s="106"/>
      <c r="CV740" s="106"/>
      <c r="CW740" s="106"/>
      <c r="CX740" s="106"/>
      <c r="CY740" s="106"/>
      <c r="CZ740" s="106"/>
      <c r="DA740" s="106"/>
      <c r="DB740" s="106"/>
      <c r="DC740" s="106"/>
      <c r="DD740" s="106"/>
      <c r="DE740" s="106"/>
      <c r="DF740" s="106"/>
      <c r="DG740" s="106"/>
      <c r="DH740" s="106"/>
      <c r="DI740" s="106"/>
      <c r="DJ740" s="106"/>
      <c r="DK740" s="106"/>
      <c r="DL740" s="106"/>
      <c r="DM740" s="106"/>
      <c r="DN740" s="106"/>
      <c r="DO740" s="106"/>
      <c r="DP740" s="106"/>
      <c r="DQ740" s="106"/>
      <c r="DR740" s="106"/>
      <c r="DS740" s="106"/>
      <c r="DT740" s="106"/>
      <c r="DU740" s="106"/>
      <c r="DV740" s="106"/>
      <c r="DW740" s="106"/>
      <c r="DX740" s="106"/>
      <c r="DY740" s="106"/>
      <c r="DZ740" s="106"/>
      <c r="EA740" s="106"/>
      <c r="EB740" s="106"/>
      <c r="EC740" s="106"/>
      <c r="ED740" s="106"/>
      <c r="EE740" s="106"/>
      <c r="EF740" s="106"/>
      <c r="EG740" s="106"/>
      <c r="EH740" s="106"/>
      <c r="EI740" s="106"/>
    </row>
    <row r="741" spans="3:139" ht="15.75" customHeight="1" x14ac:dyDescent="0.25"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  <c r="CR741" s="106"/>
      <c r="CS741" s="106"/>
      <c r="CT741" s="106"/>
      <c r="CU741" s="106"/>
      <c r="CV741" s="106"/>
      <c r="CW741" s="106"/>
      <c r="CX741" s="106"/>
      <c r="CY741" s="106"/>
      <c r="CZ741" s="106"/>
      <c r="DA741" s="106"/>
      <c r="DB741" s="106"/>
      <c r="DC741" s="106"/>
      <c r="DD741" s="106"/>
      <c r="DE741" s="106"/>
      <c r="DF741" s="106"/>
      <c r="DG741" s="106"/>
      <c r="DH741" s="106"/>
      <c r="DI741" s="106"/>
      <c r="DJ741" s="106"/>
      <c r="DK741" s="106"/>
      <c r="DL741" s="106"/>
      <c r="DM741" s="106"/>
      <c r="DN741" s="106"/>
      <c r="DO741" s="106"/>
      <c r="DP741" s="106"/>
      <c r="DQ741" s="106"/>
      <c r="DR741" s="106"/>
      <c r="DS741" s="106"/>
      <c r="DT741" s="106"/>
      <c r="DU741" s="106"/>
      <c r="DV741" s="106"/>
      <c r="DW741" s="106"/>
      <c r="DX741" s="106"/>
      <c r="DY741" s="106"/>
      <c r="DZ741" s="106"/>
      <c r="EA741" s="106"/>
      <c r="EB741" s="106"/>
      <c r="EC741" s="106"/>
      <c r="ED741" s="106"/>
      <c r="EE741" s="106"/>
      <c r="EF741" s="106"/>
      <c r="EG741" s="106"/>
      <c r="EH741" s="106"/>
      <c r="EI741" s="106"/>
    </row>
    <row r="742" spans="3:139" ht="15.75" customHeight="1" x14ac:dyDescent="0.25"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  <c r="CR742" s="106"/>
      <c r="CS742" s="106"/>
      <c r="CT742" s="106"/>
      <c r="CU742" s="106"/>
      <c r="CV742" s="106"/>
      <c r="CW742" s="106"/>
      <c r="CX742" s="106"/>
      <c r="CY742" s="106"/>
      <c r="CZ742" s="106"/>
      <c r="DA742" s="106"/>
      <c r="DB742" s="106"/>
      <c r="DC742" s="106"/>
      <c r="DD742" s="106"/>
      <c r="DE742" s="106"/>
      <c r="DF742" s="106"/>
      <c r="DG742" s="106"/>
      <c r="DH742" s="106"/>
      <c r="DI742" s="106"/>
      <c r="DJ742" s="106"/>
      <c r="DK742" s="106"/>
      <c r="DL742" s="106"/>
      <c r="DM742" s="106"/>
      <c r="DN742" s="106"/>
      <c r="DO742" s="106"/>
      <c r="DP742" s="106"/>
      <c r="DQ742" s="106"/>
      <c r="DR742" s="106"/>
      <c r="DS742" s="106"/>
      <c r="DT742" s="106"/>
      <c r="DU742" s="106"/>
      <c r="DV742" s="106"/>
      <c r="DW742" s="106"/>
      <c r="DX742" s="106"/>
      <c r="DY742" s="106"/>
      <c r="DZ742" s="106"/>
      <c r="EA742" s="106"/>
      <c r="EB742" s="106"/>
      <c r="EC742" s="106"/>
      <c r="ED742" s="106"/>
      <c r="EE742" s="106"/>
      <c r="EF742" s="106"/>
      <c r="EG742" s="106"/>
      <c r="EH742" s="106"/>
      <c r="EI742" s="106"/>
    </row>
    <row r="743" spans="3:139" ht="15.75" customHeight="1" x14ac:dyDescent="0.25"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  <c r="CR743" s="106"/>
      <c r="CS743" s="106"/>
      <c r="CT743" s="106"/>
      <c r="CU743" s="106"/>
      <c r="CV743" s="106"/>
      <c r="CW743" s="106"/>
      <c r="CX743" s="106"/>
      <c r="CY743" s="106"/>
      <c r="CZ743" s="106"/>
      <c r="DA743" s="106"/>
      <c r="DB743" s="106"/>
      <c r="DC743" s="106"/>
      <c r="DD743" s="106"/>
      <c r="DE743" s="106"/>
      <c r="DF743" s="106"/>
      <c r="DG743" s="106"/>
      <c r="DH743" s="106"/>
      <c r="DI743" s="106"/>
      <c r="DJ743" s="106"/>
      <c r="DK743" s="106"/>
      <c r="DL743" s="106"/>
      <c r="DM743" s="106"/>
      <c r="DN743" s="106"/>
      <c r="DO743" s="106"/>
      <c r="DP743" s="106"/>
      <c r="DQ743" s="106"/>
      <c r="DR743" s="106"/>
      <c r="DS743" s="106"/>
      <c r="DT743" s="106"/>
      <c r="DU743" s="106"/>
      <c r="DV743" s="106"/>
      <c r="DW743" s="106"/>
      <c r="DX743" s="106"/>
      <c r="DY743" s="106"/>
      <c r="DZ743" s="106"/>
      <c r="EA743" s="106"/>
      <c r="EB743" s="106"/>
      <c r="EC743" s="106"/>
      <c r="ED743" s="106"/>
      <c r="EE743" s="106"/>
      <c r="EF743" s="106"/>
      <c r="EG743" s="106"/>
      <c r="EH743" s="106"/>
      <c r="EI743" s="106"/>
    </row>
    <row r="744" spans="3:139" ht="15.75" customHeight="1" x14ac:dyDescent="0.25"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  <c r="CR744" s="106"/>
      <c r="CS744" s="106"/>
      <c r="CT744" s="106"/>
      <c r="CU744" s="106"/>
      <c r="CV744" s="106"/>
      <c r="CW744" s="106"/>
      <c r="CX744" s="106"/>
      <c r="CY744" s="106"/>
      <c r="CZ744" s="106"/>
      <c r="DA744" s="106"/>
      <c r="DB744" s="106"/>
      <c r="DC744" s="106"/>
      <c r="DD744" s="106"/>
      <c r="DE744" s="106"/>
      <c r="DF744" s="106"/>
      <c r="DG744" s="106"/>
      <c r="DH744" s="106"/>
      <c r="DI744" s="106"/>
      <c r="DJ744" s="106"/>
      <c r="DK744" s="106"/>
      <c r="DL744" s="106"/>
      <c r="DM744" s="106"/>
      <c r="DN744" s="106"/>
      <c r="DO744" s="106"/>
      <c r="DP744" s="106"/>
      <c r="DQ744" s="106"/>
      <c r="DR744" s="106"/>
      <c r="DS744" s="106"/>
      <c r="DT744" s="106"/>
      <c r="DU744" s="106"/>
      <c r="DV744" s="106"/>
      <c r="DW744" s="106"/>
      <c r="DX744" s="106"/>
      <c r="DY744" s="106"/>
      <c r="DZ744" s="106"/>
      <c r="EA744" s="106"/>
      <c r="EB744" s="106"/>
      <c r="EC744" s="106"/>
      <c r="ED744" s="106"/>
      <c r="EE744" s="106"/>
      <c r="EF744" s="106"/>
      <c r="EG744" s="106"/>
      <c r="EH744" s="106"/>
      <c r="EI744" s="106"/>
    </row>
    <row r="745" spans="3:139" ht="15.75" customHeight="1" x14ac:dyDescent="0.25"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  <c r="CR745" s="106"/>
      <c r="CS745" s="106"/>
      <c r="CT745" s="106"/>
      <c r="CU745" s="106"/>
      <c r="CV745" s="106"/>
      <c r="CW745" s="106"/>
      <c r="CX745" s="106"/>
      <c r="CY745" s="106"/>
      <c r="CZ745" s="106"/>
      <c r="DA745" s="106"/>
      <c r="DB745" s="106"/>
      <c r="DC745" s="106"/>
      <c r="DD745" s="106"/>
      <c r="DE745" s="106"/>
      <c r="DF745" s="106"/>
      <c r="DG745" s="106"/>
      <c r="DH745" s="106"/>
      <c r="DI745" s="106"/>
      <c r="DJ745" s="106"/>
      <c r="DK745" s="106"/>
      <c r="DL745" s="106"/>
      <c r="DM745" s="106"/>
      <c r="DN745" s="106"/>
      <c r="DO745" s="106"/>
      <c r="DP745" s="106"/>
      <c r="DQ745" s="106"/>
      <c r="DR745" s="106"/>
      <c r="DS745" s="106"/>
      <c r="DT745" s="106"/>
      <c r="DU745" s="106"/>
      <c r="DV745" s="106"/>
      <c r="DW745" s="106"/>
      <c r="DX745" s="106"/>
      <c r="DY745" s="106"/>
      <c r="DZ745" s="106"/>
      <c r="EA745" s="106"/>
      <c r="EB745" s="106"/>
      <c r="EC745" s="106"/>
      <c r="ED745" s="106"/>
      <c r="EE745" s="106"/>
      <c r="EF745" s="106"/>
      <c r="EG745" s="106"/>
      <c r="EH745" s="106"/>
      <c r="EI745" s="106"/>
    </row>
    <row r="746" spans="3:139" ht="15.75" customHeight="1" x14ac:dyDescent="0.25"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  <c r="CR746" s="106"/>
      <c r="CS746" s="106"/>
      <c r="CT746" s="106"/>
      <c r="CU746" s="106"/>
      <c r="CV746" s="106"/>
      <c r="CW746" s="106"/>
      <c r="CX746" s="106"/>
      <c r="CY746" s="106"/>
      <c r="CZ746" s="106"/>
      <c r="DA746" s="106"/>
      <c r="DB746" s="106"/>
      <c r="DC746" s="106"/>
      <c r="DD746" s="106"/>
      <c r="DE746" s="106"/>
      <c r="DF746" s="106"/>
      <c r="DG746" s="106"/>
      <c r="DH746" s="106"/>
      <c r="DI746" s="106"/>
      <c r="DJ746" s="106"/>
      <c r="DK746" s="106"/>
      <c r="DL746" s="106"/>
      <c r="DM746" s="106"/>
      <c r="DN746" s="106"/>
      <c r="DO746" s="106"/>
      <c r="DP746" s="106"/>
      <c r="DQ746" s="106"/>
      <c r="DR746" s="106"/>
      <c r="DS746" s="106"/>
      <c r="DT746" s="106"/>
      <c r="DU746" s="106"/>
      <c r="DV746" s="106"/>
      <c r="DW746" s="106"/>
      <c r="DX746" s="106"/>
      <c r="DY746" s="106"/>
      <c r="DZ746" s="106"/>
      <c r="EA746" s="106"/>
      <c r="EB746" s="106"/>
      <c r="EC746" s="106"/>
      <c r="ED746" s="106"/>
      <c r="EE746" s="106"/>
      <c r="EF746" s="106"/>
      <c r="EG746" s="106"/>
      <c r="EH746" s="106"/>
      <c r="EI746" s="106"/>
    </row>
    <row r="747" spans="3:139" ht="15.75" customHeight="1" x14ac:dyDescent="0.25"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  <c r="CR747" s="106"/>
      <c r="CS747" s="106"/>
      <c r="CT747" s="106"/>
      <c r="CU747" s="106"/>
      <c r="CV747" s="106"/>
      <c r="CW747" s="106"/>
      <c r="CX747" s="106"/>
      <c r="CY747" s="106"/>
      <c r="CZ747" s="106"/>
      <c r="DA747" s="106"/>
      <c r="DB747" s="106"/>
      <c r="DC747" s="106"/>
      <c r="DD747" s="106"/>
      <c r="DE747" s="106"/>
      <c r="DF747" s="106"/>
      <c r="DG747" s="106"/>
      <c r="DH747" s="106"/>
      <c r="DI747" s="106"/>
      <c r="DJ747" s="106"/>
      <c r="DK747" s="106"/>
      <c r="DL747" s="106"/>
      <c r="DM747" s="106"/>
      <c r="DN747" s="106"/>
      <c r="DO747" s="106"/>
      <c r="DP747" s="106"/>
      <c r="DQ747" s="106"/>
      <c r="DR747" s="106"/>
      <c r="DS747" s="106"/>
      <c r="DT747" s="106"/>
      <c r="DU747" s="106"/>
      <c r="DV747" s="106"/>
      <c r="DW747" s="106"/>
      <c r="DX747" s="106"/>
      <c r="DY747" s="106"/>
      <c r="DZ747" s="106"/>
      <c r="EA747" s="106"/>
      <c r="EB747" s="106"/>
      <c r="EC747" s="106"/>
      <c r="ED747" s="106"/>
      <c r="EE747" s="106"/>
      <c r="EF747" s="106"/>
      <c r="EG747" s="106"/>
      <c r="EH747" s="106"/>
      <c r="EI747" s="106"/>
    </row>
    <row r="748" spans="3:139" ht="15.75" customHeight="1" x14ac:dyDescent="0.25"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  <c r="CR748" s="106"/>
      <c r="CS748" s="106"/>
      <c r="CT748" s="106"/>
      <c r="CU748" s="106"/>
      <c r="CV748" s="106"/>
      <c r="CW748" s="106"/>
      <c r="CX748" s="106"/>
      <c r="CY748" s="106"/>
      <c r="CZ748" s="106"/>
      <c r="DA748" s="106"/>
      <c r="DB748" s="106"/>
      <c r="DC748" s="106"/>
      <c r="DD748" s="106"/>
      <c r="DE748" s="106"/>
      <c r="DF748" s="106"/>
      <c r="DG748" s="106"/>
      <c r="DH748" s="106"/>
      <c r="DI748" s="106"/>
      <c r="DJ748" s="106"/>
      <c r="DK748" s="106"/>
      <c r="DL748" s="106"/>
      <c r="DM748" s="106"/>
      <c r="DN748" s="106"/>
      <c r="DO748" s="106"/>
      <c r="DP748" s="106"/>
      <c r="DQ748" s="106"/>
      <c r="DR748" s="106"/>
      <c r="DS748" s="106"/>
      <c r="DT748" s="106"/>
      <c r="DU748" s="106"/>
      <c r="DV748" s="106"/>
      <c r="DW748" s="106"/>
      <c r="DX748" s="106"/>
      <c r="DY748" s="106"/>
      <c r="DZ748" s="106"/>
      <c r="EA748" s="106"/>
      <c r="EB748" s="106"/>
      <c r="EC748" s="106"/>
      <c r="ED748" s="106"/>
      <c r="EE748" s="106"/>
      <c r="EF748" s="106"/>
      <c r="EG748" s="106"/>
      <c r="EH748" s="106"/>
      <c r="EI748" s="106"/>
    </row>
    <row r="749" spans="3:139" ht="15.75" customHeight="1" x14ac:dyDescent="0.25"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  <c r="CR749" s="106"/>
      <c r="CS749" s="106"/>
      <c r="CT749" s="106"/>
      <c r="CU749" s="106"/>
      <c r="CV749" s="106"/>
      <c r="CW749" s="106"/>
      <c r="CX749" s="106"/>
      <c r="CY749" s="106"/>
      <c r="CZ749" s="106"/>
      <c r="DA749" s="106"/>
      <c r="DB749" s="106"/>
      <c r="DC749" s="106"/>
      <c r="DD749" s="106"/>
      <c r="DE749" s="106"/>
      <c r="DF749" s="106"/>
      <c r="DG749" s="106"/>
      <c r="DH749" s="106"/>
      <c r="DI749" s="106"/>
      <c r="DJ749" s="106"/>
      <c r="DK749" s="106"/>
      <c r="DL749" s="106"/>
      <c r="DM749" s="106"/>
      <c r="DN749" s="106"/>
      <c r="DO749" s="106"/>
      <c r="DP749" s="106"/>
      <c r="DQ749" s="106"/>
      <c r="DR749" s="106"/>
      <c r="DS749" s="106"/>
      <c r="DT749" s="106"/>
      <c r="DU749" s="106"/>
      <c r="DV749" s="106"/>
      <c r="DW749" s="106"/>
      <c r="DX749" s="106"/>
      <c r="DY749" s="106"/>
      <c r="DZ749" s="106"/>
      <c r="EA749" s="106"/>
      <c r="EB749" s="106"/>
      <c r="EC749" s="106"/>
      <c r="ED749" s="106"/>
      <c r="EE749" s="106"/>
      <c r="EF749" s="106"/>
      <c r="EG749" s="106"/>
      <c r="EH749" s="106"/>
      <c r="EI749" s="106"/>
    </row>
    <row r="750" spans="3:139" ht="15.75" customHeight="1" x14ac:dyDescent="0.25"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  <c r="CR750" s="106"/>
      <c r="CS750" s="106"/>
      <c r="CT750" s="106"/>
      <c r="CU750" s="106"/>
      <c r="CV750" s="106"/>
      <c r="CW750" s="106"/>
      <c r="CX750" s="106"/>
      <c r="CY750" s="106"/>
      <c r="CZ750" s="106"/>
      <c r="DA750" s="106"/>
      <c r="DB750" s="106"/>
      <c r="DC750" s="106"/>
      <c r="DD750" s="106"/>
      <c r="DE750" s="106"/>
      <c r="DF750" s="106"/>
      <c r="DG750" s="106"/>
      <c r="DH750" s="106"/>
      <c r="DI750" s="106"/>
      <c r="DJ750" s="106"/>
      <c r="DK750" s="106"/>
      <c r="DL750" s="106"/>
      <c r="DM750" s="106"/>
      <c r="DN750" s="106"/>
      <c r="DO750" s="106"/>
      <c r="DP750" s="106"/>
      <c r="DQ750" s="106"/>
      <c r="DR750" s="106"/>
      <c r="DS750" s="106"/>
      <c r="DT750" s="106"/>
      <c r="DU750" s="106"/>
      <c r="DV750" s="106"/>
      <c r="DW750" s="106"/>
      <c r="DX750" s="106"/>
      <c r="DY750" s="106"/>
      <c r="DZ750" s="106"/>
      <c r="EA750" s="106"/>
      <c r="EB750" s="106"/>
      <c r="EC750" s="106"/>
      <c r="ED750" s="106"/>
      <c r="EE750" s="106"/>
      <c r="EF750" s="106"/>
      <c r="EG750" s="106"/>
      <c r="EH750" s="106"/>
      <c r="EI750" s="106"/>
    </row>
    <row r="751" spans="3:139" ht="15.75" customHeight="1" x14ac:dyDescent="0.25"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  <c r="CR751" s="106"/>
      <c r="CS751" s="106"/>
      <c r="CT751" s="106"/>
      <c r="CU751" s="106"/>
      <c r="CV751" s="106"/>
      <c r="CW751" s="106"/>
      <c r="CX751" s="106"/>
      <c r="CY751" s="106"/>
      <c r="CZ751" s="106"/>
      <c r="DA751" s="106"/>
      <c r="DB751" s="106"/>
      <c r="DC751" s="106"/>
      <c r="DD751" s="106"/>
      <c r="DE751" s="106"/>
      <c r="DF751" s="106"/>
      <c r="DG751" s="106"/>
      <c r="DH751" s="106"/>
      <c r="DI751" s="106"/>
      <c r="DJ751" s="106"/>
      <c r="DK751" s="106"/>
      <c r="DL751" s="106"/>
      <c r="DM751" s="106"/>
      <c r="DN751" s="106"/>
      <c r="DO751" s="106"/>
      <c r="DP751" s="106"/>
      <c r="DQ751" s="106"/>
      <c r="DR751" s="106"/>
      <c r="DS751" s="106"/>
      <c r="DT751" s="106"/>
      <c r="DU751" s="106"/>
      <c r="DV751" s="106"/>
      <c r="DW751" s="106"/>
      <c r="DX751" s="106"/>
      <c r="DY751" s="106"/>
      <c r="DZ751" s="106"/>
      <c r="EA751" s="106"/>
      <c r="EB751" s="106"/>
      <c r="EC751" s="106"/>
      <c r="ED751" s="106"/>
      <c r="EE751" s="106"/>
      <c r="EF751" s="106"/>
      <c r="EG751" s="106"/>
      <c r="EH751" s="106"/>
      <c r="EI751" s="106"/>
    </row>
    <row r="752" spans="3:139" ht="15.75" customHeight="1" x14ac:dyDescent="0.25"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  <c r="CR752" s="106"/>
      <c r="CS752" s="106"/>
      <c r="CT752" s="106"/>
      <c r="CU752" s="106"/>
      <c r="CV752" s="106"/>
      <c r="CW752" s="106"/>
      <c r="CX752" s="106"/>
      <c r="CY752" s="106"/>
      <c r="CZ752" s="106"/>
      <c r="DA752" s="106"/>
      <c r="DB752" s="106"/>
      <c r="DC752" s="106"/>
      <c r="DD752" s="106"/>
      <c r="DE752" s="106"/>
      <c r="DF752" s="106"/>
      <c r="DG752" s="106"/>
      <c r="DH752" s="106"/>
      <c r="DI752" s="106"/>
      <c r="DJ752" s="106"/>
      <c r="DK752" s="106"/>
      <c r="DL752" s="106"/>
      <c r="DM752" s="106"/>
      <c r="DN752" s="106"/>
      <c r="DO752" s="106"/>
      <c r="DP752" s="106"/>
      <c r="DQ752" s="106"/>
      <c r="DR752" s="106"/>
      <c r="DS752" s="106"/>
      <c r="DT752" s="106"/>
      <c r="DU752" s="106"/>
      <c r="DV752" s="106"/>
      <c r="DW752" s="106"/>
      <c r="DX752" s="106"/>
      <c r="DY752" s="106"/>
      <c r="DZ752" s="106"/>
      <c r="EA752" s="106"/>
      <c r="EB752" s="106"/>
      <c r="EC752" s="106"/>
      <c r="ED752" s="106"/>
      <c r="EE752" s="106"/>
      <c r="EF752" s="106"/>
      <c r="EG752" s="106"/>
      <c r="EH752" s="106"/>
      <c r="EI752" s="106"/>
    </row>
    <row r="753" spans="3:139" ht="15.75" customHeight="1" x14ac:dyDescent="0.25"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  <c r="CR753" s="106"/>
      <c r="CS753" s="106"/>
      <c r="CT753" s="106"/>
      <c r="CU753" s="106"/>
      <c r="CV753" s="106"/>
      <c r="CW753" s="106"/>
      <c r="CX753" s="106"/>
      <c r="CY753" s="106"/>
      <c r="CZ753" s="106"/>
      <c r="DA753" s="106"/>
      <c r="DB753" s="106"/>
      <c r="DC753" s="106"/>
      <c r="DD753" s="106"/>
      <c r="DE753" s="106"/>
      <c r="DF753" s="106"/>
      <c r="DG753" s="106"/>
      <c r="DH753" s="106"/>
      <c r="DI753" s="106"/>
      <c r="DJ753" s="106"/>
      <c r="DK753" s="106"/>
      <c r="DL753" s="106"/>
      <c r="DM753" s="106"/>
      <c r="DN753" s="106"/>
      <c r="DO753" s="106"/>
      <c r="DP753" s="106"/>
      <c r="DQ753" s="106"/>
      <c r="DR753" s="106"/>
      <c r="DS753" s="106"/>
      <c r="DT753" s="106"/>
      <c r="DU753" s="106"/>
      <c r="DV753" s="106"/>
      <c r="DW753" s="106"/>
      <c r="DX753" s="106"/>
      <c r="DY753" s="106"/>
      <c r="DZ753" s="106"/>
      <c r="EA753" s="106"/>
      <c r="EB753" s="106"/>
      <c r="EC753" s="106"/>
      <c r="ED753" s="106"/>
      <c r="EE753" s="106"/>
      <c r="EF753" s="106"/>
      <c r="EG753" s="106"/>
      <c r="EH753" s="106"/>
      <c r="EI753" s="106"/>
    </row>
    <row r="754" spans="3:139" ht="15.75" customHeight="1" x14ac:dyDescent="0.25"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  <c r="CR754" s="106"/>
      <c r="CS754" s="106"/>
      <c r="CT754" s="106"/>
      <c r="CU754" s="106"/>
      <c r="CV754" s="106"/>
      <c r="CW754" s="106"/>
      <c r="CX754" s="106"/>
      <c r="CY754" s="106"/>
      <c r="CZ754" s="106"/>
      <c r="DA754" s="106"/>
      <c r="DB754" s="106"/>
      <c r="DC754" s="106"/>
      <c r="DD754" s="106"/>
      <c r="DE754" s="106"/>
      <c r="DF754" s="106"/>
      <c r="DG754" s="106"/>
      <c r="DH754" s="106"/>
      <c r="DI754" s="106"/>
      <c r="DJ754" s="106"/>
      <c r="DK754" s="106"/>
      <c r="DL754" s="106"/>
      <c r="DM754" s="106"/>
      <c r="DN754" s="106"/>
      <c r="DO754" s="106"/>
      <c r="DP754" s="106"/>
      <c r="DQ754" s="106"/>
      <c r="DR754" s="106"/>
      <c r="DS754" s="106"/>
      <c r="DT754" s="106"/>
      <c r="DU754" s="106"/>
      <c r="DV754" s="106"/>
      <c r="DW754" s="106"/>
      <c r="DX754" s="106"/>
      <c r="DY754" s="106"/>
      <c r="DZ754" s="106"/>
      <c r="EA754" s="106"/>
      <c r="EB754" s="106"/>
      <c r="EC754" s="106"/>
      <c r="ED754" s="106"/>
      <c r="EE754" s="106"/>
      <c r="EF754" s="106"/>
      <c r="EG754" s="106"/>
      <c r="EH754" s="106"/>
      <c r="EI754" s="106"/>
    </row>
    <row r="755" spans="3:139" ht="15.75" customHeight="1" x14ac:dyDescent="0.25"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  <c r="CR755" s="106"/>
      <c r="CS755" s="106"/>
      <c r="CT755" s="106"/>
      <c r="CU755" s="106"/>
      <c r="CV755" s="106"/>
      <c r="CW755" s="106"/>
      <c r="CX755" s="106"/>
      <c r="CY755" s="106"/>
      <c r="CZ755" s="106"/>
      <c r="DA755" s="106"/>
      <c r="DB755" s="106"/>
      <c r="DC755" s="106"/>
      <c r="DD755" s="106"/>
      <c r="DE755" s="106"/>
      <c r="DF755" s="106"/>
      <c r="DG755" s="106"/>
      <c r="DH755" s="106"/>
      <c r="DI755" s="106"/>
      <c r="DJ755" s="106"/>
      <c r="DK755" s="106"/>
      <c r="DL755" s="106"/>
      <c r="DM755" s="106"/>
      <c r="DN755" s="106"/>
      <c r="DO755" s="106"/>
      <c r="DP755" s="106"/>
      <c r="DQ755" s="106"/>
      <c r="DR755" s="106"/>
      <c r="DS755" s="106"/>
      <c r="DT755" s="106"/>
      <c r="DU755" s="106"/>
      <c r="DV755" s="106"/>
      <c r="DW755" s="106"/>
      <c r="DX755" s="106"/>
      <c r="DY755" s="106"/>
      <c r="DZ755" s="106"/>
      <c r="EA755" s="106"/>
      <c r="EB755" s="106"/>
      <c r="EC755" s="106"/>
      <c r="ED755" s="106"/>
      <c r="EE755" s="106"/>
      <c r="EF755" s="106"/>
      <c r="EG755" s="106"/>
      <c r="EH755" s="106"/>
      <c r="EI755" s="106"/>
    </row>
    <row r="756" spans="3:139" ht="15.75" customHeight="1" x14ac:dyDescent="0.25"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  <c r="CR756" s="106"/>
      <c r="CS756" s="106"/>
      <c r="CT756" s="106"/>
      <c r="CU756" s="106"/>
      <c r="CV756" s="106"/>
      <c r="CW756" s="106"/>
      <c r="CX756" s="106"/>
      <c r="CY756" s="106"/>
      <c r="CZ756" s="106"/>
      <c r="DA756" s="106"/>
      <c r="DB756" s="106"/>
      <c r="DC756" s="106"/>
      <c r="DD756" s="106"/>
      <c r="DE756" s="106"/>
      <c r="DF756" s="106"/>
      <c r="DG756" s="106"/>
      <c r="DH756" s="106"/>
      <c r="DI756" s="106"/>
      <c r="DJ756" s="106"/>
      <c r="DK756" s="106"/>
      <c r="DL756" s="106"/>
      <c r="DM756" s="106"/>
      <c r="DN756" s="106"/>
      <c r="DO756" s="106"/>
      <c r="DP756" s="106"/>
      <c r="DQ756" s="106"/>
      <c r="DR756" s="106"/>
      <c r="DS756" s="106"/>
      <c r="DT756" s="106"/>
      <c r="DU756" s="106"/>
      <c r="DV756" s="106"/>
      <c r="DW756" s="106"/>
      <c r="DX756" s="106"/>
      <c r="DY756" s="106"/>
      <c r="DZ756" s="106"/>
      <c r="EA756" s="106"/>
      <c r="EB756" s="106"/>
      <c r="EC756" s="106"/>
      <c r="ED756" s="106"/>
      <c r="EE756" s="106"/>
      <c r="EF756" s="106"/>
      <c r="EG756" s="106"/>
      <c r="EH756" s="106"/>
      <c r="EI756" s="106"/>
    </row>
    <row r="757" spans="3:139" ht="15.75" customHeight="1" x14ac:dyDescent="0.25"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  <c r="CR757" s="106"/>
      <c r="CS757" s="106"/>
      <c r="CT757" s="106"/>
      <c r="CU757" s="106"/>
      <c r="CV757" s="106"/>
      <c r="CW757" s="106"/>
      <c r="CX757" s="106"/>
      <c r="CY757" s="106"/>
      <c r="CZ757" s="106"/>
      <c r="DA757" s="106"/>
      <c r="DB757" s="106"/>
      <c r="DC757" s="106"/>
      <c r="DD757" s="106"/>
      <c r="DE757" s="106"/>
      <c r="DF757" s="106"/>
      <c r="DG757" s="106"/>
      <c r="DH757" s="106"/>
      <c r="DI757" s="106"/>
      <c r="DJ757" s="106"/>
      <c r="DK757" s="106"/>
      <c r="DL757" s="106"/>
      <c r="DM757" s="106"/>
      <c r="DN757" s="106"/>
      <c r="DO757" s="106"/>
      <c r="DP757" s="106"/>
      <c r="DQ757" s="106"/>
      <c r="DR757" s="106"/>
      <c r="DS757" s="106"/>
      <c r="DT757" s="106"/>
      <c r="DU757" s="106"/>
      <c r="DV757" s="106"/>
      <c r="DW757" s="106"/>
      <c r="DX757" s="106"/>
      <c r="DY757" s="106"/>
      <c r="DZ757" s="106"/>
      <c r="EA757" s="106"/>
      <c r="EB757" s="106"/>
      <c r="EC757" s="106"/>
      <c r="ED757" s="106"/>
      <c r="EE757" s="106"/>
      <c r="EF757" s="106"/>
      <c r="EG757" s="106"/>
      <c r="EH757" s="106"/>
      <c r="EI757" s="106"/>
    </row>
    <row r="758" spans="3:139" ht="15.75" customHeight="1" x14ac:dyDescent="0.25"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  <c r="CR758" s="106"/>
      <c r="CS758" s="106"/>
      <c r="CT758" s="106"/>
      <c r="CU758" s="106"/>
      <c r="CV758" s="106"/>
      <c r="CW758" s="106"/>
      <c r="CX758" s="106"/>
      <c r="CY758" s="106"/>
      <c r="CZ758" s="106"/>
      <c r="DA758" s="106"/>
      <c r="DB758" s="106"/>
      <c r="DC758" s="106"/>
      <c r="DD758" s="106"/>
      <c r="DE758" s="106"/>
      <c r="DF758" s="106"/>
      <c r="DG758" s="106"/>
      <c r="DH758" s="106"/>
      <c r="DI758" s="106"/>
      <c r="DJ758" s="106"/>
      <c r="DK758" s="106"/>
      <c r="DL758" s="106"/>
      <c r="DM758" s="106"/>
      <c r="DN758" s="106"/>
      <c r="DO758" s="106"/>
      <c r="DP758" s="106"/>
      <c r="DQ758" s="106"/>
      <c r="DR758" s="106"/>
      <c r="DS758" s="106"/>
      <c r="DT758" s="106"/>
      <c r="DU758" s="106"/>
      <c r="DV758" s="106"/>
      <c r="DW758" s="106"/>
      <c r="DX758" s="106"/>
      <c r="DY758" s="106"/>
      <c r="DZ758" s="106"/>
      <c r="EA758" s="106"/>
      <c r="EB758" s="106"/>
      <c r="EC758" s="106"/>
      <c r="ED758" s="106"/>
      <c r="EE758" s="106"/>
      <c r="EF758" s="106"/>
      <c r="EG758" s="106"/>
      <c r="EH758" s="106"/>
      <c r="EI758" s="106"/>
    </row>
    <row r="759" spans="3:139" ht="15.75" customHeight="1" x14ac:dyDescent="0.25"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  <c r="CR759" s="106"/>
      <c r="CS759" s="106"/>
      <c r="CT759" s="106"/>
      <c r="CU759" s="106"/>
      <c r="CV759" s="106"/>
      <c r="CW759" s="106"/>
      <c r="CX759" s="106"/>
      <c r="CY759" s="106"/>
      <c r="CZ759" s="106"/>
      <c r="DA759" s="106"/>
      <c r="DB759" s="106"/>
      <c r="DC759" s="106"/>
      <c r="DD759" s="106"/>
      <c r="DE759" s="106"/>
      <c r="DF759" s="106"/>
      <c r="DG759" s="106"/>
      <c r="DH759" s="106"/>
      <c r="DI759" s="106"/>
      <c r="DJ759" s="106"/>
      <c r="DK759" s="106"/>
      <c r="DL759" s="106"/>
      <c r="DM759" s="106"/>
      <c r="DN759" s="106"/>
      <c r="DO759" s="106"/>
      <c r="DP759" s="106"/>
      <c r="DQ759" s="106"/>
      <c r="DR759" s="106"/>
      <c r="DS759" s="106"/>
      <c r="DT759" s="106"/>
      <c r="DU759" s="106"/>
      <c r="DV759" s="106"/>
      <c r="DW759" s="106"/>
      <c r="DX759" s="106"/>
      <c r="DY759" s="106"/>
      <c r="DZ759" s="106"/>
      <c r="EA759" s="106"/>
      <c r="EB759" s="106"/>
      <c r="EC759" s="106"/>
      <c r="ED759" s="106"/>
      <c r="EE759" s="106"/>
      <c r="EF759" s="106"/>
      <c r="EG759" s="106"/>
      <c r="EH759" s="106"/>
      <c r="EI759" s="106"/>
    </row>
    <row r="760" spans="3:139" ht="15.75" customHeight="1" x14ac:dyDescent="0.25"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  <c r="CR760" s="106"/>
      <c r="CS760" s="106"/>
      <c r="CT760" s="106"/>
      <c r="CU760" s="106"/>
      <c r="CV760" s="106"/>
      <c r="CW760" s="106"/>
      <c r="CX760" s="106"/>
      <c r="CY760" s="106"/>
      <c r="CZ760" s="106"/>
      <c r="DA760" s="106"/>
      <c r="DB760" s="106"/>
      <c r="DC760" s="106"/>
      <c r="DD760" s="106"/>
      <c r="DE760" s="106"/>
      <c r="DF760" s="106"/>
      <c r="DG760" s="106"/>
      <c r="DH760" s="106"/>
      <c r="DI760" s="106"/>
      <c r="DJ760" s="106"/>
      <c r="DK760" s="106"/>
      <c r="DL760" s="106"/>
      <c r="DM760" s="106"/>
      <c r="DN760" s="106"/>
      <c r="DO760" s="106"/>
      <c r="DP760" s="106"/>
      <c r="DQ760" s="106"/>
      <c r="DR760" s="106"/>
      <c r="DS760" s="106"/>
      <c r="DT760" s="106"/>
      <c r="DU760" s="106"/>
      <c r="DV760" s="106"/>
      <c r="DW760" s="106"/>
      <c r="DX760" s="106"/>
      <c r="DY760" s="106"/>
      <c r="DZ760" s="106"/>
      <c r="EA760" s="106"/>
      <c r="EB760" s="106"/>
      <c r="EC760" s="106"/>
      <c r="ED760" s="106"/>
      <c r="EE760" s="106"/>
      <c r="EF760" s="106"/>
      <c r="EG760" s="106"/>
      <c r="EH760" s="106"/>
      <c r="EI760" s="106"/>
    </row>
    <row r="761" spans="3:139" ht="15.75" customHeight="1" x14ac:dyDescent="0.25"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  <c r="CR761" s="106"/>
      <c r="CS761" s="106"/>
      <c r="CT761" s="106"/>
      <c r="CU761" s="106"/>
      <c r="CV761" s="106"/>
      <c r="CW761" s="106"/>
      <c r="CX761" s="106"/>
      <c r="CY761" s="106"/>
      <c r="CZ761" s="106"/>
      <c r="DA761" s="106"/>
      <c r="DB761" s="106"/>
      <c r="DC761" s="106"/>
      <c r="DD761" s="106"/>
      <c r="DE761" s="106"/>
      <c r="DF761" s="106"/>
      <c r="DG761" s="106"/>
      <c r="DH761" s="106"/>
      <c r="DI761" s="106"/>
      <c r="DJ761" s="106"/>
      <c r="DK761" s="106"/>
      <c r="DL761" s="106"/>
      <c r="DM761" s="106"/>
      <c r="DN761" s="106"/>
      <c r="DO761" s="106"/>
      <c r="DP761" s="106"/>
      <c r="DQ761" s="106"/>
      <c r="DR761" s="106"/>
      <c r="DS761" s="106"/>
      <c r="DT761" s="106"/>
      <c r="DU761" s="106"/>
      <c r="DV761" s="106"/>
      <c r="DW761" s="106"/>
      <c r="DX761" s="106"/>
      <c r="DY761" s="106"/>
      <c r="DZ761" s="106"/>
      <c r="EA761" s="106"/>
      <c r="EB761" s="106"/>
      <c r="EC761" s="106"/>
      <c r="ED761" s="106"/>
      <c r="EE761" s="106"/>
      <c r="EF761" s="106"/>
      <c r="EG761" s="106"/>
      <c r="EH761" s="106"/>
      <c r="EI761" s="106"/>
    </row>
    <row r="762" spans="3:139" ht="15.75" customHeight="1" x14ac:dyDescent="0.25"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  <c r="CR762" s="106"/>
      <c r="CS762" s="106"/>
      <c r="CT762" s="106"/>
      <c r="CU762" s="106"/>
      <c r="CV762" s="106"/>
      <c r="CW762" s="106"/>
      <c r="CX762" s="106"/>
      <c r="CY762" s="106"/>
      <c r="CZ762" s="106"/>
      <c r="DA762" s="106"/>
      <c r="DB762" s="106"/>
      <c r="DC762" s="106"/>
      <c r="DD762" s="106"/>
      <c r="DE762" s="106"/>
      <c r="DF762" s="106"/>
      <c r="DG762" s="106"/>
      <c r="DH762" s="106"/>
      <c r="DI762" s="106"/>
      <c r="DJ762" s="106"/>
      <c r="DK762" s="106"/>
      <c r="DL762" s="106"/>
      <c r="DM762" s="106"/>
      <c r="DN762" s="106"/>
      <c r="DO762" s="106"/>
      <c r="DP762" s="106"/>
      <c r="DQ762" s="106"/>
      <c r="DR762" s="106"/>
      <c r="DS762" s="106"/>
      <c r="DT762" s="106"/>
      <c r="DU762" s="106"/>
      <c r="DV762" s="106"/>
      <c r="DW762" s="106"/>
      <c r="DX762" s="106"/>
      <c r="DY762" s="106"/>
      <c r="DZ762" s="106"/>
      <c r="EA762" s="106"/>
      <c r="EB762" s="106"/>
      <c r="EC762" s="106"/>
      <c r="ED762" s="106"/>
      <c r="EE762" s="106"/>
      <c r="EF762" s="106"/>
      <c r="EG762" s="106"/>
      <c r="EH762" s="106"/>
      <c r="EI762" s="106"/>
    </row>
    <row r="763" spans="3:139" ht="15.75" customHeight="1" x14ac:dyDescent="0.25"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  <c r="CR763" s="106"/>
      <c r="CS763" s="106"/>
      <c r="CT763" s="106"/>
      <c r="CU763" s="106"/>
      <c r="CV763" s="106"/>
      <c r="CW763" s="106"/>
      <c r="CX763" s="106"/>
      <c r="CY763" s="106"/>
      <c r="CZ763" s="106"/>
      <c r="DA763" s="106"/>
      <c r="DB763" s="106"/>
      <c r="DC763" s="106"/>
      <c r="DD763" s="106"/>
      <c r="DE763" s="106"/>
      <c r="DF763" s="106"/>
      <c r="DG763" s="106"/>
      <c r="DH763" s="106"/>
      <c r="DI763" s="106"/>
      <c r="DJ763" s="106"/>
      <c r="DK763" s="106"/>
      <c r="DL763" s="106"/>
      <c r="DM763" s="106"/>
      <c r="DN763" s="106"/>
      <c r="DO763" s="106"/>
      <c r="DP763" s="106"/>
      <c r="DQ763" s="106"/>
      <c r="DR763" s="106"/>
      <c r="DS763" s="106"/>
      <c r="DT763" s="106"/>
      <c r="DU763" s="106"/>
      <c r="DV763" s="106"/>
      <c r="DW763" s="106"/>
      <c r="DX763" s="106"/>
      <c r="DY763" s="106"/>
      <c r="DZ763" s="106"/>
      <c r="EA763" s="106"/>
      <c r="EB763" s="106"/>
      <c r="EC763" s="106"/>
      <c r="ED763" s="106"/>
      <c r="EE763" s="106"/>
      <c r="EF763" s="106"/>
      <c r="EG763" s="106"/>
      <c r="EH763" s="106"/>
      <c r="EI763" s="106"/>
    </row>
    <row r="764" spans="3:139" ht="15.75" customHeight="1" x14ac:dyDescent="0.25"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  <c r="CR764" s="106"/>
      <c r="CS764" s="106"/>
      <c r="CT764" s="106"/>
      <c r="CU764" s="106"/>
      <c r="CV764" s="106"/>
      <c r="CW764" s="106"/>
      <c r="CX764" s="106"/>
      <c r="CY764" s="106"/>
      <c r="CZ764" s="106"/>
      <c r="DA764" s="106"/>
      <c r="DB764" s="106"/>
      <c r="DC764" s="106"/>
      <c r="DD764" s="106"/>
      <c r="DE764" s="106"/>
      <c r="DF764" s="106"/>
      <c r="DG764" s="106"/>
      <c r="DH764" s="106"/>
      <c r="DI764" s="106"/>
      <c r="DJ764" s="106"/>
      <c r="DK764" s="106"/>
      <c r="DL764" s="106"/>
      <c r="DM764" s="106"/>
      <c r="DN764" s="106"/>
      <c r="DO764" s="106"/>
      <c r="DP764" s="106"/>
      <c r="DQ764" s="106"/>
      <c r="DR764" s="106"/>
      <c r="DS764" s="106"/>
      <c r="DT764" s="106"/>
      <c r="DU764" s="106"/>
      <c r="DV764" s="106"/>
      <c r="DW764" s="106"/>
      <c r="DX764" s="106"/>
      <c r="DY764" s="106"/>
      <c r="DZ764" s="106"/>
      <c r="EA764" s="106"/>
      <c r="EB764" s="106"/>
      <c r="EC764" s="106"/>
      <c r="ED764" s="106"/>
      <c r="EE764" s="106"/>
      <c r="EF764" s="106"/>
      <c r="EG764" s="106"/>
      <c r="EH764" s="106"/>
      <c r="EI764" s="106"/>
    </row>
    <row r="765" spans="3:139" ht="15.75" customHeight="1" x14ac:dyDescent="0.25"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  <c r="CR765" s="106"/>
      <c r="CS765" s="106"/>
      <c r="CT765" s="106"/>
      <c r="CU765" s="106"/>
      <c r="CV765" s="106"/>
      <c r="CW765" s="106"/>
      <c r="CX765" s="106"/>
      <c r="CY765" s="106"/>
      <c r="CZ765" s="106"/>
      <c r="DA765" s="106"/>
      <c r="DB765" s="106"/>
      <c r="DC765" s="106"/>
      <c r="DD765" s="106"/>
      <c r="DE765" s="106"/>
      <c r="DF765" s="106"/>
      <c r="DG765" s="106"/>
      <c r="DH765" s="106"/>
      <c r="DI765" s="106"/>
      <c r="DJ765" s="106"/>
      <c r="DK765" s="106"/>
      <c r="DL765" s="106"/>
      <c r="DM765" s="106"/>
      <c r="DN765" s="106"/>
      <c r="DO765" s="106"/>
      <c r="DP765" s="106"/>
      <c r="DQ765" s="106"/>
      <c r="DR765" s="106"/>
      <c r="DS765" s="106"/>
      <c r="DT765" s="106"/>
      <c r="DU765" s="106"/>
      <c r="DV765" s="106"/>
      <c r="DW765" s="106"/>
      <c r="DX765" s="106"/>
      <c r="DY765" s="106"/>
      <c r="DZ765" s="106"/>
      <c r="EA765" s="106"/>
      <c r="EB765" s="106"/>
      <c r="EC765" s="106"/>
      <c r="ED765" s="106"/>
      <c r="EE765" s="106"/>
      <c r="EF765" s="106"/>
      <c r="EG765" s="106"/>
      <c r="EH765" s="106"/>
      <c r="EI765" s="106"/>
    </row>
    <row r="766" spans="3:139" ht="15.75" customHeight="1" x14ac:dyDescent="0.25"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  <c r="CR766" s="106"/>
      <c r="CS766" s="106"/>
      <c r="CT766" s="106"/>
      <c r="CU766" s="106"/>
      <c r="CV766" s="106"/>
      <c r="CW766" s="106"/>
      <c r="CX766" s="106"/>
      <c r="CY766" s="106"/>
      <c r="CZ766" s="106"/>
      <c r="DA766" s="106"/>
      <c r="DB766" s="106"/>
      <c r="DC766" s="106"/>
      <c r="DD766" s="106"/>
      <c r="DE766" s="106"/>
      <c r="DF766" s="106"/>
      <c r="DG766" s="106"/>
      <c r="DH766" s="106"/>
      <c r="DI766" s="106"/>
      <c r="DJ766" s="106"/>
      <c r="DK766" s="106"/>
      <c r="DL766" s="106"/>
      <c r="DM766" s="106"/>
      <c r="DN766" s="106"/>
      <c r="DO766" s="106"/>
      <c r="DP766" s="106"/>
      <c r="DQ766" s="106"/>
      <c r="DR766" s="106"/>
      <c r="DS766" s="106"/>
      <c r="DT766" s="106"/>
      <c r="DU766" s="106"/>
      <c r="DV766" s="106"/>
      <c r="DW766" s="106"/>
      <c r="DX766" s="106"/>
      <c r="DY766" s="106"/>
      <c r="DZ766" s="106"/>
      <c r="EA766" s="106"/>
      <c r="EB766" s="106"/>
      <c r="EC766" s="106"/>
      <c r="ED766" s="106"/>
      <c r="EE766" s="106"/>
      <c r="EF766" s="106"/>
      <c r="EG766" s="106"/>
      <c r="EH766" s="106"/>
      <c r="EI766" s="106"/>
    </row>
    <row r="767" spans="3:139" ht="15.75" customHeight="1" x14ac:dyDescent="0.25"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  <c r="CR767" s="106"/>
      <c r="CS767" s="106"/>
      <c r="CT767" s="106"/>
      <c r="CU767" s="106"/>
      <c r="CV767" s="106"/>
      <c r="CW767" s="106"/>
      <c r="CX767" s="106"/>
      <c r="CY767" s="106"/>
      <c r="CZ767" s="106"/>
      <c r="DA767" s="106"/>
      <c r="DB767" s="106"/>
      <c r="DC767" s="106"/>
      <c r="DD767" s="106"/>
      <c r="DE767" s="106"/>
      <c r="DF767" s="106"/>
      <c r="DG767" s="106"/>
      <c r="DH767" s="106"/>
      <c r="DI767" s="106"/>
      <c r="DJ767" s="106"/>
      <c r="DK767" s="106"/>
      <c r="DL767" s="106"/>
      <c r="DM767" s="106"/>
      <c r="DN767" s="106"/>
      <c r="DO767" s="106"/>
      <c r="DP767" s="106"/>
      <c r="DQ767" s="106"/>
      <c r="DR767" s="106"/>
      <c r="DS767" s="106"/>
      <c r="DT767" s="106"/>
      <c r="DU767" s="106"/>
      <c r="DV767" s="106"/>
      <c r="DW767" s="106"/>
      <c r="DX767" s="106"/>
      <c r="DY767" s="106"/>
      <c r="DZ767" s="106"/>
      <c r="EA767" s="106"/>
      <c r="EB767" s="106"/>
      <c r="EC767" s="106"/>
      <c r="ED767" s="106"/>
      <c r="EE767" s="106"/>
      <c r="EF767" s="106"/>
      <c r="EG767" s="106"/>
      <c r="EH767" s="106"/>
      <c r="EI767" s="106"/>
    </row>
    <row r="768" spans="3:139" ht="15.75" customHeight="1" x14ac:dyDescent="0.25"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  <c r="CR768" s="106"/>
      <c r="CS768" s="106"/>
      <c r="CT768" s="106"/>
      <c r="CU768" s="106"/>
      <c r="CV768" s="106"/>
      <c r="CW768" s="106"/>
      <c r="CX768" s="106"/>
      <c r="CY768" s="106"/>
      <c r="CZ768" s="106"/>
      <c r="DA768" s="106"/>
      <c r="DB768" s="106"/>
      <c r="DC768" s="106"/>
      <c r="DD768" s="106"/>
      <c r="DE768" s="106"/>
      <c r="DF768" s="106"/>
      <c r="DG768" s="106"/>
      <c r="DH768" s="106"/>
      <c r="DI768" s="106"/>
      <c r="DJ768" s="106"/>
      <c r="DK768" s="106"/>
      <c r="DL768" s="106"/>
      <c r="DM768" s="106"/>
      <c r="DN768" s="106"/>
      <c r="DO768" s="106"/>
      <c r="DP768" s="106"/>
      <c r="DQ768" s="106"/>
      <c r="DR768" s="106"/>
      <c r="DS768" s="106"/>
      <c r="DT768" s="106"/>
      <c r="DU768" s="106"/>
      <c r="DV768" s="106"/>
      <c r="DW768" s="106"/>
      <c r="DX768" s="106"/>
      <c r="DY768" s="106"/>
      <c r="DZ768" s="106"/>
      <c r="EA768" s="106"/>
      <c r="EB768" s="106"/>
      <c r="EC768" s="106"/>
      <c r="ED768" s="106"/>
      <c r="EE768" s="106"/>
      <c r="EF768" s="106"/>
      <c r="EG768" s="106"/>
      <c r="EH768" s="106"/>
      <c r="EI768" s="106"/>
    </row>
    <row r="769" spans="3:139" ht="15.75" customHeight="1" x14ac:dyDescent="0.25"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  <c r="CR769" s="106"/>
      <c r="CS769" s="106"/>
      <c r="CT769" s="106"/>
      <c r="CU769" s="106"/>
      <c r="CV769" s="106"/>
      <c r="CW769" s="106"/>
      <c r="CX769" s="106"/>
      <c r="CY769" s="106"/>
      <c r="CZ769" s="106"/>
      <c r="DA769" s="106"/>
      <c r="DB769" s="106"/>
      <c r="DC769" s="106"/>
      <c r="DD769" s="106"/>
      <c r="DE769" s="106"/>
      <c r="DF769" s="106"/>
      <c r="DG769" s="106"/>
      <c r="DH769" s="106"/>
      <c r="DI769" s="106"/>
      <c r="DJ769" s="106"/>
      <c r="DK769" s="106"/>
      <c r="DL769" s="106"/>
      <c r="DM769" s="106"/>
      <c r="DN769" s="106"/>
      <c r="DO769" s="106"/>
      <c r="DP769" s="106"/>
      <c r="DQ769" s="106"/>
      <c r="DR769" s="106"/>
      <c r="DS769" s="106"/>
      <c r="DT769" s="106"/>
      <c r="DU769" s="106"/>
      <c r="DV769" s="106"/>
      <c r="DW769" s="106"/>
      <c r="DX769" s="106"/>
      <c r="DY769" s="106"/>
      <c r="DZ769" s="106"/>
      <c r="EA769" s="106"/>
      <c r="EB769" s="106"/>
      <c r="EC769" s="106"/>
      <c r="ED769" s="106"/>
      <c r="EE769" s="106"/>
      <c r="EF769" s="106"/>
      <c r="EG769" s="106"/>
      <c r="EH769" s="106"/>
      <c r="EI769" s="106"/>
    </row>
    <row r="770" spans="3:139" ht="15.75" customHeight="1" x14ac:dyDescent="0.25"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  <c r="CR770" s="106"/>
      <c r="CS770" s="106"/>
      <c r="CT770" s="106"/>
      <c r="CU770" s="106"/>
      <c r="CV770" s="106"/>
      <c r="CW770" s="106"/>
      <c r="CX770" s="106"/>
      <c r="CY770" s="106"/>
      <c r="CZ770" s="106"/>
      <c r="DA770" s="106"/>
      <c r="DB770" s="106"/>
      <c r="DC770" s="106"/>
      <c r="DD770" s="106"/>
      <c r="DE770" s="106"/>
      <c r="DF770" s="106"/>
      <c r="DG770" s="106"/>
      <c r="DH770" s="106"/>
      <c r="DI770" s="106"/>
      <c r="DJ770" s="106"/>
      <c r="DK770" s="106"/>
      <c r="DL770" s="106"/>
      <c r="DM770" s="106"/>
      <c r="DN770" s="106"/>
      <c r="DO770" s="106"/>
      <c r="DP770" s="106"/>
      <c r="DQ770" s="106"/>
      <c r="DR770" s="106"/>
      <c r="DS770" s="106"/>
      <c r="DT770" s="106"/>
      <c r="DU770" s="106"/>
      <c r="DV770" s="106"/>
      <c r="DW770" s="106"/>
      <c r="DX770" s="106"/>
      <c r="DY770" s="106"/>
      <c r="DZ770" s="106"/>
      <c r="EA770" s="106"/>
      <c r="EB770" s="106"/>
      <c r="EC770" s="106"/>
      <c r="ED770" s="106"/>
      <c r="EE770" s="106"/>
      <c r="EF770" s="106"/>
      <c r="EG770" s="106"/>
      <c r="EH770" s="106"/>
      <c r="EI770" s="106"/>
    </row>
    <row r="771" spans="3:139" ht="15.75" customHeight="1" x14ac:dyDescent="0.25"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  <c r="CR771" s="106"/>
      <c r="CS771" s="106"/>
      <c r="CT771" s="106"/>
      <c r="CU771" s="106"/>
      <c r="CV771" s="106"/>
      <c r="CW771" s="106"/>
      <c r="CX771" s="106"/>
      <c r="CY771" s="106"/>
      <c r="CZ771" s="106"/>
      <c r="DA771" s="106"/>
      <c r="DB771" s="106"/>
      <c r="DC771" s="106"/>
      <c r="DD771" s="106"/>
      <c r="DE771" s="106"/>
      <c r="DF771" s="106"/>
      <c r="DG771" s="106"/>
      <c r="DH771" s="106"/>
      <c r="DI771" s="106"/>
      <c r="DJ771" s="106"/>
      <c r="DK771" s="106"/>
      <c r="DL771" s="106"/>
      <c r="DM771" s="106"/>
      <c r="DN771" s="106"/>
      <c r="DO771" s="106"/>
      <c r="DP771" s="106"/>
      <c r="DQ771" s="106"/>
      <c r="DR771" s="106"/>
      <c r="DS771" s="106"/>
      <c r="DT771" s="106"/>
      <c r="DU771" s="106"/>
      <c r="DV771" s="106"/>
      <c r="DW771" s="106"/>
      <c r="DX771" s="106"/>
      <c r="DY771" s="106"/>
      <c r="DZ771" s="106"/>
      <c r="EA771" s="106"/>
      <c r="EB771" s="106"/>
      <c r="EC771" s="106"/>
      <c r="ED771" s="106"/>
      <c r="EE771" s="106"/>
      <c r="EF771" s="106"/>
      <c r="EG771" s="106"/>
      <c r="EH771" s="106"/>
      <c r="EI771" s="106"/>
    </row>
    <row r="772" spans="3:139" ht="15.75" customHeight="1" x14ac:dyDescent="0.25"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  <c r="CR772" s="106"/>
      <c r="CS772" s="106"/>
      <c r="CT772" s="106"/>
      <c r="CU772" s="106"/>
      <c r="CV772" s="106"/>
      <c r="CW772" s="106"/>
      <c r="CX772" s="106"/>
      <c r="CY772" s="106"/>
      <c r="CZ772" s="106"/>
      <c r="DA772" s="106"/>
      <c r="DB772" s="106"/>
      <c r="DC772" s="106"/>
      <c r="DD772" s="106"/>
      <c r="DE772" s="106"/>
      <c r="DF772" s="106"/>
      <c r="DG772" s="106"/>
      <c r="DH772" s="106"/>
      <c r="DI772" s="106"/>
      <c r="DJ772" s="106"/>
      <c r="DK772" s="106"/>
      <c r="DL772" s="106"/>
      <c r="DM772" s="106"/>
      <c r="DN772" s="106"/>
      <c r="DO772" s="106"/>
      <c r="DP772" s="106"/>
      <c r="DQ772" s="106"/>
      <c r="DR772" s="106"/>
      <c r="DS772" s="106"/>
      <c r="DT772" s="106"/>
      <c r="DU772" s="106"/>
      <c r="DV772" s="106"/>
      <c r="DW772" s="106"/>
      <c r="DX772" s="106"/>
      <c r="DY772" s="106"/>
      <c r="DZ772" s="106"/>
      <c r="EA772" s="106"/>
      <c r="EB772" s="106"/>
      <c r="EC772" s="106"/>
      <c r="ED772" s="106"/>
      <c r="EE772" s="106"/>
      <c r="EF772" s="106"/>
      <c r="EG772" s="106"/>
      <c r="EH772" s="106"/>
      <c r="EI772" s="106"/>
    </row>
    <row r="773" spans="3:139" ht="15.75" customHeight="1" x14ac:dyDescent="0.25"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  <c r="CR773" s="106"/>
      <c r="CS773" s="106"/>
      <c r="CT773" s="106"/>
      <c r="CU773" s="106"/>
      <c r="CV773" s="106"/>
      <c r="CW773" s="106"/>
      <c r="CX773" s="106"/>
      <c r="CY773" s="106"/>
      <c r="CZ773" s="106"/>
      <c r="DA773" s="106"/>
      <c r="DB773" s="106"/>
      <c r="DC773" s="106"/>
      <c r="DD773" s="106"/>
      <c r="DE773" s="106"/>
      <c r="DF773" s="106"/>
      <c r="DG773" s="106"/>
      <c r="DH773" s="106"/>
      <c r="DI773" s="106"/>
      <c r="DJ773" s="106"/>
      <c r="DK773" s="106"/>
      <c r="DL773" s="106"/>
      <c r="DM773" s="106"/>
      <c r="DN773" s="106"/>
      <c r="DO773" s="106"/>
      <c r="DP773" s="106"/>
      <c r="DQ773" s="106"/>
      <c r="DR773" s="106"/>
      <c r="DS773" s="106"/>
      <c r="DT773" s="106"/>
      <c r="DU773" s="106"/>
      <c r="DV773" s="106"/>
      <c r="DW773" s="106"/>
      <c r="DX773" s="106"/>
      <c r="DY773" s="106"/>
      <c r="DZ773" s="106"/>
      <c r="EA773" s="106"/>
      <c r="EB773" s="106"/>
      <c r="EC773" s="106"/>
      <c r="ED773" s="106"/>
      <c r="EE773" s="106"/>
      <c r="EF773" s="106"/>
      <c r="EG773" s="106"/>
      <c r="EH773" s="106"/>
      <c r="EI773" s="106"/>
    </row>
    <row r="774" spans="3:139" ht="15.75" customHeight="1" x14ac:dyDescent="0.25"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  <c r="CR774" s="106"/>
      <c r="CS774" s="106"/>
      <c r="CT774" s="106"/>
      <c r="CU774" s="106"/>
      <c r="CV774" s="106"/>
      <c r="CW774" s="106"/>
      <c r="CX774" s="106"/>
      <c r="CY774" s="106"/>
      <c r="CZ774" s="106"/>
      <c r="DA774" s="106"/>
      <c r="DB774" s="106"/>
      <c r="DC774" s="106"/>
      <c r="DD774" s="106"/>
      <c r="DE774" s="106"/>
      <c r="DF774" s="106"/>
      <c r="DG774" s="106"/>
      <c r="DH774" s="106"/>
      <c r="DI774" s="106"/>
      <c r="DJ774" s="106"/>
      <c r="DK774" s="106"/>
      <c r="DL774" s="106"/>
      <c r="DM774" s="106"/>
      <c r="DN774" s="106"/>
      <c r="DO774" s="106"/>
      <c r="DP774" s="106"/>
      <c r="DQ774" s="106"/>
      <c r="DR774" s="106"/>
      <c r="DS774" s="106"/>
      <c r="DT774" s="106"/>
      <c r="DU774" s="106"/>
      <c r="DV774" s="106"/>
      <c r="DW774" s="106"/>
      <c r="DX774" s="106"/>
      <c r="DY774" s="106"/>
      <c r="DZ774" s="106"/>
      <c r="EA774" s="106"/>
      <c r="EB774" s="106"/>
      <c r="EC774" s="106"/>
      <c r="ED774" s="106"/>
      <c r="EE774" s="106"/>
      <c r="EF774" s="106"/>
      <c r="EG774" s="106"/>
      <c r="EH774" s="106"/>
      <c r="EI774" s="106"/>
    </row>
    <row r="775" spans="3:139" ht="15.75" customHeight="1" x14ac:dyDescent="0.25"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  <c r="CR775" s="106"/>
      <c r="CS775" s="106"/>
      <c r="CT775" s="106"/>
      <c r="CU775" s="106"/>
      <c r="CV775" s="106"/>
      <c r="CW775" s="106"/>
      <c r="CX775" s="106"/>
      <c r="CY775" s="106"/>
      <c r="CZ775" s="106"/>
      <c r="DA775" s="106"/>
      <c r="DB775" s="106"/>
      <c r="DC775" s="106"/>
      <c r="DD775" s="106"/>
      <c r="DE775" s="106"/>
      <c r="DF775" s="106"/>
      <c r="DG775" s="106"/>
      <c r="DH775" s="106"/>
      <c r="DI775" s="106"/>
      <c r="DJ775" s="106"/>
      <c r="DK775" s="106"/>
      <c r="DL775" s="106"/>
      <c r="DM775" s="106"/>
      <c r="DN775" s="106"/>
      <c r="DO775" s="106"/>
      <c r="DP775" s="106"/>
      <c r="DQ775" s="106"/>
      <c r="DR775" s="106"/>
      <c r="DS775" s="106"/>
      <c r="DT775" s="106"/>
      <c r="DU775" s="106"/>
      <c r="DV775" s="106"/>
      <c r="DW775" s="106"/>
      <c r="DX775" s="106"/>
      <c r="DY775" s="106"/>
      <c r="DZ775" s="106"/>
      <c r="EA775" s="106"/>
      <c r="EB775" s="106"/>
      <c r="EC775" s="106"/>
      <c r="ED775" s="106"/>
      <c r="EE775" s="106"/>
      <c r="EF775" s="106"/>
      <c r="EG775" s="106"/>
      <c r="EH775" s="106"/>
      <c r="EI775" s="106"/>
    </row>
    <row r="776" spans="3:139" ht="15.75" customHeight="1" x14ac:dyDescent="0.25"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  <c r="CR776" s="106"/>
      <c r="CS776" s="106"/>
      <c r="CT776" s="106"/>
      <c r="CU776" s="106"/>
      <c r="CV776" s="106"/>
      <c r="CW776" s="106"/>
      <c r="CX776" s="106"/>
      <c r="CY776" s="106"/>
      <c r="CZ776" s="106"/>
      <c r="DA776" s="106"/>
      <c r="DB776" s="106"/>
      <c r="DC776" s="106"/>
      <c r="DD776" s="106"/>
      <c r="DE776" s="106"/>
      <c r="DF776" s="106"/>
      <c r="DG776" s="106"/>
      <c r="DH776" s="106"/>
      <c r="DI776" s="106"/>
      <c r="DJ776" s="106"/>
      <c r="DK776" s="106"/>
      <c r="DL776" s="106"/>
      <c r="DM776" s="106"/>
      <c r="DN776" s="106"/>
      <c r="DO776" s="106"/>
      <c r="DP776" s="106"/>
      <c r="DQ776" s="106"/>
      <c r="DR776" s="106"/>
      <c r="DS776" s="106"/>
      <c r="DT776" s="106"/>
      <c r="DU776" s="106"/>
      <c r="DV776" s="106"/>
      <c r="DW776" s="106"/>
      <c r="DX776" s="106"/>
      <c r="DY776" s="106"/>
      <c r="DZ776" s="106"/>
      <c r="EA776" s="106"/>
      <c r="EB776" s="106"/>
      <c r="EC776" s="106"/>
      <c r="ED776" s="106"/>
      <c r="EE776" s="106"/>
      <c r="EF776" s="106"/>
      <c r="EG776" s="106"/>
      <c r="EH776" s="106"/>
      <c r="EI776" s="106"/>
    </row>
    <row r="777" spans="3:139" ht="15.75" customHeight="1" x14ac:dyDescent="0.25"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  <c r="CR777" s="106"/>
      <c r="CS777" s="106"/>
      <c r="CT777" s="106"/>
      <c r="CU777" s="106"/>
      <c r="CV777" s="106"/>
      <c r="CW777" s="106"/>
      <c r="CX777" s="106"/>
      <c r="CY777" s="106"/>
      <c r="CZ777" s="106"/>
      <c r="DA777" s="106"/>
      <c r="DB777" s="106"/>
      <c r="DC777" s="106"/>
      <c r="DD777" s="106"/>
      <c r="DE777" s="106"/>
      <c r="DF777" s="106"/>
      <c r="DG777" s="106"/>
      <c r="DH777" s="106"/>
      <c r="DI777" s="106"/>
      <c r="DJ777" s="106"/>
      <c r="DK777" s="106"/>
      <c r="DL777" s="106"/>
      <c r="DM777" s="106"/>
      <c r="DN777" s="106"/>
      <c r="DO777" s="106"/>
      <c r="DP777" s="106"/>
      <c r="DQ777" s="106"/>
      <c r="DR777" s="106"/>
      <c r="DS777" s="106"/>
      <c r="DT777" s="106"/>
      <c r="DU777" s="106"/>
      <c r="DV777" s="106"/>
      <c r="DW777" s="106"/>
      <c r="DX777" s="106"/>
      <c r="DY777" s="106"/>
      <c r="DZ777" s="106"/>
      <c r="EA777" s="106"/>
      <c r="EB777" s="106"/>
      <c r="EC777" s="106"/>
      <c r="ED777" s="106"/>
      <c r="EE777" s="106"/>
      <c r="EF777" s="106"/>
      <c r="EG777" s="106"/>
      <c r="EH777" s="106"/>
      <c r="EI777" s="106"/>
    </row>
    <row r="778" spans="3:139" ht="15.75" customHeight="1" x14ac:dyDescent="0.25"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  <c r="CR778" s="106"/>
      <c r="CS778" s="106"/>
      <c r="CT778" s="106"/>
      <c r="CU778" s="106"/>
      <c r="CV778" s="106"/>
      <c r="CW778" s="106"/>
      <c r="CX778" s="106"/>
      <c r="CY778" s="106"/>
      <c r="CZ778" s="106"/>
      <c r="DA778" s="106"/>
      <c r="DB778" s="106"/>
      <c r="DC778" s="106"/>
      <c r="DD778" s="106"/>
      <c r="DE778" s="106"/>
      <c r="DF778" s="106"/>
      <c r="DG778" s="106"/>
      <c r="DH778" s="106"/>
      <c r="DI778" s="106"/>
      <c r="DJ778" s="106"/>
      <c r="DK778" s="106"/>
      <c r="DL778" s="106"/>
      <c r="DM778" s="106"/>
      <c r="DN778" s="106"/>
      <c r="DO778" s="106"/>
      <c r="DP778" s="106"/>
      <c r="DQ778" s="106"/>
      <c r="DR778" s="106"/>
      <c r="DS778" s="106"/>
      <c r="DT778" s="106"/>
      <c r="DU778" s="106"/>
      <c r="DV778" s="106"/>
      <c r="DW778" s="106"/>
      <c r="DX778" s="106"/>
      <c r="DY778" s="106"/>
      <c r="DZ778" s="106"/>
      <c r="EA778" s="106"/>
      <c r="EB778" s="106"/>
      <c r="EC778" s="106"/>
      <c r="ED778" s="106"/>
      <c r="EE778" s="106"/>
      <c r="EF778" s="106"/>
      <c r="EG778" s="106"/>
      <c r="EH778" s="106"/>
      <c r="EI778" s="106"/>
    </row>
    <row r="779" spans="3:139" ht="15.75" customHeight="1" x14ac:dyDescent="0.25"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  <c r="CR779" s="106"/>
      <c r="CS779" s="106"/>
      <c r="CT779" s="106"/>
      <c r="CU779" s="106"/>
      <c r="CV779" s="106"/>
      <c r="CW779" s="106"/>
      <c r="CX779" s="106"/>
      <c r="CY779" s="106"/>
      <c r="CZ779" s="106"/>
      <c r="DA779" s="106"/>
      <c r="DB779" s="106"/>
      <c r="DC779" s="106"/>
      <c r="DD779" s="106"/>
      <c r="DE779" s="106"/>
      <c r="DF779" s="106"/>
      <c r="DG779" s="106"/>
      <c r="DH779" s="106"/>
      <c r="DI779" s="106"/>
      <c r="DJ779" s="106"/>
      <c r="DK779" s="106"/>
      <c r="DL779" s="106"/>
      <c r="DM779" s="106"/>
      <c r="DN779" s="106"/>
      <c r="DO779" s="106"/>
      <c r="DP779" s="106"/>
      <c r="DQ779" s="106"/>
      <c r="DR779" s="106"/>
      <c r="DS779" s="106"/>
      <c r="DT779" s="106"/>
      <c r="DU779" s="106"/>
      <c r="DV779" s="106"/>
      <c r="DW779" s="106"/>
      <c r="DX779" s="106"/>
      <c r="DY779" s="106"/>
      <c r="DZ779" s="106"/>
      <c r="EA779" s="106"/>
      <c r="EB779" s="106"/>
      <c r="EC779" s="106"/>
      <c r="ED779" s="106"/>
      <c r="EE779" s="106"/>
      <c r="EF779" s="106"/>
      <c r="EG779" s="106"/>
      <c r="EH779" s="106"/>
      <c r="EI779" s="106"/>
    </row>
    <row r="780" spans="3:139" ht="15.75" customHeight="1" x14ac:dyDescent="0.25"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  <c r="CR780" s="106"/>
      <c r="CS780" s="106"/>
      <c r="CT780" s="106"/>
      <c r="CU780" s="106"/>
      <c r="CV780" s="106"/>
      <c r="CW780" s="106"/>
      <c r="CX780" s="106"/>
      <c r="CY780" s="106"/>
      <c r="CZ780" s="106"/>
      <c r="DA780" s="106"/>
      <c r="DB780" s="106"/>
      <c r="DC780" s="106"/>
      <c r="DD780" s="106"/>
      <c r="DE780" s="106"/>
      <c r="DF780" s="106"/>
      <c r="DG780" s="106"/>
      <c r="DH780" s="106"/>
      <c r="DI780" s="106"/>
      <c r="DJ780" s="106"/>
      <c r="DK780" s="106"/>
      <c r="DL780" s="106"/>
      <c r="DM780" s="106"/>
      <c r="DN780" s="106"/>
      <c r="DO780" s="106"/>
      <c r="DP780" s="106"/>
      <c r="DQ780" s="106"/>
      <c r="DR780" s="106"/>
      <c r="DS780" s="106"/>
      <c r="DT780" s="106"/>
      <c r="DU780" s="106"/>
      <c r="DV780" s="106"/>
      <c r="DW780" s="106"/>
      <c r="DX780" s="106"/>
      <c r="DY780" s="106"/>
      <c r="DZ780" s="106"/>
      <c r="EA780" s="106"/>
      <c r="EB780" s="106"/>
      <c r="EC780" s="106"/>
      <c r="ED780" s="106"/>
      <c r="EE780" s="106"/>
      <c r="EF780" s="106"/>
      <c r="EG780" s="106"/>
      <c r="EH780" s="106"/>
      <c r="EI780" s="106"/>
    </row>
    <row r="781" spans="3:139" ht="15.75" customHeight="1" x14ac:dyDescent="0.25"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  <c r="CR781" s="106"/>
      <c r="CS781" s="106"/>
      <c r="CT781" s="106"/>
      <c r="CU781" s="106"/>
      <c r="CV781" s="106"/>
      <c r="CW781" s="106"/>
      <c r="CX781" s="106"/>
      <c r="CY781" s="106"/>
      <c r="CZ781" s="106"/>
      <c r="DA781" s="106"/>
      <c r="DB781" s="106"/>
      <c r="DC781" s="106"/>
      <c r="DD781" s="106"/>
      <c r="DE781" s="106"/>
      <c r="DF781" s="106"/>
      <c r="DG781" s="106"/>
      <c r="DH781" s="106"/>
      <c r="DI781" s="106"/>
      <c r="DJ781" s="106"/>
      <c r="DK781" s="106"/>
      <c r="DL781" s="106"/>
      <c r="DM781" s="106"/>
      <c r="DN781" s="106"/>
      <c r="DO781" s="106"/>
      <c r="DP781" s="106"/>
      <c r="DQ781" s="106"/>
      <c r="DR781" s="106"/>
      <c r="DS781" s="106"/>
      <c r="DT781" s="106"/>
      <c r="DU781" s="106"/>
      <c r="DV781" s="106"/>
      <c r="DW781" s="106"/>
      <c r="DX781" s="106"/>
      <c r="DY781" s="106"/>
      <c r="DZ781" s="106"/>
      <c r="EA781" s="106"/>
      <c r="EB781" s="106"/>
      <c r="EC781" s="106"/>
      <c r="ED781" s="106"/>
      <c r="EE781" s="106"/>
      <c r="EF781" s="106"/>
      <c r="EG781" s="106"/>
      <c r="EH781" s="106"/>
      <c r="EI781" s="106"/>
    </row>
    <row r="782" spans="3:139" ht="15.75" customHeight="1" x14ac:dyDescent="0.25"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  <c r="CR782" s="106"/>
      <c r="CS782" s="106"/>
      <c r="CT782" s="106"/>
      <c r="CU782" s="106"/>
      <c r="CV782" s="106"/>
      <c r="CW782" s="106"/>
      <c r="CX782" s="106"/>
      <c r="CY782" s="106"/>
      <c r="CZ782" s="106"/>
      <c r="DA782" s="106"/>
      <c r="DB782" s="106"/>
      <c r="DC782" s="106"/>
      <c r="DD782" s="106"/>
      <c r="DE782" s="106"/>
      <c r="DF782" s="106"/>
      <c r="DG782" s="106"/>
      <c r="DH782" s="106"/>
      <c r="DI782" s="106"/>
      <c r="DJ782" s="106"/>
      <c r="DK782" s="106"/>
      <c r="DL782" s="106"/>
      <c r="DM782" s="106"/>
      <c r="DN782" s="106"/>
      <c r="DO782" s="106"/>
      <c r="DP782" s="106"/>
      <c r="DQ782" s="106"/>
      <c r="DR782" s="106"/>
      <c r="DS782" s="106"/>
      <c r="DT782" s="106"/>
      <c r="DU782" s="106"/>
      <c r="DV782" s="106"/>
      <c r="DW782" s="106"/>
      <c r="DX782" s="106"/>
      <c r="DY782" s="106"/>
      <c r="DZ782" s="106"/>
      <c r="EA782" s="106"/>
      <c r="EB782" s="106"/>
      <c r="EC782" s="106"/>
      <c r="ED782" s="106"/>
      <c r="EE782" s="106"/>
      <c r="EF782" s="106"/>
      <c r="EG782" s="106"/>
      <c r="EH782" s="106"/>
      <c r="EI782" s="106"/>
    </row>
    <row r="783" spans="3:139" ht="15.75" customHeight="1" x14ac:dyDescent="0.25"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  <c r="CR783" s="106"/>
      <c r="CS783" s="106"/>
      <c r="CT783" s="106"/>
      <c r="CU783" s="106"/>
      <c r="CV783" s="106"/>
      <c r="CW783" s="106"/>
      <c r="CX783" s="106"/>
      <c r="CY783" s="106"/>
      <c r="CZ783" s="106"/>
      <c r="DA783" s="106"/>
      <c r="DB783" s="106"/>
      <c r="DC783" s="106"/>
      <c r="DD783" s="106"/>
      <c r="DE783" s="106"/>
      <c r="DF783" s="106"/>
      <c r="DG783" s="106"/>
      <c r="DH783" s="106"/>
      <c r="DI783" s="106"/>
      <c r="DJ783" s="106"/>
      <c r="DK783" s="106"/>
      <c r="DL783" s="106"/>
      <c r="DM783" s="106"/>
      <c r="DN783" s="106"/>
      <c r="DO783" s="106"/>
      <c r="DP783" s="106"/>
      <c r="DQ783" s="106"/>
      <c r="DR783" s="106"/>
      <c r="DS783" s="106"/>
      <c r="DT783" s="106"/>
      <c r="DU783" s="106"/>
      <c r="DV783" s="106"/>
      <c r="DW783" s="106"/>
      <c r="DX783" s="106"/>
      <c r="DY783" s="106"/>
      <c r="DZ783" s="106"/>
      <c r="EA783" s="106"/>
      <c r="EB783" s="106"/>
      <c r="EC783" s="106"/>
      <c r="ED783" s="106"/>
      <c r="EE783" s="106"/>
      <c r="EF783" s="106"/>
      <c r="EG783" s="106"/>
      <c r="EH783" s="106"/>
      <c r="EI783" s="106"/>
    </row>
    <row r="784" spans="3:139" ht="15.75" customHeight="1" x14ac:dyDescent="0.25"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  <c r="CR784" s="106"/>
      <c r="CS784" s="106"/>
      <c r="CT784" s="106"/>
      <c r="CU784" s="106"/>
      <c r="CV784" s="106"/>
      <c r="CW784" s="106"/>
      <c r="CX784" s="106"/>
      <c r="CY784" s="106"/>
      <c r="CZ784" s="106"/>
      <c r="DA784" s="106"/>
      <c r="DB784" s="106"/>
      <c r="DC784" s="106"/>
      <c r="DD784" s="106"/>
      <c r="DE784" s="106"/>
      <c r="DF784" s="106"/>
      <c r="DG784" s="106"/>
      <c r="DH784" s="106"/>
      <c r="DI784" s="106"/>
      <c r="DJ784" s="106"/>
      <c r="DK784" s="106"/>
      <c r="DL784" s="106"/>
      <c r="DM784" s="106"/>
      <c r="DN784" s="106"/>
      <c r="DO784" s="106"/>
      <c r="DP784" s="106"/>
      <c r="DQ784" s="106"/>
      <c r="DR784" s="106"/>
      <c r="DS784" s="106"/>
      <c r="DT784" s="106"/>
      <c r="DU784" s="106"/>
      <c r="DV784" s="106"/>
      <c r="DW784" s="106"/>
      <c r="DX784" s="106"/>
      <c r="DY784" s="106"/>
      <c r="DZ784" s="106"/>
      <c r="EA784" s="106"/>
      <c r="EB784" s="106"/>
      <c r="EC784" s="106"/>
      <c r="ED784" s="106"/>
      <c r="EE784" s="106"/>
      <c r="EF784" s="106"/>
      <c r="EG784" s="106"/>
      <c r="EH784" s="106"/>
      <c r="EI784" s="106"/>
    </row>
    <row r="785" spans="3:139" ht="15.75" customHeight="1" x14ac:dyDescent="0.25"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  <c r="CR785" s="106"/>
      <c r="CS785" s="106"/>
      <c r="CT785" s="106"/>
      <c r="CU785" s="106"/>
      <c r="CV785" s="106"/>
      <c r="CW785" s="106"/>
      <c r="CX785" s="106"/>
      <c r="CY785" s="106"/>
      <c r="CZ785" s="106"/>
      <c r="DA785" s="106"/>
      <c r="DB785" s="106"/>
      <c r="DC785" s="106"/>
      <c r="DD785" s="106"/>
      <c r="DE785" s="106"/>
      <c r="DF785" s="106"/>
      <c r="DG785" s="106"/>
      <c r="DH785" s="106"/>
      <c r="DI785" s="106"/>
      <c r="DJ785" s="106"/>
      <c r="DK785" s="106"/>
      <c r="DL785" s="106"/>
      <c r="DM785" s="106"/>
      <c r="DN785" s="106"/>
      <c r="DO785" s="106"/>
      <c r="DP785" s="106"/>
      <c r="DQ785" s="106"/>
      <c r="DR785" s="106"/>
      <c r="DS785" s="106"/>
      <c r="DT785" s="106"/>
      <c r="DU785" s="106"/>
      <c r="DV785" s="106"/>
      <c r="DW785" s="106"/>
      <c r="DX785" s="106"/>
      <c r="DY785" s="106"/>
      <c r="DZ785" s="106"/>
      <c r="EA785" s="106"/>
      <c r="EB785" s="106"/>
      <c r="EC785" s="106"/>
      <c r="ED785" s="106"/>
      <c r="EE785" s="106"/>
      <c r="EF785" s="106"/>
      <c r="EG785" s="106"/>
      <c r="EH785" s="106"/>
      <c r="EI785" s="106"/>
    </row>
    <row r="786" spans="3:139" ht="15.75" customHeight="1" x14ac:dyDescent="0.25"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  <c r="CR786" s="106"/>
      <c r="CS786" s="106"/>
      <c r="CT786" s="106"/>
      <c r="CU786" s="106"/>
      <c r="CV786" s="106"/>
      <c r="CW786" s="106"/>
      <c r="CX786" s="106"/>
      <c r="CY786" s="106"/>
      <c r="CZ786" s="106"/>
      <c r="DA786" s="106"/>
      <c r="DB786" s="106"/>
      <c r="DC786" s="106"/>
      <c r="DD786" s="106"/>
      <c r="DE786" s="106"/>
      <c r="DF786" s="106"/>
      <c r="DG786" s="106"/>
      <c r="DH786" s="106"/>
      <c r="DI786" s="106"/>
      <c r="DJ786" s="106"/>
      <c r="DK786" s="106"/>
      <c r="DL786" s="106"/>
      <c r="DM786" s="106"/>
      <c r="DN786" s="106"/>
      <c r="DO786" s="106"/>
      <c r="DP786" s="106"/>
      <c r="DQ786" s="106"/>
      <c r="DR786" s="106"/>
      <c r="DS786" s="106"/>
      <c r="DT786" s="106"/>
      <c r="DU786" s="106"/>
      <c r="DV786" s="106"/>
      <c r="DW786" s="106"/>
      <c r="DX786" s="106"/>
      <c r="DY786" s="106"/>
      <c r="DZ786" s="106"/>
      <c r="EA786" s="106"/>
      <c r="EB786" s="106"/>
      <c r="EC786" s="106"/>
      <c r="ED786" s="106"/>
      <c r="EE786" s="106"/>
      <c r="EF786" s="106"/>
      <c r="EG786" s="106"/>
      <c r="EH786" s="106"/>
      <c r="EI786" s="106"/>
    </row>
    <row r="787" spans="3:139" ht="15.75" customHeight="1" x14ac:dyDescent="0.25"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  <c r="CR787" s="106"/>
      <c r="CS787" s="106"/>
      <c r="CT787" s="106"/>
      <c r="CU787" s="106"/>
      <c r="CV787" s="106"/>
      <c r="CW787" s="106"/>
      <c r="CX787" s="106"/>
      <c r="CY787" s="106"/>
      <c r="CZ787" s="106"/>
      <c r="DA787" s="106"/>
      <c r="DB787" s="106"/>
      <c r="DC787" s="106"/>
      <c r="DD787" s="106"/>
      <c r="DE787" s="106"/>
      <c r="DF787" s="106"/>
      <c r="DG787" s="106"/>
      <c r="DH787" s="106"/>
      <c r="DI787" s="106"/>
      <c r="DJ787" s="106"/>
      <c r="DK787" s="106"/>
      <c r="DL787" s="106"/>
      <c r="DM787" s="106"/>
      <c r="DN787" s="106"/>
      <c r="DO787" s="106"/>
      <c r="DP787" s="106"/>
      <c r="DQ787" s="106"/>
      <c r="DR787" s="106"/>
      <c r="DS787" s="106"/>
      <c r="DT787" s="106"/>
      <c r="DU787" s="106"/>
      <c r="DV787" s="106"/>
      <c r="DW787" s="106"/>
      <c r="DX787" s="106"/>
      <c r="DY787" s="106"/>
      <c r="DZ787" s="106"/>
      <c r="EA787" s="106"/>
      <c r="EB787" s="106"/>
      <c r="EC787" s="106"/>
      <c r="ED787" s="106"/>
      <c r="EE787" s="106"/>
      <c r="EF787" s="106"/>
      <c r="EG787" s="106"/>
      <c r="EH787" s="106"/>
      <c r="EI787" s="106"/>
    </row>
    <row r="788" spans="3:139" ht="15.75" customHeight="1" x14ac:dyDescent="0.25"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  <c r="CR788" s="106"/>
      <c r="CS788" s="106"/>
      <c r="CT788" s="106"/>
      <c r="CU788" s="106"/>
      <c r="CV788" s="106"/>
      <c r="CW788" s="106"/>
      <c r="CX788" s="106"/>
      <c r="CY788" s="106"/>
      <c r="CZ788" s="106"/>
      <c r="DA788" s="106"/>
      <c r="DB788" s="106"/>
      <c r="DC788" s="106"/>
      <c r="DD788" s="106"/>
      <c r="DE788" s="106"/>
      <c r="DF788" s="106"/>
      <c r="DG788" s="106"/>
      <c r="DH788" s="106"/>
      <c r="DI788" s="106"/>
      <c r="DJ788" s="106"/>
      <c r="DK788" s="106"/>
      <c r="DL788" s="106"/>
      <c r="DM788" s="106"/>
      <c r="DN788" s="106"/>
      <c r="DO788" s="106"/>
      <c r="DP788" s="106"/>
      <c r="DQ788" s="106"/>
      <c r="DR788" s="106"/>
      <c r="DS788" s="106"/>
      <c r="DT788" s="106"/>
      <c r="DU788" s="106"/>
      <c r="DV788" s="106"/>
      <c r="DW788" s="106"/>
      <c r="DX788" s="106"/>
      <c r="DY788" s="106"/>
      <c r="DZ788" s="106"/>
      <c r="EA788" s="106"/>
      <c r="EB788" s="106"/>
      <c r="EC788" s="106"/>
      <c r="ED788" s="106"/>
      <c r="EE788" s="106"/>
      <c r="EF788" s="106"/>
      <c r="EG788" s="106"/>
      <c r="EH788" s="106"/>
      <c r="EI788" s="106"/>
    </row>
    <row r="789" spans="3:139" ht="15.75" customHeight="1" x14ac:dyDescent="0.25"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  <c r="CR789" s="106"/>
      <c r="CS789" s="106"/>
      <c r="CT789" s="106"/>
      <c r="CU789" s="106"/>
      <c r="CV789" s="106"/>
      <c r="CW789" s="106"/>
      <c r="CX789" s="106"/>
      <c r="CY789" s="106"/>
      <c r="CZ789" s="106"/>
      <c r="DA789" s="106"/>
      <c r="DB789" s="106"/>
      <c r="DC789" s="106"/>
      <c r="DD789" s="106"/>
      <c r="DE789" s="106"/>
      <c r="DF789" s="106"/>
      <c r="DG789" s="106"/>
      <c r="DH789" s="106"/>
      <c r="DI789" s="106"/>
      <c r="DJ789" s="106"/>
      <c r="DK789" s="106"/>
      <c r="DL789" s="106"/>
      <c r="DM789" s="106"/>
      <c r="DN789" s="106"/>
      <c r="DO789" s="106"/>
      <c r="DP789" s="106"/>
      <c r="DQ789" s="106"/>
      <c r="DR789" s="106"/>
      <c r="DS789" s="106"/>
      <c r="DT789" s="106"/>
      <c r="DU789" s="106"/>
      <c r="DV789" s="106"/>
      <c r="DW789" s="106"/>
      <c r="DX789" s="106"/>
      <c r="DY789" s="106"/>
      <c r="DZ789" s="106"/>
      <c r="EA789" s="106"/>
      <c r="EB789" s="106"/>
      <c r="EC789" s="106"/>
      <c r="ED789" s="106"/>
      <c r="EE789" s="106"/>
      <c r="EF789" s="106"/>
      <c r="EG789" s="106"/>
      <c r="EH789" s="106"/>
      <c r="EI789" s="106"/>
    </row>
    <row r="790" spans="3:139" ht="15.75" customHeight="1" x14ac:dyDescent="0.25"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  <c r="CR790" s="106"/>
      <c r="CS790" s="106"/>
      <c r="CT790" s="106"/>
      <c r="CU790" s="106"/>
      <c r="CV790" s="106"/>
      <c r="CW790" s="106"/>
      <c r="CX790" s="106"/>
      <c r="CY790" s="106"/>
      <c r="CZ790" s="106"/>
      <c r="DA790" s="106"/>
      <c r="DB790" s="106"/>
      <c r="DC790" s="106"/>
      <c r="DD790" s="106"/>
      <c r="DE790" s="106"/>
      <c r="DF790" s="106"/>
      <c r="DG790" s="106"/>
      <c r="DH790" s="106"/>
      <c r="DI790" s="106"/>
      <c r="DJ790" s="106"/>
      <c r="DK790" s="106"/>
      <c r="DL790" s="106"/>
      <c r="DM790" s="106"/>
      <c r="DN790" s="106"/>
      <c r="DO790" s="106"/>
      <c r="DP790" s="106"/>
      <c r="DQ790" s="106"/>
      <c r="DR790" s="106"/>
      <c r="DS790" s="106"/>
      <c r="DT790" s="106"/>
      <c r="DU790" s="106"/>
      <c r="DV790" s="106"/>
      <c r="DW790" s="106"/>
      <c r="DX790" s="106"/>
      <c r="DY790" s="106"/>
      <c r="DZ790" s="106"/>
      <c r="EA790" s="106"/>
      <c r="EB790" s="106"/>
      <c r="EC790" s="106"/>
      <c r="ED790" s="106"/>
      <c r="EE790" s="106"/>
      <c r="EF790" s="106"/>
      <c r="EG790" s="106"/>
      <c r="EH790" s="106"/>
      <c r="EI790" s="106"/>
    </row>
    <row r="791" spans="3:139" ht="15.75" customHeight="1" x14ac:dyDescent="0.25"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  <c r="CR791" s="106"/>
      <c r="CS791" s="106"/>
      <c r="CT791" s="106"/>
      <c r="CU791" s="106"/>
      <c r="CV791" s="106"/>
      <c r="CW791" s="106"/>
      <c r="CX791" s="106"/>
      <c r="CY791" s="106"/>
      <c r="CZ791" s="106"/>
      <c r="DA791" s="106"/>
      <c r="DB791" s="106"/>
      <c r="DC791" s="106"/>
      <c r="DD791" s="106"/>
      <c r="DE791" s="106"/>
      <c r="DF791" s="106"/>
      <c r="DG791" s="106"/>
      <c r="DH791" s="106"/>
      <c r="DI791" s="106"/>
      <c r="DJ791" s="106"/>
      <c r="DK791" s="106"/>
      <c r="DL791" s="106"/>
      <c r="DM791" s="106"/>
      <c r="DN791" s="106"/>
      <c r="DO791" s="106"/>
      <c r="DP791" s="106"/>
      <c r="DQ791" s="106"/>
      <c r="DR791" s="106"/>
      <c r="DS791" s="106"/>
      <c r="DT791" s="106"/>
      <c r="DU791" s="106"/>
      <c r="DV791" s="106"/>
      <c r="DW791" s="106"/>
      <c r="DX791" s="106"/>
      <c r="DY791" s="106"/>
      <c r="DZ791" s="106"/>
      <c r="EA791" s="106"/>
      <c r="EB791" s="106"/>
      <c r="EC791" s="106"/>
      <c r="ED791" s="106"/>
      <c r="EE791" s="106"/>
      <c r="EF791" s="106"/>
      <c r="EG791" s="106"/>
      <c r="EH791" s="106"/>
      <c r="EI791" s="106"/>
    </row>
    <row r="792" spans="3:139" ht="15.75" customHeight="1" x14ac:dyDescent="0.25"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  <c r="CR792" s="106"/>
      <c r="CS792" s="106"/>
      <c r="CT792" s="106"/>
      <c r="CU792" s="106"/>
      <c r="CV792" s="106"/>
      <c r="CW792" s="106"/>
      <c r="CX792" s="106"/>
      <c r="CY792" s="106"/>
      <c r="CZ792" s="106"/>
      <c r="DA792" s="106"/>
      <c r="DB792" s="106"/>
      <c r="DC792" s="106"/>
      <c r="DD792" s="106"/>
      <c r="DE792" s="106"/>
      <c r="DF792" s="106"/>
      <c r="DG792" s="106"/>
      <c r="DH792" s="106"/>
      <c r="DI792" s="106"/>
      <c r="DJ792" s="106"/>
      <c r="DK792" s="106"/>
      <c r="DL792" s="106"/>
      <c r="DM792" s="106"/>
      <c r="DN792" s="106"/>
      <c r="DO792" s="106"/>
      <c r="DP792" s="106"/>
      <c r="DQ792" s="106"/>
      <c r="DR792" s="106"/>
      <c r="DS792" s="106"/>
      <c r="DT792" s="106"/>
      <c r="DU792" s="106"/>
      <c r="DV792" s="106"/>
      <c r="DW792" s="106"/>
      <c r="DX792" s="106"/>
      <c r="DY792" s="106"/>
      <c r="DZ792" s="106"/>
      <c r="EA792" s="106"/>
      <c r="EB792" s="106"/>
      <c r="EC792" s="106"/>
      <c r="ED792" s="106"/>
      <c r="EE792" s="106"/>
      <c r="EF792" s="106"/>
      <c r="EG792" s="106"/>
      <c r="EH792" s="106"/>
      <c r="EI792" s="106"/>
    </row>
    <row r="793" spans="3:139" ht="15.75" customHeight="1" x14ac:dyDescent="0.25"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  <c r="CR793" s="106"/>
      <c r="CS793" s="106"/>
      <c r="CT793" s="106"/>
      <c r="CU793" s="106"/>
      <c r="CV793" s="106"/>
      <c r="CW793" s="106"/>
      <c r="CX793" s="106"/>
      <c r="CY793" s="106"/>
      <c r="CZ793" s="106"/>
      <c r="DA793" s="106"/>
      <c r="DB793" s="106"/>
      <c r="DC793" s="106"/>
      <c r="DD793" s="106"/>
      <c r="DE793" s="106"/>
      <c r="DF793" s="106"/>
      <c r="DG793" s="106"/>
      <c r="DH793" s="106"/>
      <c r="DI793" s="106"/>
      <c r="DJ793" s="106"/>
      <c r="DK793" s="106"/>
      <c r="DL793" s="106"/>
      <c r="DM793" s="106"/>
      <c r="DN793" s="106"/>
      <c r="DO793" s="106"/>
      <c r="DP793" s="106"/>
      <c r="DQ793" s="106"/>
      <c r="DR793" s="106"/>
      <c r="DS793" s="106"/>
      <c r="DT793" s="106"/>
      <c r="DU793" s="106"/>
      <c r="DV793" s="106"/>
      <c r="DW793" s="106"/>
      <c r="DX793" s="106"/>
      <c r="DY793" s="106"/>
      <c r="DZ793" s="106"/>
      <c r="EA793" s="106"/>
      <c r="EB793" s="106"/>
      <c r="EC793" s="106"/>
      <c r="ED793" s="106"/>
      <c r="EE793" s="106"/>
      <c r="EF793" s="106"/>
      <c r="EG793" s="106"/>
      <c r="EH793" s="106"/>
      <c r="EI793" s="106"/>
    </row>
    <row r="794" spans="3:139" ht="15.75" customHeight="1" x14ac:dyDescent="0.25"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  <c r="CR794" s="106"/>
      <c r="CS794" s="106"/>
      <c r="CT794" s="106"/>
      <c r="CU794" s="106"/>
      <c r="CV794" s="106"/>
      <c r="CW794" s="106"/>
      <c r="CX794" s="106"/>
      <c r="CY794" s="106"/>
      <c r="CZ794" s="106"/>
      <c r="DA794" s="106"/>
      <c r="DB794" s="106"/>
      <c r="DC794" s="106"/>
      <c r="DD794" s="106"/>
      <c r="DE794" s="106"/>
      <c r="DF794" s="106"/>
      <c r="DG794" s="106"/>
      <c r="DH794" s="106"/>
      <c r="DI794" s="106"/>
      <c r="DJ794" s="106"/>
      <c r="DK794" s="106"/>
      <c r="DL794" s="106"/>
      <c r="DM794" s="106"/>
      <c r="DN794" s="106"/>
      <c r="DO794" s="106"/>
      <c r="DP794" s="106"/>
      <c r="DQ794" s="106"/>
      <c r="DR794" s="106"/>
      <c r="DS794" s="106"/>
      <c r="DT794" s="106"/>
      <c r="DU794" s="106"/>
      <c r="DV794" s="106"/>
      <c r="DW794" s="106"/>
      <c r="DX794" s="106"/>
      <c r="DY794" s="106"/>
      <c r="DZ794" s="106"/>
      <c r="EA794" s="106"/>
      <c r="EB794" s="106"/>
      <c r="EC794" s="106"/>
      <c r="ED794" s="106"/>
      <c r="EE794" s="106"/>
      <c r="EF794" s="106"/>
      <c r="EG794" s="106"/>
      <c r="EH794" s="106"/>
      <c r="EI794" s="106"/>
    </row>
    <row r="795" spans="3:139" ht="15.75" customHeight="1" x14ac:dyDescent="0.25"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  <c r="CR795" s="106"/>
      <c r="CS795" s="106"/>
      <c r="CT795" s="106"/>
      <c r="CU795" s="106"/>
      <c r="CV795" s="106"/>
      <c r="CW795" s="106"/>
      <c r="CX795" s="106"/>
      <c r="CY795" s="106"/>
      <c r="CZ795" s="106"/>
      <c r="DA795" s="106"/>
      <c r="DB795" s="106"/>
      <c r="DC795" s="106"/>
      <c r="DD795" s="106"/>
      <c r="DE795" s="106"/>
      <c r="DF795" s="106"/>
      <c r="DG795" s="106"/>
      <c r="DH795" s="106"/>
      <c r="DI795" s="106"/>
      <c r="DJ795" s="106"/>
      <c r="DK795" s="106"/>
      <c r="DL795" s="106"/>
      <c r="DM795" s="106"/>
      <c r="DN795" s="106"/>
      <c r="DO795" s="106"/>
      <c r="DP795" s="106"/>
      <c r="DQ795" s="106"/>
      <c r="DR795" s="106"/>
      <c r="DS795" s="106"/>
      <c r="DT795" s="106"/>
      <c r="DU795" s="106"/>
      <c r="DV795" s="106"/>
      <c r="DW795" s="106"/>
      <c r="DX795" s="106"/>
      <c r="DY795" s="106"/>
      <c r="DZ795" s="106"/>
      <c r="EA795" s="106"/>
      <c r="EB795" s="106"/>
      <c r="EC795" s="106"/>
      <c r="ED795" s="106"/>
      <c r="EE795" s="106"/>
      <c r="EF795" s="106"/>
      <c r="EG795" s="106"/>
      <c r="EH795" s="106"/>
      <c r="EI795" s="106"/>
    </row>
    <row r="796" spans="3:139" ht="15.75" customHeight="1" x14ac:dyDescent="0.25"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  <c r="CR796" s="106"/>
      <c r="CS796" s="106"/>
      <c r="CT796" s="106"/>
      <c r="CU796" s="106"/>
      <c r="CV796" s="106"/>
      <c r="CW796" s="106"/>
      <c r="CX796" s="106"/>
      <c r="CY796" s="106"/>
      <c r="CZ796" s="106"/>
      <c r="DA796" s="106"/>
      <c r="DB796" s="106"/>
      <c r="DC796" s="106"/>
      <c r="DD796" s="106"/>
      <c r="DE796" s="106"/>
      <c r="DF796" s="106"/>
      <c r="DG796" s="106"/>
      <c r="DH796" s="106"/>
      <c r="DI796" s="106"/>
      <c r="DJ796" s="106"/>
      <c r="DK796" s="106"/>
      <c r="DL796" s="106"/>
      <c r="DM796" s="106"/>
      <c r="DN796" s="106"/>
      <c r="DO796" s="106"/>
      <c r="DP796" s="106"/>
      <c r="DQ796" s="106"/>
      <c r="DR796" s="106"/>
      <c r="DS796" s="106"/>
      <c r="DT796" s="106"/>
      <c r="DU796" s="106"/>
      <c r="DV796" s="106"/>
      <c r="DW796" s="106"/>
      <c r="DX796" s="106"/>
      <c r="DY796" s="106"/>
      <c r="DZ796" s="106"/>
      <c r="EA796" s="106"/>
      <c r="EB796" s="106"/>
      <c r="EC796" s="106"/>
      <c r="ED796" s="106"/>
      <c r="EE796" s="106"/>
      <c r="EF796" s="106"/>
      <c r="EG796" s="106"/>
      <c r="EH796" s="106"/>
      <c r="EI796" s="106"/>
    </row>
    <row r="797" spans="3:139" ht="15.75" customHeight="1" x14ac:dyDescent="0.25"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  <c r="CR797" s="106"/>
      <c r="CS797" s="106"/>
      <c r="CT797" s="106"/>
      <c r="CU797" s="106"/>
      <c r="CV797" s="106"/>
      <c r="CW797" s="106"/>
      <c r="CX797" s="106"/>
      <c r="CY797" s="106"/>
      <c r="CZ797" s="106"/>
      <c r="DA797" s="106"/>
      <c r="DB797" s="106"/>
      <c r="DC797" s="106"/>
      <c r="DD797" s="106"/>
      <c r="DE797" s="106"/>
      <c r="DF797" s="106"/>
      <c r="DG797" s="106"/>
      <c r="DH797" s="106"/>
      <c r="DI797" s="106"/>
      <c r="DJ797" s="106"/>
      <c r="DK797" s="106"/>
      <c r="DL797" s="106"/>
      <c r="DM797" s="106"/>
      <c r="DN797" s="106"/>
      <c r="DO797" s="106"/>
      <c r="DP797" s="106"/>
      <c r="DQ797" s="106"/>
      <c r="DR797" s="106"/>
      <c r="DS797" s="106"/>
      <c r="DT797" s="106"/>
      <c r="DU797" s="106"/>
      <c r="DV797" s="106"/>
      <c r="DW797" s="106"/>
      <c r="DX797" s="106"/>
      <c r="DY797" s="106"/>
      <c r="DZ797" s="106"/>
      <c r="EA797" s="106"/>
      <c r="EB797" s="106"/>
      <c r="EC797" s="106"/>
      <c r="ED797" s="106"/>
      <c r="EE797" s="106"/>
      <c r="EF797" s="106"/>
      <c r="EG797" s="106"/>
      <c r="EH797" s="106"/>
      <c r="EI797" s="106"/>
    </row>
    <row r="798" spans="3:139" ht="15.75" customHeight="1" x14ac:dyDescent="0.25"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  <c r="CR798" s="106"/>
      <c r="CS798" s="106"/>
      <c r="CT798" s="106"/>
      <c r="CU798" s="106"/>
      <c r="CV798" s="106"/>
      <c r="CW798" s="106"/>
      <c r="CX798" s="106"/>
      <c r="CY798" s="106"/>
      <c r="CZ798" s="106"/>
      <c r="DA798" s="106"/>
      <c r="DB798" s="106"/>
      <c r="DC798" s="106"/>
      <c r="DD798" s="106"/>
      <c r="DE798" s="106"/>
      <c r="DF798" s="106"/>
      <c r="DG798" s="106"/>
      <c r="DH798" s="106"/>
      <c r="DI798" s="106"/>
      <c r="DJ798" s="106"/>
      <c r="DK798" s="106"/>
      <c r="DL798" s="106"/>
      <c r="DM798" s="106"/>
      <c r="DN798" s="106"/>
      <c r="DO798" s="106"/>
      <c r="DP798" s="106"/>
      <c r="DQ798" s="106"/>
      <c r="DR798" s="106"/>
      <c r="DS798" s="106"/>
      <c r="DT798" s="106"/>
      <c r="DU798" s="106"/>
      <c r="DV798" s="106"/>
      <c r="DW798" s="106"/>
      <c r="DX798" s="106"/>
      <c r="DY798" s="106"/>
      <c r="DZ798" s="106"/>
      <c r="EA798" s="106"/>
      <c r="EB798" s="106"/>
      <c r="EC798" s="106"/>
      <c r="ED798" s="106"/>
      <c r="EE798" s="106"/>
      <c r="EF798" s="106"/>
      <c r="EG798" s="106"/>
      <c r="EH798" s="106"/>
      <c r="EI798" s="106"/>
    </row>
    <row r="799" spans="3:139" ht="15.75" customHeight="1" x14ac:dyDescent="0.25"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  <c r="CR799" s="106"/>
      <c r="CS799" s="106"/>
      <c r="CT799" s="106"/>
      <c r="CU799" s="106"/>
      <c r="CV799" s="106"/>
      <c r="CW799" s="106"/>
      <c r="CX799" s="106"/>
      <c r="CY799" s="106"/>
      <c r="CZ799" s="106"/>
      <c r="DA799" s="106"/>
      <c r="DB799" s="106"/>
      <c r="DC799" s="106"/>
      <c r="DD799" s="106"/>
      <c r="DE799" s="106"/>
      <c r="DF799" s="106"/>
      <c r="DG799" s="106"/>
      <c r="DH799" s="106"/>
      <c r="DI799" s="106"/>
      <c r="DJ799" s="106"/>
      <c r="DK799" s="106"/>
      <c r="DL799" s="106"/>
      <c r="DM799" s="106"/>
      <c r="DN799" s="106"/>
      <c r="DO799" s="106"/>
      <c r="DP799" s="106"/>
      <c r="DQ799" s="106"/>
      <c r="DR799" s="106"/>
      <c r="DS799" s="106"/>
      <c r="DT799" s="106"/>
      <c r="DU799" s="106"/>
      <c r="DV799" s="106"/>
      <c r="DW799" s="106"/>
      <c r="DX799" s="106"/>
      <c r="DY799" s="106"/>
      <c r="DZ799" s="106"/>
      <c r="EA799" s="106"/>
      <c r="EB799" s="106"/>
      <c r="EC799" s="106"/>
      <c r="ED799" s="106"/>
      <c r="EE799" s="106"/>
      <c r="EF799" s="106"/>
      <c r="EG799" s="106"/>
      <c r="EH799" s="106"/>
      <c r="EI799" s="106"/>
    </row>
    <row r="800" spans="3:139" ht="15.75" customHeight="1" x14ac:dyDescent="0.25"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  <c r="CR800" s="106"/>
      <c r="CS800" s="106"/>
      <c r="CT800" s="106"/>
      <c r="CU800" s="106"/>
      <c r="CV800" s="106"/>
      <c r="CW800" s="106"/>
      <c r="CX800" s="106"/>
      <c r="CY800" s="106"/>
      <c r="CZ800" s="106"/>
      <c r="DA800" s="106"/>
      <c r="DB800" s="106"/>
      <c r="DC800" s="106"/>
      <c r="DD800" s="106"/>
      <c r="DE800" s="106"/>
      <c r="DF800" s="106"/>
      <c r="DG800" s="106"/>
      <c r="DH800" s="106"/>
      <c r="DI800" s="106"/>
      <c r="DJ800" s="106"/>
      <c r="DK800" s="106"/>
      <c r="DL800" s="106"/>
      <c r="DM800" s="106"/>
      <c r="DN800" s="106"/>
      <c r="DO800" s="106"/>
      <c r="DP800" s="106"/>
      <c r="DQ800" s="106"/>
      <c r="DR800" s="106"/>
      <c r="DS800" s="106"/>
      <c r="DT800" s="106"/>
      <c r="DU800" s="106"/>
      <c r="DV800" s="106"/>
      <c r="DW800" s="106"/>
      <c r="DX800" s="106"/>
      <c r="DY800" s="106"/>
      <c r="DZ800" s="106"/>
      <c r="EA800" s="106"/>
      <c r="EB800" s="106"/>
      <c r="EC800" s="106"/>
      <c r="ED800" s="106"/>
      <c r="EE800" s="106"/>
      <c r="EF800" s="106"/>
      <c r="EG800" s="106"/>
      <c r="EH800" s="106"/>
      <c r="EI800" s="106"/>
    </row>
    <row r="801" spans="3:139" ht="15.75" customHeight="1" x14ac:dyDescent="0.25"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  <c r="CR801" s="106"/>
      <c r="CS801" s="106"/>
      <c r="CT801" s="106"/>
      <c r="CU801" s="106"/>
      <c r="CV801" s="106"/>
      <c r="CW801" s="106"/>
      <c r="CX801" s="106"/>
      <c r="CY801" s="106"/>
      <c r="CZ801" s="106"/>
      <c r="DA801" s="106"/>
      <c r="DB801" s="106"/>
      <c r="DC801" s="106"/>
      <c r="DD801" s="106"/>
      <c r="DE801" s="106"/>
      <c r="DF801" s="106"/>
      <c r="DG801" s="106"/>
      <c r="DH801" s="106"/>
      <c r="DI801" s="106"/>
      <c r="DJ801" s="106"/>
      <c r="DK801" s="106"/>
      <c r="DL801" s="106"/>
      <c r="DM801" s="106"/>
      <c r="DN801" s="106"/>
      <c r="DO801" s="106"/>
      <c r="DP801" s="106"/>
      <c r="DQ801" s="106"/>
      <c r="DR801" s="106"/>
      <c r="DS801" s="106"/>
      <c r="DT801" s="106"/>
      <c r="DU801" s="106"/>
      <c r="DV801" s="106"/>
      <c r="DW801" s="106"/>
      <c r="DX801" s="106"/>
      <c r="DY801" s="106"/>
      <c r="DZ801" s="106"/>
      <c r="EA801" s="106"/>
      <c r="EB801" s="106"/>
      <c r="EC801" s="106"/>
      <c r="ED801" s="106"/>
      <c r="EE801" s="106"/>
      <c r="EF801" s="106"/>
      <c r="EG801" s="106"/>
      <c r="EH801" s="106"/>
      <c r="EI801" s="106"/>
    </row>
    <row r="802" spans="3:139" ht="15.75" customHeight="1" x14ac:dyDescent="0.25"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  <c r="CR802" s="106"/>
      <c r="CS802" s="106"/>
      <c r="CT802" s="106"/>
      <c r="CU802" s="106"/>
      <c r="CV802" s="106"/>
      <c r="CW802" s="106"/>
      <c r="CX802" s="106"/>
      <c r="CY802" s="106"/>
      <c r="CZ802" s="106"/>
      <c r="DA802" s="106"/>
      <c r="DB802" s="106"/>
      <c r="DC802" s="106"/>
      <c r="DD802" s="106"/>
      <c r="DE802" s="106"/>
      <c r="DF802" s="106"/>
      <c r="DG802" s="106"/>
      <c r="DH802" s="106"/>
      <c r="DI802" s="106"/>
      <c r="DJ802" s="106"/>
      <c r="DK802" s="106"/>
      <c r="DL802" s="106"/>
      <c r="DM802" s="106"/>
      <c r="DN802" s="106"/>
      <c r="DO802" s="106"/>
      <c r="DP802" s="106"/>
      <c r="DQ802" s="106"/>
      <c r="DR802" s="106"/>
      <c r="DS802" s="106"/>
      <c r="DT802" s="106"/>
      <c r="DU802" s="106"/>
      <c r="DV802" s="106"/>
      <c r="DW802" s="106"/>
      <c r="DX802" s="106"/>
      <c r="DY802" s="106"/>
      <c r="DZ802" s="106"/>
      <c r="EA802" s="106"/>
      <c r="EB802" s="106"/>
      <c r="EC802" s="106"/>
      <c r="ED802" s="106"/>
      <c r="EE802" s="106"/>
      <c r="EF802" s="106"/>
      <c r="EG802" s="106"/>
      <c r="EH802" s="106"/>
      <c r="EI802" s="106"/>
    </row>
    <row r="803" spans="3:139" ht="15.75" customHeight="1" x14ac:dyDescent="0.25"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  <c r="CR803" s="106"/>
      <c r="CS803" s="106"/>
      <c r="CT803" s="106"/>
      <c r="CU803" s="106"/>
      <c r="CV803" s="106"/>
      <c r="CW803" s="106"/>
      <c r="CX803" s="106"/>
      <c r="CY803" s="106"/>
      <c r="CZ803" s="106"/>
      <c r="DA803" s="106"/>
      <c r="DB803" s="106"/>
      <c r="DC803" s="106"/>
      <c r="DD803" s="106"/>
      <c r="DE803" s="106"/>
      <c r="DF803" s="106"/>
      <c r="DG803" s="106"/>
      <c r="DH803" s="106"/>
      <c r="DI803" s="106"/>
      <c r="DJ803" s="106"/>
      <c r="DK803" s="106"/>
      <c r="DL803" s="106"/>
      <c r="DM803" s="106"/>
      <c r="DN803" s="106"/>
      <c r="DO803" s="106"/>
      <c r="DP803" s="106"/>
      <c r="DQ803" s="106"/>
      <c r="DR803" s="106"/>
      <c r="DS803" s="106"/>
      <c r="DT803" s="106"/>
      <c r="DU803" s="106"/>
      <c r="DV803" s="106"/>
      <c r="DW803" s="106"/>
      <c r="DX803" s="106"/>
      <c r="DY803" s="106"/>
      <c r="DZ803" s="106"/>
      <c r="EA803" s="106"/>
      <c r="EB803" s="106"/>
      <c r="EC803" s="106"/>
      <c r="ED803" s="106"/>
      <c r="EE803" s="106"/>
      <c r="EF803" s="106"/>
      <c r="EG803" s="106"/>
      <c r="EH803" s="106"/>
      <c r="EI803" s="106"/>
    </row>
    <row r="804" spans="3:139" ht="15.75" customHeight="1" x14ac:dyDescent="0.25"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  <c r="CR804" s="106"/>
      <c r="CS804" s="106"/>
      <c r="CT804" s="106"/>
      <c r="CU804" s="106"/>
      <c r="CV804" s="106"/>
      <c r="CW804" s="106"/>
      <c r="CX804" s="106"/>
      <c r="CY804" s="106"/>
      <c r="CZ804" s="106"/>
      <c r="DA804" s="106"/>
      <c r="DB804" s="106"/>
      <c r="DC804" s="106"/>
      <c r="DD804" s="106"/>
      <c r="DE804" s="106"/>
      <c r="DF804" s="106"/>
      <c r="DG804" s="106"/>
      <c r="DH804" s="106"/>
      <c r="DI804" s="106"/>
      <c r="DJ804" s="106"/>
      <c r="DK804" s="106"/>
      <c r="DL804" s="106"/>
      <c r="DM804" s="106"/>
      <c r="DN804" s="106"/>
      <c r="DO804" s="106"/>
      <c r="DP804" s="106"/>
      <c r="DQ804" s="106"/>
      <c r="DR804" s="106"/>
      <c r="DS804" s="106"/>
      <c r="DT804" s="106"/>
      <c r="DU804" s="106"/>
      <c r="DV804" s="106"/>
      <c r="DW804" s="106"/>
      <c r="DX804" s="106"/>
      <c r="DY804" s="106"/>
      <c r="DZ804" s="106"/>
      <c r="EA804" s="106"/>
      <c r="EB804" s="106"/>
      <c r="EC804" s="106"/>
      <c r="ED804" s="106"/>
      <c r="EE804" s="106"/>
      <c r="EF804" s="106"/>
      <c r="EG804" s="106"/>
      <c r="EH804" s="106"/>
      <c r="EI804" s="106"/>
    </row>
    <row r="805" spans="3:139" ht="15.75" customHeight="1" x14ac:dyDescent="0.25"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  <c r="CR805" s="106"/>
      <c r="CS805" s="106"/>
      <c r="CT805" s="106"/>
      <c r="CU805" s="106"/>
      <c r="CV805" s="106"/>
      <c r="CW805" s="106"/>
      <c r="CX805" s="106"/>
      <c r="CY805" s="106"/>
      <c r="CZ805" s="106"/>
      <c r="DA805" s="106"/>
      <c r="DB805" s="106"/>
      <c r="DC805" s="106"/>
      <c r="DD805" s="106"/>
      <c r="DE805" s="106"/>
      <c r="DF805" s="106"/>
      <c r="DG805" s="106"/>
      <c r="DH805" s="106"/>
      <c r="DI805" s="106"/>
      <c r="DJ805" s="106"/>
      <c r="DK805" s="106"/>
      <c r="DL805" s="106"/>
      <c r="DM805" s="106"/>
      <c r="DN805" s="106"/>
      <c r="DO805" s="106"/>
      <c r="DP805" s="106"/>
      <c r="DQ805" s="106"/>
      <c r="DR805" s="106"/>
      <c r="DS805" s="106"/>
      <c r="DT805" s="106"/>
      <c r="DU805" s="106"/>
      <c r="DV805" s="106"/>
      <c r="DW805" s="106"/>
      <c r="DX805" s="106"/>
      <c r="DY805" s="106"/>
      <c r="DZ805" s="106"/>
      <c r="EA805" s="106"/>
      <c r="EB805" s="106"/>
      <c r="EC805" s="106"/>
      <c r="ED805" s="106"/>
      <c r="EE805" s="106"/>
      <c r="EF805" s="106"/>
      <c r="EG805" s="106"/>
      <c r="EH805" s="106"/>
      <c r="EI805" s="106"/>
    </row>
    <row r="806" spans="3:139" ht="15.75" customHeight="1" x14ac:dyDescent="0.25"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  <c r="CR806" s="106"/>
      <c r="CS806" s="106"/>
      <c r="CT806" s="106"/>
      <c r="CU806" s="106"/>
      <c r="CV806" s="106"/>
      <c r="CW806" s="106"/>
      <c r="CX806" s="106"/>
      <c r="CY806" s="106"/>
      <c r="CZ806" s="106"/>
      <c r="DA806" s="106"/>
      <c r="DB806" s="106"/>
      <c r="DC806" s="106"/>
      <c r="DD806" s="106"/>
      <c r="DE806" s="106"/>
      <c r="DF806" s="106"/>
      <c r="DG806" s="106"/>
      <c r="DH806" s="106"/>
      <c r="DI806" s="106"/>
      <c r="DJ806" s="106"/>
      <c r="DK806" s="106"/>
      <c r="DL806" s="106"/>
      <c r="DM806" s="106"/>
      <c r="DN806" s="106"/>
      <c r="DO806" s="106"/>
      <c r="DP806" s="106"/>
      <c r="DQ806" s="106"/>
      <c r="DR806" s="106"/>
      <c r="DS806" s="106"/>
      <c r="DT806" s="106"/>
      <c r="DU806" s="106"/>
      <c r="DV806" s="106"/>
      <c r="DW806" s="106"/>
      <c r="DX806" s="106"/>
      <c r="DY806" s="106"/>
      <c r="DZ806" s="106"/>
      <c r="EA806" s="106"/>
      <c r="EB806" s="106"/>
      <c r="EC806" s="106"/>
      <c r="ED806" s="106"/>
      <c r="EE806" s="106"/>
      <c r="EF806" s="106"/>
      <c r="EG806" s="106"/>
      <c r="EH806" s="106"/>
      <c r="EI806" s="106"/>
    </row>
    <row r="807" spans="3:139" ht="15.75" customHeight="1" x14ac:dyDescent="0.25"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  <c r="CR807" s="106"/>
      <c r="CS807" s="106"/>
      <c r="CT807" s="106"/>
      <c r="CU807" s="106"/>
      <c r="CV807" s="106"/>
      <c r="CW807" s="106"/>
      <c r="CX807" s="106"/>
      <c r="CY807" s="106"/>
      <c r="CZ807" s="106"/>
      <c r="DA807" s="106"/>
      <c r="DB807" s="106"/>
      <c r="DC807" s="106"/>
      <c r="DD807" s="106"/>
      <c r="DE807" s="106"/>
      <c r="DF807" s="106"/>
      <c r="DG807" s="106"/>
      <c r="DH807" s="106"/>
      <c r="DI807" s="106"/>
      <c r="DJ807" s="106"/>
      <c r="DK807" s="106"/>
      <c r="DL807" s="106"/>
      <c r="DM807" s="106"/>
      <c r="DN807" s="106"/>
      <c r="DO807" s="106"/>
      <c r="DP807" s="106"/>
      <c r="DQ807" s="106"/>
      <c r="DR807" s="106"/>
      <c r="DS807" s="106"/>
      <c r="DT807" s="106"/>
      <c r="DU807" s="106"/>
      <c r="DV807" s="106"/>
      <c r="DW807" s="106"/>
      <c r="DX807" s="106"/>
      <c r="DY807" s="106"/>
      <c r="DZ807" s="106"/>
      <c r="EA807" s="106"/>
      <c r="EB807" s="106"/>
      <c r="EC807" s="106"/>
      <c r="ED807" s="106"/>
      <c r="EE807" s="106"/>
      <c r="EF807" s="106"/>
      <c r="EG807" s="106"/>
      <c r="EH807" s="106"/>
      <c r="EI807" s="106"/>
    </row>
    <row r="808" spans="3:139" ht="15.75" customHeight="1" x14ac:dyDescent="0.25"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  <c r="CR808" s="106"/>
      <c r="CS808" s="106"/>
      <c r="CT808" s="106"/>
      <c r="CU808" s="106"/>
      <c r="CV808" s="106"/>
      <c r="CW808" s="106"/>
      <c r="CX808" s="106"/>
      <c r="CY808" s="106"/>
      <c r="CZ808" s="106"/>
      <c r="DA808" s="106"/>
      <c r="DB808" s="106"/>
      <c r="DC808" s="106"/>
      <c r="DD808" s="106"/>
      <c r="DE808" s="106"/>
      <c r="DF808" s="106"/>
      <c r="DG808" s="106"/>
      <c r="DH808" s="106"/>
      <c r="DI808" s="106"/>
      <c r="DJ808" s="106"/>
      <c r="DK808" s="106"/>
      <c r="DL808" s="106"/>
      <c r="DM808" s="106"/>
      <c r="DN808" s="106"/>
      <c r="DO808" s="106"/>
      <c r="DP808" s="106"/>
      <c r="DQ808" s="106"/>
      <c r="DR808" s="106"/>
      <c r="DS808" s="106"/>
      <c r="DT808" s="106"/>
      <c r="DU808" s="106"/>
      <c r="DV808" s="106"/>
      <c r="DW808" s="106"/>
      <c r="DX808" s="106"/>
      <c r="DY808" s="106"/>
      <c r="DZ808" s="106"/>
      <c r="EA808" s="106"/>
      <c r="EB808" s="106"/>
      <c r="EC808" s="106"/>
      <c r="ED808" s="106"/>
      <c r="EE808" s="106"/>
      <c r="EF808" s="106"/>
      <c r="EG808" s="106"/>
      <c r="EH808" s="106"/>
      <c r="EI808" s="106"/>
    </row>
    <row r="809" spans="3:139" ht="15.75" customHeight="1" x14ac:dyDescent="0.25"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  <c r="CR809" s="106"/>
      <c r="CS809" s="106"/>
      <c r="CT809" s="106"/>
      <c r="CU809" s="106"/>
      <c r="CV809" s="106"/>
      <c r="CW809" s="106"/>
      <c r="CX809" s="106"/>
      <c r="CY809" s="106"/>
      <c r="CZ809" s="106"/>
      <c r="DA809" s="106"/>
      <c r="DB809" s="106"/>
      <c r="DC809" s="106"/>
      <c r="DD809" s="106"/>
      <c r="DE809" s="106"/>
      <c r="DF809" s="106"/>
      <c r="DG809" s="106"/>
      <c r="DH809" s="106"/>
      <c r="DI809" s="106"/>
      <c r="DJ809" s="106"/>
      <c r="DK809" s="106"/>
      <c r="DL809" s="106"/>
      <c r="DM809" s="106"/>
      <c r="DN809" s="106"/>
      <c r="DO809" s="106"/>
      <c r="DP809" s="106"/>
      <c r="DQ809" s="106"/>
      <c r="DR809" s="106"/>
      <c r="DS809" s="106"/>
      <c r="DT809" s="106"/>
      <c r="DU809" s="106"/>
      <c r="DV809" s="106"/>
      <c r="DW809" s="106"/>
      <c r="DX809" s="106"/>
      <c r="DY809" s="106"/>
      <c r="DZ809" s="106"/>
      <c r="EA809" s="106"/>
      <c r="EB809" s="106"/>
      <c r="EC809" s="106"/>
      <c r="ED809" s="106"/>
      <c r="EE809" s="106"/>
      <c r="EF809" s="106"/>
      <c r="EG809" s="106"/>
      <c r="EH809" s="106"/>
      <c r="EI809" s="106"/>
    </row>
    <row r="810" spans="3:139" ht="15.75" customHeight="1" x14ac:dyDescent="0.25"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  <c r="CR810" s="106"/>
      <c r="CS810" s="106"/>
      <c r="CT810" s="106"/>
      <c r="CU810" s="106"/>
      <c r="CV810" s="106"/>
      <c r="CW810" s="106"/>
      <c r="CX810" s="106"/>
      <c r="CY810" s="106"/>
      <c r="CZ810" s="106"/>
      <c r="DA810" s="106"/>
      <c r="DB810" s="106"/>
      <c r="DC810" s="106"/>
      <c r="DD810" s="106"/>
      <c r="DE810" s="106"/>
      <c r="DF810" s="106"/>
      <c r="DG810" s="106"/>
      <c r="DH810" s="106"/>
      <c r="DI810" s="106"/>
      <c r="DJ810" s="106"/>
      <c r="DK810" s="106"/>
      <c r="DL810" s="106"/>
      <c r="DM810" s="106"/>
      <c r="DN810" s="106"/>
      <c r="DO810" s="106"/>
      <c r="DP810" s="106"/>
      <c r="DQ810" s="106"/>
      <c r="DR810" s="106"/>
      <c r="DS810" s="106"/>
      <c r="DT810" s="106"/>
      <c r="DU810" s="106"/>
      <c r="DV810" s="106"/>
      <c r="DW810" s="106"/>
      <c r="DX810" s="106"/>
      <c r="DY810" s="106"/>
      <c r="DZ810" s="106"/>
      <c r="EA810" s="106"/>
      <c r="EB810" s="106"/>
      <c r="EC810" s="106"/>
      <c r="ED810" s="106"/>
      <c r="EE810" s="106"/>
      <c r="EF810" s="106"/>
      <c r="EG810" s="106"/>
      <c r="EH810" s="106"/>
      <c r="EI810" s="106"/>
    </row>
    <row r="811" spans="3:139" ht="15.75" customHeight="1" x14ac:dyDescent="0.25"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  <c r="CR811" s="106"/>
      <c r="CS811" s="106"/>
      <c r="CT811" s="106"/>
      <c r="CU811" s="106"/>
      <c r="CV811" s="106"/>
      <c r="CW811" s="106"/>
      <c r="CX811" s="106"/>
      <c r="CY811" s="106"/>
      <c r="CZ811" s="106"/>
      <c r="DA811" s="106"/>
      <c r="DB811" s="106"/>
      <c r="DC811" s="106"/>
      <c r="DD811" s="106"/>
      <c r="DE811" s="106"/>
      <c r="DF811" s="106"/>
      <c r="DG811" s="106"/>
      <c r="DH811" s="106"/>
      <c r="DI811" s="106"/>
      <c r="DJ811" s="106"/>
      <c r="DK811" s="106"/>
      <c r="DL811" s="106"/>
      <c r="DM811" s="106"/>
      <c r="DN811" s="106"/>
      <c r="DO811" s="106"/>
      <c r="DP811" s="106"/>
      <c r="DQ811" s="106"/>
      <c r="DR811" s="106"/>
      <c r="DS811" s="106"/>
      <c r="DT811" s="106"/>
      <c r="DU811" s="106"/>
      <c r="DV811" s="106"/>
      <c r="DW811" s="106"/>
      <c r="DX811" s="106"/>
      <c r="DY811" s="106"/>
      <c r="DZ811" s="106"/>
      <c r="EA811" s="106"/>
      <c r="EB811" s="106"/>
      <c r="EC811" s="106"/>
      <c r="ED811" s="106"/>
      <c r="EE811" s="106"/>
      <c r="EF811" s="106"/>
      <c r="EG811" s="106"/>
      <c r="EH811" s="106"/>
      <c r="EI811" s="106"/>
    </row>
    <row r="812" spans="3:139" ht="15.75" customHeight="1" x14ac:dyDescent="0.25"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  <c r="CR812" s="106"/>
      <c r="CS812" s="106"/>
      <c r="CT812" s="106"/>
      <c r="CU812" s="106"/>
      <c r="CV812" s="106"/>
      <c r="CW812" s="106"/>
      <c r="CX812" s="106"/>
      <c r="CY812" s="106"/>
      <c r="CZ812" s="106"/>
      <c r="DA812" s="106"/>
      <c r="DB812" s="106"/>
      <c r="DC812" s="106"/>
      <c r="DD812" s="106"/>
      <c r="DE812" s="106"/>
      <c r="DF812" s="106"/>
      <c r="DG812" s="106"/>
      <c r="DH812" s="106"/>
      <c r="DI812" s="106"/>
      <c r="DJ812" s="106"/>
      <c r="DK812" s="106"/>
      <c r="DL812" s="106"/>
      <c r="DM812" s="106"/>
      <c r="DN812" s="106"/>
      <c r="DO812" s="106"/>
      <c r="DP812" s="106"/>
      <c r="DQ812" s="106"/>
      <c r="DR812" s="106"/>
      <c r="DS812" s="106"/>
      <c r="DT812" s="106"/>
      <c r="DU812" s="106"/>
      <c r="DV812" s="106"/>
      <c r="DW812" s="106"/>
      <c r="DX812" s="106"/>
      <c r="DY812" s="106"/>
      <c r="DZ812" s="106"/>
      <c r="EA812" s="106"/>
      <c r="EB812" s="106"/>
      <c r="EC812" s="106"/>
      <c r="ED812" s="106"/>
      <c r="EE812" s="106"/>
      <c r="EF812" s="106"/>
      <c r="EG812" s="106"/>
      <c r="EH812" s="106"/>
      <c r="EI812" s="106"/>
    </row>
    <row r="813" spans="3:139" ht="15.75" customHeight="1" x14ac:dyDescent="0.25"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  <c r="CR813" s="106"/>
      <c r="CS813" s="106"/>
      <c r="CT813" s="106"/>
      <c r="CU813" s="106"/>
      <c r="CV813" s="106"/>
      <c r="CW813" s="106"/>
      <c r="CX813" s="106"/>
      <c r="CY813" s="106"/>
      <c r="CZ813" s="106"/>
      <c r="DA813" s="106"/>
      <c r="DB813" s="106"/>
      <c r="DC813" s="106"/>
      <c r="DD813" s="106"/>
      <c r="DE813" s="106"/>
      <c r="DF813" s="106"/>
      <c r="DG813" s="106"/>
      <c r="DH813" s="106"/>
      <c r="DI813" s="106"/>
      <c r="DJ813" s="106"/>
      <c r="DK813" s="106"/>
      <c r="DL813" s="106"/>
      <c r="DM813" s="106"/>
      <c r="DN813" s="106"/>
      <c r="DO813" s="106"/>
      <c r="DP813" s="106"/>
      <c r="DQ813" s="106"/>
      <c r="DR813" s="106"/>
      <c r="DS813" s="106"/>
      <c r="DT813" s="106"/>
      <c r="DU813" s="106"/>
      <c r="DV813" s="106"/>
      <c r="DW813" s="106"/>
      <c r="DX813" s="106"/>
      <c r="DY813" s="106"/>
      <c r="DZ813" s="106"/>
      <c r="EA813" s="106"/>
      <c r="EB813" s="106"/>
      <c r="EC813" s="106"/>
      <c r="ED813" s="106"/>
      <c r="EE813" s="106"/>
      <c r="EF813" s="106"/>
      <c r="EG813" s="106"/>
      <c r="EH813" s="106"/>
      <c r="EI813" s="106"/>
    </row>
    <row r="814" spans="3:139" ht="15.75" customHeight="1" x14ac:dyDescent="0.25"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  <c r="CR814" s="106"/>
      <c r="CS814" s="106"/>
      <c r="CT814" s="106"/>
      <c r="CU814" s="106"/>
      <c r="CV814" s="106"/>
      <c r="CW814" s="106"/>
      <c r="CX814" s="106"/>
      <c r="CY814" s="106"/>
      <c r="CZ814" s="106"/>
      <c r="DA814" s="106"/>
      <c r="DB814" s="106"/>
      <c r="DC814" s="106"/>
      <c r="DD814" s="106"/>
      <c r="DE814" s="106"/>
      <c r="DF814" s="106"/>
      <c r="DG814" s="106"/>
      <c r="DH814" s="106"/>
      <c r="DI814" s="106"/>
      <c r="DJ814" s="106"/>
      <c r="DK814" s="106"/>
      <c r="DL814" s="106"/>
      <c r="DM814" s="106"/>
      <c r="DN814" s="106"/>
      <c r="DO814" s="106"/>
      <c r="DP814" s="106"/>
      <c r="DQ814" s="106"/>
      <c r="DR814" s="106"/>
      <c r="DS814" s="106"/>
      <c r="DT814" s="106"/>
      <c r="DU814" s="106"/>
      <c r="DV814" s="106"/>
      <c r="DW814" s="106"/>
      <c r="DX814" s="106"/>
      <c r="DY814" s="106"/>
      <c r="DZ814" s="106"/>
      <c r="EA814" s="106"/>
      <c r="EB814" s="106"/>
      <c r="EC814" s="106"/>
      <c r="ED814" s="106"/>
      <c r="EE814" s="106"/>
      <c r="EF814" s="106"/>
      <c r="EG814" s="106"/>
      <c r="EH814" s="106"/>
      <c r="EI814" s="106"/>
    </row>
    <row r="815" spans="3:139" ht="15.75" customHeight="1" x14ac:dyDescent="0.25"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  <c r="CR815" s="106"/>
      <c r="CS815" s="106"/>
      <c r="CT815" s="106"/>
      <c r="CU815" s="106"/>
      <c r="CV815" s="106"/>
      <c r="CW815" s="106"/>
      <c r="CX815" s="106"/>
      <c r="CY815" s="106"/>
      <c r="CZ815" s="106"/>
      <c r="DA815" s="106"/>
      <c r="DB815" s="106"/>
      <c r="DC815" s="106"/>
      <c r="DD815" s="106"/>
      <c r="DE815" s="106"/>
      <c r="DF815" s="106"/>
      <c r="DG815" s="106"/>
      <c r="DH815" s="106"/>
      <c r="DI815" s="106"/>
      <c r="DJ815" s="106"/>
      <c r="DK815" s="106"/>
      <c r="DL815" s="106"/>
      <c r="DM815" s="106"/>
      <c r="DN815" s="106"/>
      <c r="DO815" s="106"/>
      <c r="DP815" s="106"/>
      <c r="DQ815" s="106"/>
      <c r="DR815" s="106"/>
      <c r="DS815" s="106"/>
      <c r="DT815" s="106"/>
      <c r="DU815" s="106"/>
      <c r="DV815" s="106"/>
      <c r="DW815" s="106"/>
      <c r="DX815" s="106"/>
      <c r="DY815" s="106"/>
      <c r="DZ815" s="106"/>
      <c r="EA815" s="106"/>
      <c r="EB815" s="106"/>
      <c r="EC815" s="106"/>
      <c r="ED815" s="106"/>
      <c r="EE815" s="106"/>
      <c r="EF815" s="106"/>
      <c r="EG815" s="106"/>
      <c r="EH815" s="106"/>
      <c r="EI815" s="106"/>
    </row>
    <row r="816" spans="3:139" ht="15.75" customHeight="1" x14ac:dyDescent="0.25"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  <c r="CR816" s="106"/>
      <c r="CS816" s="106"/>
      <c r="CT816" s="106"/>
      <c r="CU816" s="106"/>
      <c r="CV816" s="106"/>
      <c r="CW816" s="106"/>
      <c r="CX816" s="106"/>
      <c r="CY816" s="106"/>
      <c r="CZ816" s="106"/>
      <c r="DA816" s="106"/>
      <c r="DB816" s="106"/>
      <c r="DC816" s="106"/>
      <c r="DD816" s="106"/>
      <c r="DE816" s="106"/>
      <c r="DF816" s="106"/>
      <c r="DG816" s="106"/>
      <c r="DH816" s="106"/>
      <c r="DI816" s="106"/>
      <c r="DJ816" s="106"/>
      <c r="DK816" s="106"/>
      <c r="DL816" s="106"/>
      <c r="DM816" s="106"/>
      <c r="DN816" s="106"/>
      <c r="DO816" s="106"/>
      <c r="DP816" s="106"/>
      <c r="DQ816" s="106"/>
      <c r="DR816" s="106"/>
      <c r="DS816" s="106"/>
      <c r="DT816" s="106"/>
      <c r="DU816" s="106"/>
      <c r="DV816" s="106"/>
      <c r="DW816" s="106"/>
      <c r="DX816" s="106"/>
      <c r="DY816" s="106"/>
      <c r="DZ816" s="106"/>
      <c r="EA816" s="106"/>
      <c r="EB816" s="106"/>
      <c r="EC816" s="106"/>
      <c r="ED816" s="106"/>
      <c r="EE816" s="106"/>
      <c r="EF816" s="106"/>
      <c r="EG816" s="106"/>
      <c r="EH816" s="106"/>
      <c r="EI816" s="106"/>
    </row>
    <row r="817" spans="3:139" ht="15.75" customHeight="1" x14ac:dyDescent="0.25"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  <c r="CR817" s="106"/>
      <c r="CS817" s="106"/>
      <c r="CT817" s="106"/>
      <c r="CU817" s="106"/>
      <c r="CV817" s="106"/>
      <c r="CW817" s="106"/>
      <c r="CX817" s="106"/>
      <c r="CY817" s="106"/>
      <c r="CZ817" s="106"/>
      <c r="DA817" s="106"/>
      <c r="DB817" s="106"/>
      <c r="DC817" s="106"/>
      <c r="DD817" s="106"/>
      <c r="DE817" s="106"/>
      <c r="DF817" s="106"/>
      <c r="DG817" s="106"/>
      <c r="DH817" s="106"/>
      <c r="DI817" s="106"/>
      <c r="DJ817" s="106"/>
      <c r="DK817" s="106"/>
      <c r="DL817" s="106"/>
      <c r="DM817" s="106"/>
      <c r="DN817" s="106"/>
      <c r="DO817" s="106"/>
      <c r="DP817" s="106"/>
      <c r="DQ817" s="106"/>
      <c r="DR817" s="106"/>
      <c r="DS817" s="106"/>
      <c r="DT817" s="106"/>
      <c r="DU817" s="106"/>
      <c r="DV817" s="106"/>
      <c r="DW817" s="106"/>
      <c r="DX817" s="106"/>
      <c r="DY817" s="106"/>
      <c r="DZ817" s="106"/>
      <c r="EA817" s="106"/>
      <c r="EB817" s="106"/>
      <c r="EC817" s="106"/>
      <c r="ED817" s="106"/>
      <c r="EE817" s="106"/>
      <c r="EF817" s="106"/>
      <c r="EG817" s="106"/>
      <c r="EH817" s="106"/>
      <c r="EI817" s="106"/>
    </row>
    <row r="818" spans="3:139" ht="15.75" customHeight="1" x14ac:dyDescent="0.25"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  <c r="CR818" s="106"/>
      <c r="CS818" s="106"/>
      <c r="CT818" s="106"/>
      <c r="CU818" s="106"/>
      <c r="CV818" s="106"/>
      <c r="CW818" s="106"/>
      <c r="CX818" s="106"/>
      <c r="CY818" s="106"/>
      <c r="CZ818" s="106"/>
      <c r="DA818" s="106"/>
      <c r="DB818" s="106"/>
      <c r="DC818" s="106"/>
      <c r="DD818" s="106"/>
      <c r="DE818" s="106"/>
      <c r="DF818" s="106"/>
      <c r="DG818" s="106"/>
      <c r="DH818" s="106"/>
      <c r="DI818" s="106"/>
      <c r="DJ818" s="106"/>
      <c r="DK818" s="106"/>
      <c r="DL818" s="106"/>
      <c r="DM818" s="106"/>
      <c r="DN818" s="106"/>
      <c r="DO818" s="106"/>
      <c r="DP818" s="106"/>
      <c r="DQ818" s="106"/>
      <c r="DR818" s="106"/>
      <c r="DS818" s="106"/>
      <c r="DT818" s="106"/>
      <c r="DU818" s="106"/>
      <c r="DV818" s="106"/>
      <c r="DW818" s="106"/>
      <c r="DX818" s="106"/>
      <c r="DY818" s="106"/>
      <c r="DZ818" s="106"/>
      <c r="EA818" s="106"/>
      <c r="EB818" s="106"/>
      <c r="EC818" s="106"/>
      <c r="ED818" s="106"/>
      <c r="EE818" s="106"/>
      <c r="EF818" s="106"/>
      <c r="EG818" s="106"/>
      <c r="EH818" s="106"/>
      <c r="EI818" s="106"/>
    </row>
    <row r="819" spans="3:139" ht="15.75" customHeight="1" x14ac:dyDescent="0.25"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  <c r="CR819" s="106"/>
      <c r="CS819" s="106"/>
      <c r="CT819" s="106"/>
      <c r="CU819" s="106"/>
      <c r="CV819" s="106"/>
      <c r="CW819" s="106"/>
      <c r="CX819" s="106"/>
      <c r="CY819" s="106"/>
      <c r="CZ819" s="106"/>
      <c r="DA819" s="106"/>
      <c r="DB819" s="106"/>
      <c r="DC819" s="106"/>
      <c r="DD819" s="106"/>
      <c r="DE819" s="106"/>
      <c r="DF819" s="106"/>
      <c r="DG819" s="106"/>
      <c r="DH819" s="106"/>
      <c r="DI819" s="106"/>
      <c r="DJ819" s="106"/>
      <c r="DK819" s="106"/>
      <c r="DL819" s="106"/>
      <c r="DM819" s="106"/>
      <c r="DN819" s="106"/>
      <c r="DO819" s="106"/>
      <c r="DP819" s="106"/>
      <c r="DQ819" s="106"/>
      <c r="DR819" s="106"/>
      <c r="DS819" s="106"/>
      <c r="DT819" s="106"/>
      <c r="DU819" s="106"/>
      <c r="DV819" s="106"/>
      <c r="DW819" s="106"/>
      <c r="DX819" s="106"/>
      <c r="DY819" s="106"/>
      <c r="DZ819" s="106"/>
      <c r="EA819" s="106"/>
      <c r="EB819" s="106"/>
      <c r="EC819" s="106"/>
      <c r="ED819" s="106"/>
      <c r="EE819" s="106"/>
      <c r="EF819" s="106"/>
      <c r="EG819" s="106"/>
      <c r="EH819" s="106"/>
      <c r="EI819" s="106"/>
    </row>
    <row r="820" spans="3:139" ht="15.75" customHeight="1" x14ac:dyDescent="0.25"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  <c r="CR820" s="106"/>
      <c r="CS820" s="106"/>
      <c r="CT820" s="106"/>
      <c r="CU820" s="106"/>
      <c r="CV820" s="106"/>
      <c r="CW820" s="106"/>
      <c r="CX820" s="106"/>
      <c r="CY820" s="106"/>
      <c r="CZ820" s="106"/>
      <c r="DA820" s="106"/>
      <c r="DB820" s="106"/>
      <c r="DC820" s="106"/>
      <c r="DD820" s="106"/>
      <c r="DE820" s="106"/>
      <c r="DF820" s="106"/>
      <c r="DG820" s="106"/>
      <c r="DH820" s="106"/>
      <c r="DI820" s="106"/>
      <c r="DJ820" s="106"/>
      <c r="DK820" s="106"/>
      <c r="DL820" s="106"/>
      <c r="DM820" s="106"/>
      <c r="DN820" s="106"/>
      <c r="DO820" s="106"/>
      <c r="DP820" s="106"/>
      <c r="DQ820" s="106"/>
      <c r="DR820" s="106"/>
      <c r="DS820" s="106"/>
      <c r="DT820" s="106"/>
      <c r="DU820" s="106"/>
      <c r="DV820" s="106"/>
      <c r="DW820" s="106"/>
      <c r="DX820" s="106"/>
      <c r="DY820" s="106"/>
      <c r="DZ820" s="106"/>
      <c r="EA820" s="106"/>
      <c r="EB820" s="106"/>
      <c r="EC820" s="106"/>
      <c r="ED820" s="106"/>
      <c r="EE820" s="106"/>
      <c r="EF820" s="106"/>
      <c r="EG820" s="106"/>
      <c r="EH820" s="106"/>
      <c r="EI820" s="106"/>
    </row>
    <row r="821" spans="3:139" ht="15.75" customHeight="1" x14ac:dyDescent="0.25"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  <c r="CR821" s="106"/>
      <c r="CS821" s="106"/>
      <c r="CT821" s="106"/>
      <c r="CU821" s="106"/>
      <c r="CV821" s="106"/>
      <c r="CW821" s="106"/>
      <c r="CX821" s="106"/>
      <c r="CY821" s="106"/>
      <c r="CZ821" s="106"/>
      <c r="DA821" s="106"/>
      <c r="DB821" s="106"/>
      <c r="DC821" s="106"/>
      <c r="DD821" s="106"/>
      <c r="DE821" s="106"/>
      <c r="DF821" s="106"/>
      <c r="DG821" s="106"/>
      <c r="DH821" s="106"/>
      <c r="DI821" s="106"/>
      <c r="DJ821" s="106"/>
      <c r="DK821" s="106"/>
      <c r="DL821" s="106"/>
      <c r="DM821" s="106"/>
      <c r="DN821" s="106"/>
      <c r="DO821" s="106"/>
      <c r="DP821" s="106"/>
      <c r="DQ821" s="106"/>
      <c r="DR821" s="106"/>
      <c r="DS821" s="106"/>
      <c r="DT821" s="106"/>
      <c r="DU821" s="106"/>
      <c r="DV821" s="106"/>
      <c r="DW821" s="106"/>
      <c r="DX821" s="106"/>
      <c r="DY821" s="106"/>
      <c r="DZ821" s="106"/>
      <c r="EA821" s="106"/>
      <c r="EB821" s="106"/>
      <c r="EC821" s="106"/>
      <c r="ED821" s="106"/>
      <c r="EE821" s="106"/>
      <c r="EF821" s="106"/>
      <c r="EG821" s="106"/>
      <c r="EH821" s="106"/>
      <c r="EI821" s="106"/>
    </row>
    <row r="822" spans="3:139" ht="15.75" customHeight="1" x14ac:dyDescent="0.25"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  <c r="CR822" s="106"/>
      <c r="CS822" s="106"/>
      <c r="CT822" s="106"/>
      <c r="CU822" s="106"/>
      <c r="CV822" s="106"/>
      <c r="CW822" s="106"/>
      <c r="CX822" s="106"/>
      <c r="CY822" s="106"/>
      <c r="CZ822" s="106"/>
      <c r="DA822" s="106"/>
      <c r="DB822" s="106"/>
      <c r="DC822" s="106"/>
      <c r="DD822" s="106"/>
      <c r="DE822" s="106"/>
      <c r="DF822" s="106"/>
      <c r="DG822" s="106"/>
      <c r="DH822" s="106"/>
      <c r="DI822" s="106"/>
      <c r="DJ822" s="106"/>
      <c r="DK822" s="106"/>
      <c r="DL822" s="106"/>
      <c r="DM822" s="106"/>
      <c r="DN822" s="106"/>
      <c r="DO822" s="106"/>
      <c r="DP822" s="106"/>
      <c r="DQ822" s="106"/>
      <c r="DR822" s="106"/>
      <c r="DS822" s="106"/>
      <c r="DT822" s="106"/>
      <c r="DU822" s="106"/>
      <c r="DV822" s="106"/>
      <c r="DW822" s="106"/>
      <c r="DX822" s="106"/>
      <c r="DY822" s="106"/>
      <c r="DZ822" s="106"/>
      <c r="EA822" s="106"/>
      <c r="EB822" s="106"/>
      <c r="EC822" s="106"/>
      <c r="ED822" s="106"/>
      <c r="EE822" s="106"/>
      <c r="EF822" s="106"/>
      <c r="EG822" s="106"/>
      <c r="EH822" s="106"/>
      <c r="EI822" s="106"/>
    </row>
    <row r="823" spans="3:139" ht="15.75" customHeight="1" x14ac:dyDescent="0.25"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  <c r="CR823" s="106"/>
      <c r="CS823" s="106"/>
      <c r="CT823" s="106"/>
      <c r="CU823" s="106"/>
      <c r="CV823" s="106"/>
      <c r="CW823" s="106"/>
      <c r="CX823" s="106"/>
      <c r="CY823" s="106"/>
      <c r="CZ823" s="106"/>
      <c r="DA823" s="106"/>
      <c r="DB823" s="106"/>
      <c r="DC823" s="106"/>
      <c r="DD823" s="106"/>
      <c r="DE823" s="106"/>
      <c r="DF823" s="106"/>
      <c r="DG823" s="106"/>
      <c r="DH823" s="106"/>
      <c r="DI823" s="106"/>
      <c r="DJ823" s="106"/>
      <c r="DK823" s="106"/>
      <c r="DL823" s="106"/>
      <c r="DM823" s="106"/>
      <c r="DN823" s="106"/>
      <c r="DO823" s="106"/>
      <c r="DP823" s="106"/>
      <c r="DQ823" s="106"/>
      <c r="DR823" s="106"/>
      <c r="DS823" s="106"/>
      <c r="DT823" s="106"/>
      <c r="DU823" s="106"/>
      <c r="DV823" s="106"/>
      <c r="DW823" s="106"/>
      <c r="DX823" s="106"/>
      <c r="DY823" s="106"/>
      <c r="DZ823" s="106"/>
      <c r="EA823" s="106"/>
      <c r="EB823" s="106"/>
      <c r="EC823" s="106"/>
      <c r="ED823" s="106"/>
      <c r="EE823" s="106"/>
      <c r="EF823" s="106"/>
      <c r="EG823" s="106"/>
      <c r="EH823" s="106"/>
      <c r="EI823" s="106"/>
    </row>
    <row r="824" spans="3:139" ht="15.75" customHeight="1" x14ac:dyDescent="0.25"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  <c r="CR824" s="106"/>
      <c r="CS824" s="106"/>
      <c r="CT824" s="106"/>
      <c r="CU824" s="106"/>
      <c r="CV824" s="106"/>
      <c r="CW824" s="106"/>
      <c r="CX824" s="106"/>
      <c r="CY824" s="106"/>
      <c r="CZ824" s="106"/>
      <c r="DA824" s="106"/>
      <c r="DB824" s="106"/>
      <c r="DC824" s="106"/>
      <c r="DD824" s="106"/>
      <c r="DE824" s="106"/>
      <c r="DF824" s="106"/>
      <c r="DG824" s="106"/>
      <c r="DH824" s="106"/>
      <c r="DI824" s="106"/>
      <c r="DJ824" s="106"/>
      <c r="DK824" s="106"/>
      <c r="DL824" s="106"/>
      <c r="DM824" s="106"/>
      <c r="DN824" s="106"/>
      <c r="DO824" s="106"/>
      <c r="DP824" s="106"/>
      <c r="DQ824" s="106"/>
      <c r="DR824" s="106"/>
      <c r="DS824" s="106"/>
      <c r="DT824" s="106"/>
      <c r="DU824" s="106"/>
      <c r="DV824" s="106"/>
      <c r="DW824" s="106"/>
      <c r="DX824" s="106"/>
      <c r="DY824" s="106"/>
      <c r="DZ824" s="106"/>
      <c r="EA824" s="106"/>
      <c r="EB824" s="106"/>
      <c r="EC824" s="106"/>
      <c r="ED824" s="106"/>
      <c r="EE824" s="106"/>
      <c r="EF824" s="106"/>
      <c r="EG824" s="106"/>
      <c r="EH824" s="106"/>
      <c r="EI824" s="106"/>
    </row>
    <row r="825" spans="3:139" ht="15.75" customHeight="1" x14ac:dyDescent="0.25"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  <c r="CR825" s="106"/>
      <c r="CS825" s="106"/>
      <c r="CT825" s="106"/>
      <c r="CU825" s="106"/>
      <c r="CV825" s="106"/>
      <c r="CW825" s="106"/>
      <c r="CX825" s="106"/>
      <c r="CY825" s="106"/>
      <c r="CZ825" s="106"/>
      <c r="DA825" s="106"/>
      <c r="DB825" s="106"/>
      <c r="DC825" s="106"/>
      <c r="DD825" s="106"/>
      <c r="DE825" s="106"/>
      <c r="DF825" s="106"/>
      <c r="DG825" s="106"/>
      <c r="DH825" s="106"/>
      <c r="DI825" s="106"/>
      <c r="DJ825" s="106"/>
      <c r="DK825" s="106"/>
      <c r="DL825" s="106"/>
      <c r="DM825" s="106"/>
      <c r="DN825" s="106"/>
      <c r="DO825" s="106"/>
      <c r="DP825" s="106"/>
      <c r="DQ825" s="106"/>
      <c r="DR825" s="106"/>
      <c r="DS825" s="106"/>
      <c r="DT825" s="106"/>
      <c r="DU825" s="106"/>
      <c r="DV825" s="106"/>
      <c r="DW825" s="106"/>
      <c r="DX825" s="106"/>
      <c r="DY825" s="106"/>
      <c r="DZ825" s="106"/>
      <c r="EA825" s="106"/>
      <c r="EB825" s="106"/>
      <c r="EC825" s="106"/>
      <c r="ED825" s="106"/>
      <c r="EE825" s="106"/>
      <c r="EF825" s="106"/>
      <c r="EG825" s="106"/>
      <c r="EH825" s="106"/>
      <c r="EI825" s="106"/>
    </row>
    <row r="826" spans="3:139" ht="15.75" customHeight="1" x14ac:dyDescent="0.25"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  <c r="CR826" s="106"/>
      <c r="CS826" s="106"/>
      <c r="CT826" s="106"/>
      <c r="CU826" s="106"/>
      <c r="CV826" s="106"/>
      <c r="CW826" s="106"/>
      <c r="CX826" s="106"/>
      <c r="CY826" s="106"/>
      <c r="CZ826" s="106"/>
      <c r="DA826" s="106"/>
      <c r="DB826" s="106"/>
      <c r="DC826" s="106"/>
      <c r="DD826" s="106"/>
      <c r="DE826" s="106"/>
      <c r="DF826" s="106"/>
      <c r="DG826" s="106"/>
      <c r="DH826" s="106"/>
      <c r="DI826" s="106"/>
      <c r="DJ826" s="106"/>
      <c r="DK826" s="106"/>
      <c r="DL826" s="106"/>
      <c r="DM826" s="106"/>
      <c r="DN826" s="106"/>
      <c r="DO826" s="106"/>
      <c r="DP826" s="106"/>
      <c r="DQ826" s="106"/>
      <c r="DR826" s="106"/>
      <c r="DS826" s="106"/>
      <c r="DT826" s="106"/>
      <c r="DU826" s="106"/>
      <c r="DV826" s="106"/>
      <c r="DW826" s="106"/>
      <c r="DX826" s="106"/>
      <c r="DY826" s="106"/>
      <c r="DZ826" s="106"/>
      <c r="EA826" s="106"/>
      <c r="EB826" s="106"/>
      <c r="EC826" s="106"/>
      <c r="ED826" s="106"/>
      <c r="EE826" s="106"/>
      <c r="EF826" s="106"/>
      <c r="EG826" s="106"/>
      <c r="EH826" s="106"/>
      <c r="EI826" s="106"/>
    </row>
    <row r="827" spans="3:139" ht="15.75" customHeight="1" x14ac:dyDescent="0.25"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  <c r="CR827" s="106"/>
      <c r="CS827" s="106"/>
      <c r="CT827" s="106"/>
      <c r="CU827" s="106"/>
      <c r="CV827" s="106"/>
      <c r="CW827" s="106"/>
      <c r="CX827" s="106"/>
      <c r="CY827" s="106"/>
      <c r="CZ827" s="106"/>
      <c r="DA827" s="106"/>
      <c r="DB827" s="106"/>
      <c r="DC827" s="106"/>
      <c r="DD827" s="106"/>
      <c r="DE827" s="106"/>
      <c r="DF827" s="106"/>
      <c r="DG827" s="106"/>
      <c r="DH827" s="106"/>
      <c r="DI827" s="106"/>
      <c r="DJ827" s="106"/>
      <c r="DK827" s="106"/>
      <c r="DL827" s="106"/>
      <c r="DM827" s="106"/>
      <c r="DN827" s="106"/>
      <c r="DO827" s="106"/>
      <c r="DP827" s="106"/>
      <c r="DQ827" s="106"/>
      <c r="DR827" s="106"/>
      <c r="DS827" s="106"/>
      <c r="DT827" s="106"/>
      <c r="DU827" s="106"/>
      <c r="DV827" s="106"/>
      <c r="DW827" s="106"/>
      <c r="DX827" s="106"/>
      <c r="DY827" s="106"/>
      <c r="DZ827" s="106"/>
      <c r="EA827" s="106"/>
      <c r="EB827" s="106"/>
      <c r="EC827" s="106"/>
      <c r="ED827" s="106"/>
      <c r="EE827" s="106"/>
      <c r="EF827" s="106"/>
      <c r="EG827" s="106"/>
      <c r="EH827" s="106"/>
      <c r="EI827" s="106"/>
    </row>
    <row r="828" spans="3:139" ht="15.75" customHeight="1" x14ac:dyDescent="0.25"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  <c r="CR828" s="106"/>
      <c r="CS828" s="106"/>
      <c r="CT828" s="106"/>
      <c r="CU828" s="106"/>
      <c r="CV828" s="106"/>
      <c r="CW828" s="106"/>
      <c r="CX828" s="106"/>
      <c r="CY828" s="106"/>
      <c r="CZ828" s="106"/>
      <c r="DA828" s="106"/>
      <c r="DB828" s="106"/>
      <c r="DC828" s="106"/>
      <c r="DD828" s="106"/>
      <c r="DE828" s="106"/>
      <c r="DF828" s="106"/>
      <c r="DG828" s="106"/>
      <c r="DH828" s="106"/>
      <c r="DI828" s="106"/>
      <c r="DJ828" s="106"/>
      <c r="DK828" s="106"/>
      <c r="DL828" s="106"/>
      <c r="DM828" s="106"/>
      <c r="DN828" s="106"/>
      <c r="DO828" s="106"/>
      <c r="DP828" s="106"/>
      <c r="DQ828" s="106"/>
      <c r="DR828" s="106"/>
      <c r="DS828" s="106"/>
      <c r="DT828" s="106"/>
      <c r="DU828" s="106"/>
      <c r="DV828" s="106"/>
      <c r="DW828" s="106"/>
      <c r="DX828" s="106"/>
      <c r="DY828" s="106"/>
      <c r="DZ828" s="106"/>
      <c r="EA828" s="106"/>
      <c r="EB828" s="106"/>
      <c r="EC828" s="106"/>
      <c r="ED828" s="106"/>
      <c r="EE828" s="106"/>
      <c r="EF828" s="106"/>
      <c r="EG828" s="106"/>
      <c r="EH828" s="106"/>
      <c r="EI828" s="106"/>
    </row>
    <row r="829" spans="3:139" ht="15.75" customHeight="1" x14ac:dyDescent="0.25"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  <c r="CR829" s="106"/>
      <c r="CS829" s="106"/>
      <c r="CT829" s="106"/>
      <c r="CU829" s="106"/>
      <c r="CV829" s="106"/>
      <c r="CW829" s="106"/>
      <c r="CX829" s="106"/>
      <c r="CY829" s="106"/>
      <c r="CZ829" s="106"/>
      <c r="DA829" s="106"/>
      <c r="DB829" s="106"/>
      <c r="DC829" s="106"/>
      <c r="DD829" s="106"/>
      <c r="DE829" s="106"/>
      <c r="DF829" s="106"/>
      <c r="DG829" s="106"/>
      <c r="DH829" s="106"/>
      <c r="DI829" s="106"/>
      <c r="DJ829" s="106"/>
      <c r="DK829" s="106"/>
      <c r="DL829" s="106"/>
      <c r="DM829" s="106"/>
      <c r="DN829" s="106"/>
      <c r="DO829" s="106"/>
      <c r="DP829" s="106"/>
      <c r="DQ829" s="106"/>
      <c r="DR829" s="106"/>
      <c r="DS829" s="106"/>
      <c r="DT829" s="106"/>
      <c r="DU829" s="106"/>
      <c r="DV829" s="106"/>
      <c r="DW829" s="106"/>
      <c r="DX829" s="106"/>
      <c r="DY829" s="106"/>
      <c r="DZ829" s="106"/>
      <c r="EA829" s="106"/>
      <c r="EB829" s="106"/>
      <c r="EC829" s="106"/>
      <c r="ED829" s="106"/>
      <c r="EE829" s="106"/>
      <c r="EF829" s="106"/>
      <c r="EG829" s="106"/>
      <c r="EH829" s="106"/>
      <c r="EI829" s="106"/>
    </row>
    <row r="830" spans="3:139" ht="15.75" customHeight="1" x14ac:dyDescent="0.25"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  <c r="CR830" s="106"/>
      <c r="CS830" s="106"/>
      <c r="CT830" s="106"/>
      <c r="CU830" s="106"/>
      <c r="CV830" s="106"/>
      <c r="CW830" s="106"/>
      <c r="CX830" s="106"/>
      <c r="CY830" s="106"/>
      <c r="CZ830" s="106"/>
      <c r="DA830" s="106"/>
      <c r="DB830" s="106"/>
      <c r="DC830" s="106"/>
      <c r="DD830" s="106"/>
      <c r="DE830" s="106"/>
      <c r="DF830" s="106"/>
      <c r="DG830" s="106"/>
      <c r="DH830" s="106"/>
      <c r="DI830" s="106"/>
      <c r="DJ830" s="106"/>
      <c r="DK830" s="106"/>
      <c r="DL830" s="106"/>
      <c r="DM830" s="106"/>
      <c r="DN830" s="106"/>
      <c r="DO830" s="106"/>
      <c r="DP830" s="106"/>
      <c r="DQ830" s="106"/>
      <c r="DR830" s="106"/>
      <c r="DS830" s="106"/>
      <c r="DT830" s="106"/>
      <c r="DU830" s="106"/>
      <c r="DV830" s="106"/>
      <c r="DW830" s="106"/>
      <c r="DX830" s="106"/>
      <c r="DY830" s="106"/>
      <c r="DZ830" s="106"/>
      <c r="EA830" s="106"/>
      <c r="EB830" s="106"/>
      <c r="EC830" s="106"/>
      <c r="ED830" s="106"/>
      <c r="EE830" s="106"/>
      <c r="EF830" s="106"/>
      <c r="EG830" s="106"/>
      <c r="EH830" s="106"/>
      <c r="EI830" s="106"/>
    </row>
    <row r="831" spans="3:139" ht="15.75" customHeight="1" x14ac:dyDescent="0.25"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  <c r="CR831" s="106"/>
      <c r="CS831" s="106"/>
      <c r="CT831" s="106"/>
      <c r="CU831" s="106"/>
      <c r="CV831" s="106"/>
      <c r="CW831" s="106"/>
      <c r="CX831" s="106"/>
      <c r="CY831" s="106"/>
      <c r="CZ831" s="106"/>
      <c r="DA831" s="106"/>
      <c r="DB831" s="106"/>
      <c r="DC831" s="106"/>
      <c r="DD831" s="106"/>
      <c r="DE831" s="106"/>
      <c r="DF831" s="106"/>
      <c r="DG831" s="106"/>
      <c r="DH831" s="106"/>
      <c r="DI831" s="106"/>
      <c r="DJ831" s="106"/>
      <c r="DK831" s="106"/>
      <c r="DL831" s="106"/>
      <c r="DM831" s="106"/>
      <c r="DN831" s="106"/>
      <c r="DO831" s="106"/>
      <c r="DP831" s="106"/>
      <c r="DQ831" s="106"/>
      <c r="DR831" s="106"/>
      <c r="DS831" s="106"/>
      <c r="DT831" s="106"/>
      <c r="DU831" s="106"/>
      <c r="DV831" s="106"/>
      <c r="DW831" s="106"/>
      <c r="DX831" s="106"/>
      <c r="DY831" s="106"/>
      <c r="DZ831" s="106"/>
      <c r="EA831" s="106"/>
      <c r="EB831" s="106"/>
      <c r="EC831" s="106"/>
      <c r="ED831" s="106"/>
      <c r="EE831" s="106"/>
      <c r="EF831" s="106"/>
      <c r="EG831" s="106"/>
      <c r="EH831" s="106"/>
      <c r="EI831" s="106"/>
    </row>
    <row r="832" spans="3:139" ht="15.75" customHeight="1" x14ac:dyDescent="0.25"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  <c r="CR832" s="106"/>
      <c r="CS832" s="106"/>
      <c r="CT832" s="106"/>
      <c r="CU832" s="106"/>
      <c r="CV832" s="106"/>
      <c r="CW832" s="106"/>
      <c r="CX832" s="106"/>
      <c r="CY832" s="106"/>
      <c r="CZ832" s="106"/>
      <c r="DA832" s="106"/>
      <c r="DB832" s="106"/>
      <c r="DC832" s="106"/>
      <c r="DD832" s="106"/>
      <c r="DE832" s="106"/>
      <c r="DF832" s="106"/>
      <c r="DG832" s="106"/>
      <c r="DH832" s="106"/>
      <c r="DI832" s="106"/>
      <c r="DJ832" s="106"/>
      <c r="DK832" s="106"/>
      <c r="DL832" s="106"/>
      <c r="DM832" s="106"/>
      <c r="DN832" s="106"/>
      <c r="DO832" s="106"/>
      <c r="DP832" s="106"/>
      <c r="DQ832" s="106"/>
      <c r="DR832" s="106"/>
      <c r="DS832" s="106"/>
      <c r="DT832" s="106"/>
      <c r="DU832" s="106"/>
      <c r="DV832" s="106"/>
      <c r="DW832" s="106"/>
      <c r="DX832" s="106"/>
      <c r="DY832" s="106"/>
      <c r="DZ832" s="106"/>
      <c r="EA832" s="106"/>
      <c r="EB832" s="106"/>
      <c r="EC832" s="106"/>
      <c r="ED832" s="106"/>
      <c r="EE832" s="106"/>
      <c r="EF832" s="106"/>
      <c r="EG832" s="106"/>
      <c r="EH832" s="106"/>
      <c r="EI832" s="106"/>
    </row>
    <row r="833" spans="3:139" ht="15.75" customHeight="1" x14ac:dyDescent="0.25"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  <c r="CR833" s="106"/>
      <c r="CS833" s="106"/>
      <c r="CT833" s="106"/>
      <c r="CU833" s="106"/>
      <c r="CV833" s="106"/>
      <c r="CW833" s="106"/>
      <c r="CX833" s="106"/>
      <c r="CY833" s="106"/>
      <c r="CZ833" s="106"/>
      <c r="DA833" s="106"/>
      <c r="DB833" s="106"/>
      <c r="DC833" s="106"/>
      <c r="DD833" s="106"/>
      <c r="DE833" s="106"/>
      <c r="DF833" s="106"/>
      <c r="DG833" s="106"/>
      <c r="DH833" s="106"/>
      <c r="DI833" s="106"/>
      <c r="DJ833" s="106"/>
      <c r="DK833" s="106"/>
      <c r="DL833" s="106"/>
      <c r="DM833" s="106"/>
      <c r="DN833" s="106"/>
      <c r="DO833" s="106"/>
      <c r="DP833" s="106"/>
      <c r="DQ833" s="106"/>
      <c r="DR833" s="106"/>
      <c r="DS833" s="106"/>
      <c r="DT833" s="106"/>
      <c r="DU833" s="106"/>
      <c r="DV833" s="106"/>
      <c r="DW833" s="106"/>
      <c r="DX833" s="106"/>
      <c r="DY833" s="106"/>
      <c r="DZ833" s="106"/>
      <c r="EA833" s="106"/>
      <c r="EB833" s="106"/>
      <c r="EC833" s="106"/>
      <c r="ED833" s="106"/>
      <c r="EE833" s="106"/>
      <c r="EF833" s="106"/>
      <c r="EG833" s="106"/>
      <c r="EH833" s="106"/>
      <c r="EI833" s="106"/>
    </row>
    <row r="834" spans="3:139" ht="15.75" customHeight="1" x14ac:dyDescent="0.25"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  <c r="CR834" s="106"/>
      <c r="CS834" s="106"/>
      <c r="CT834" s="106"/>
      <c r="CU834" s="106"/>
      <c r="CV834" s="106"/>
      <c r="CW834" s="106"/>
      <c r="CX834" s="106"/>
      <c r="CY834" s="106"/>
      <c r="CZ834" s="106"/>
      <c r="DA834" s="106"/>
      <c r="DB834" s="106"/>
      <c r="DC834" s="106"/>
      <c r="DD834" s="106"/>
      <c r="DE834" s="106"/>
      <c r="DF834" s="106"/>
      <c r="DG834" s="106"/>
      <c r="DH834" s="106"/>
      <c r="DI834" s="106"/>
      <c r="DJ834" s="106"/>
      <c r="DK834" s="106"/>
      <c r="DL834" s="106"/>
      <c r="DM834" s="106"/>
      <c r="DN834" s="106"/>
      <c r="DO834" s="106"/>
      <c r="DP834" s="106"/>
      <c r="DQ834" s="106"/>
      <c r="DR834" s="106"/>
      <c r="DS834" s="106"/>
      <c r="DT834" s="106"/>
      <c r="DU834" s="106"/>
      <c r="DV834" s="106"/>
      <c r="DW834" s="106"/>
      <c r="DX834" s="106"/>
      <c r="DY834" s="106"/>
      <c r="DZ834" s="106"/>
      <c r="EA834" s="106"/>
      <c r="EB834" s="106"/>
      <c r="EC834" s="106"/>
      <c r="ED834" s="106"/>
      <c r="EE834" s="106"/>
      <c r="EF834" s="106"/>
      <c r="EG834" s="106"/>
      <c r="EH834" s="106"/>
      <c r="EI834" s="106"/>
    </row>
    <row r="835" spans="3:139" ht="15.75" customHeight="1" x14ac:dyDescent="0.25"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  <c r="CR835" s="106"/>
      <c r="CS835" s="106"/>
      <c r="CT835" s="106"/>
      <c r="CU835" s="106"/>
      <c r="CV835" s="106"/>
      <c r="CW835" s="106"/>
      <c r="CX835" s="106"/>
      <c r="CY835" s="106"/>
      <c r="CZ835" s="106"/>
      <c r="DA835" s="106"/>
      <c r="DB835" s="106"/>
      <c r="DC835" s="106"/>
      <c r="DD835" s="106"/>
      <c r="DE835" s="106"/>
      <c r="DF835" s="106"/>
      <c r="DG835" s="106"/>
      <c r="DH835" s="106"/>
      <c r="DI835" s="106"/>
      <c r="DJ835" s="106"/>
      <c r="DK835" s="106"/>
      <c r="DL835" s="106"/>
      <c r="DM835" s="106"/>
      <c r="DN835" s="106"/>
      <c r="DO835" s="106"/>
      <c r="DP835" s="106"/>
      <c r="DQ835" s="106"/>
      <c r="DR835" s="106"/>
      <c r="DS835" s="106"/>
      <c r="DT835" s="106"/>
      <c r="DU835" s="106"/>
      <c r="DV835" s="106"/>
      <c r="DW835" s="106"/>
      <c r="DX835" s="106"/>
      <c r="DY835" s="106"/>
      <c r="DZ835" s="106"/>
      <c r="EA835" s="106"/>
      <c r="EB835" s="106"/>
      <c r="EC835" s="106"/>
      <c r="ED835" s="106"/>
      <c r="EE835" s="106"/>
      <c r="EF835" s="106"/>
      <c r="EG835" s="106"/>
      <c r="EH835" s="106"/>
      <c r="EI835" s="106"/>
    </row>
    <row r="836" spans="3:139" ht="15.75" customHeight="1" x14ac:dyDescent="0.25"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  <c r="CR836" s="106"/>
      <c r="CS836" s="106"/>
      <c r="CT836" s="106"/>
      <c r="CU836" s="106"/>
      <c r="CV836" s="106"/>
      <c r="CW836" s="106"/>
      <c r="CX836" s="106"/>
      <c r="CY836" s="106"/>
      <c r="CZ836" s="106"/>
      <c r="DA836" s="106"/>
      <c r="DB836" s="106"/>
      <c r="DC836" s="106"/>
      <c r="DD836" s="106"/>
      <c r="DE836" s="106"/>
      <c r="DF836" s="106"/>
      <c r="DG836" s="106"/>
      <c r="DH836" s="106"/>
      <c r="DI836" s="106"/>
      <c r="DJ836" s="106"/>
      <c r="DK836" s="106"/>
      <c r="DL836" s="106"/>
      <c r="DM836" s="106"/>
      <c r="DN836" s="106"/>
      <c r="DO836" s="106"/>
      <c r="DP836" s="106"/>
      <c r="DQ836" s="106"/>
      <c r="DR836" s="106"/>
      <c r="DS836" s="106"/>
      <c r="DT836" s="106"/>
      <c r="DU836" s="106"/>
      <c r="DV836" s="106"/>
      <c r="DW836" s="106"/>
      <c r="DX836" s="106"/>
      <c r="DY836" s="106"/>
      <c r="DZ836" s="106"/>
      <c r="EA836" s="106"/>
      <c r="EB836" s="106"/>
      <c r="EC836" s="106"/>
      <c r="ED836" s="106"/>
      <c r="EE836" s="106"/>
      <c r="EF836" s="106"/>
      <c r="EG836" s="106"/>
      <c r="EH836" s="106"/>
      <c r="EI836" s="106"/>
    </row>
    <row r="837" spans="3:139" ht="15.75" customHeight="1" x14ac:dyDescent="0.25"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  <c r="CR837" s="106"/>
      <c r="CS837" s="106"/>
      <c r="CT837" s="106"/>
      <c r="CU837" s="106"/>
      <c r="CV837" s="106"/>
      <c r="CW837" s="106"/>
      <c r="CX837" s="106"/>
      <c r="CY837" s="106"/>
      <c r="CZ837" s="106"/>
      <c r="DA837" s="106"/>
      <c r="DB837" s="106"/>
      <c r="DC837" s="106"/>
      <c r="DD837" s="106"/>
      <c r="DE837" s="106"/>
      <c r="DF837" s="106"/>
      <c r="DG837" s="106"/>
      <c r="DH837" s="106"/>
      <c r="DI837" s="106"/>
      <c r="DJ837" s="106"/>
      <c r="DK837" s="106"/>
      <c r="DL837" s="106"/>
      <c r="DM837" s="106"/>
      <c r="DN837" s="106"/>
      <c r="DO837" s="106"/>
      <c r="DP837" s="106"/>
      <c r="DQ837" s="106"/>
      <c r="DR837" s="106"/>
      <c r="DS837" s="106"/>
      <c r="DT837" s="106"/>
      <c r="DU837" s="106"/>
      <c r="DV837" s="106"/>
      <c r="DW837" s="106"/>
      <c r="DX837" s="106"/>
      <c r="DY837" s="106"/>
      <c r="DZ837" s="106"/>
      <c r="EA837" s="106"/>
      <c r="EB837" s="106"/>
      <c r="EC837" s="106"/>
      <c r="ED837" s="106"/>
      <c r="EE837" s="106"/>
      <c r="EF837" s="106"/>
      <c r="EG837" s="106"/>
      <c r="EH837" s="106"/>
      <c r="EI837" s="106"/>
    </row>
    <row r="838" spans="3:139" ht="15.75" customHeight="1" x14ac:dyDescent="0.25"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  <c r="CR838" s="106"/>
      <c r="CS838" s="106"/>
      <c r="CT838" s="106"/>
      <c r="CU838" s="106"/>
      <c r="CV838" s="106"/>
      <c r="CW838" s="106"/>
      <c r="CX838" s="106"/>
      <c r="CY838" s="106"/>
      <c r="CZ838" s="106"/>
      <c r="DA838" s="106"/>
      <c r="DB838" s="106"/>
      <c r="DC838" s="106"/>
      <c r="DD838" s="106"/>
      <c r="DE838" s="106"/>
      <c r="DF838" s="106"/>
      <c r="DG838" s="106"/>
      <c r="DH838" s="106"/>
      <c r="DI838" s="106"/>
      <c r="DJ838" s="106"/>
      <c r="DK838" s="106"/>
      <c r="DL838" s="106"/>
      <c r="DM838" s="106"/>
      <c r="DN838" s="106"/>
      <c r="DO838" s="106"/>
      <c r="DP838" s="106"/>
      <c r="DQ838" s="106"/>
      <c r="DR838" s="106"/>
      <c r="DS838" s="106"/>
      <c r="DT838" s="106"/>
      <c r="DU838" s="106"/>
      <c r="DV838" s="106"/>
      <c r="DW838" s="106"/>
      <c r="DX838" s="106"/>
      <c r="DY838" s="106"/>
      <c r="DZ838" s="106"/>
      <c r="EA838" s="106"/>
      <c r="EB838" s="106"/>
      <c r="EC838" s="106"/>
      <c r="ED838" s="106"/>
      <c r="EE838" s="106"/>
      <c r="EF838" s="106"/>
      <c r="EG838" s="106"/>
      <c r="EH838" s="106"/>
      <c r="EI838" s="106"/>
    </row>
    <row r="839" spans="3:139" ht="15.75" customHeight="1" x14ac:dyDescent="0.25"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  <c r="CR839" s="106"/>
      <c r="CS839" s="106"/>
      <c r="CT839" s="106"/>
      <c r="CU839" s="106"/>
      <c r="CV839" s="106"/>
      <c r="CW839" s="106"/>
      <c r="CX839" s="106"/>
      <c r="CY839" s="106"/>
      <c r="CZ839" s="106"/>
      <c r="DA839" s="106"/>
      <c r="DB839" s="106"/>
      <c r="DC839" s="106"/>
      <c r="DD839" s="106"/>
      <c r="DE839" s="106"/>
      <c r="DF839" s="106"/>
      <c r="DG839" s="106"/>
      <c r="DH839" s="106"/>
      <c r="DI839" s="106"/>
      <c r="DJ839" s="106"/>
      <c r="DK839" s="106"/>
      <c r="DL839" s="106"/>
      <c r="DM839" s="106"/>
      <c r="DN839" s="106"/>
      <c r="DO839" s="106"/>
      <c r="DP839" s="106"/>
      <c r="DQ839" s="106"/>
      <c r="DR839" s="106"/>
      <c r="DS839" s="106"/>
      <c r="DT839" s="106"/>
      <c r="DU839" s="106"/>
      <c r="DV839" s="106"/>
      <c r="DW839" s="106"/>
      <c r="DX839" s="106"/>
      <c r="DY839" s="106"/>
      <c r="DZ839" s="106"/>
      <c r="EA839" s="106"/>
      <c r="EB839" s="106"/>
      <c r="EC839" s="106"/>
      <c r="ED839" s="106"/>
      <c r="EE839" s="106"/>
      <c r="EF839" s="106"/>
      <c r="EG839" s="106"/>
      <c r="EH839" s="106"/>
      <c r="EI839" s="106"/>
    </row>
    <row r="840" spans="3:139" ht="15.75" customHeight="1" x14ac:dyDescent="0.25"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  <c r="CR840" s="106"/>
      <c r="CS840" s="106"/>
      <c r="CT840" s="106"/>
      <c r="CU840" s="106"/>
      <c r="CV840" s="106"/>
      <c r="CW840" s="106"/>
      <c r="CX840" s="106"/>
      <c r="CY840" s="106"/>
      <c r="CZ840" s="106"/>
      <c r="DA840" s="106"/>
      <c r="DB840" s="106"/>
      <c r="DC840" s="106"/>
      <c r="DD840" s="106"/>
      <c r="DE840" s="106"/>
      <c r="DF840" s="106"/>
      <c r="DG840" s="106"/>
      <c r="DH840" s="106"/>
      <c r="DI840" s="106"/>
      <c r="DJ840" s="106"/>
      <c r="DK840" s="106"/>
      <c r="DL840" s="106"/>
      <c r="DM840" s="106"/>
      <c r="DN840" s="106"/>
      <c r="DO840" s="106"/>
      <c r="DP840" s="106"/>
      <c r="DQ840" s="106"/>
      <c r="DR840" s="106"/>
      <c r="DS840" s="106"/>
      <c r="DT840" s="106"/>
      <c r="DU840" s="106"/>
      <c r="DV840" s="106"/>
      <c r="DW840" s="106"/>
      <c r="DX840" s="106"/>
      <c r="DY840" s="106"/>
      <c r="DZ840" s="106"/>
      <c r="EA840" s="106"/>
      <c r="EB840" s="106"/>
      <c r="EC840" s="106"/>
      <c r="ED840" s="106"/>
      <c r="EE840" s="106"/>
      <c r="EF840" s="106"/>
      <c r="EG840" s="106"/>
      <c r="EH840" s="106"/>
      <c r="EI840" s="106"/>
    </row>
    <row r="841" spans="3:139" ht="15.75" customHeight="1" x14ac:dyDescent="0.25"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  <c r="CR841" s="106"/>
      <c r="CS841" s="106"/>
      <c r="CT841" s="106"/>
      <c r="CU841" s="106"/>
      <c r="CV841" s="106"/>
      <c r="CW841" s="106"/>
      <c r="CX841" s="106"/>
      <c r="CY841" s="106"/>
      <c r="CZ841" s="106"/>
      <c r="DA841" s="106"/>
      <c r="DB841" s="106"/>
      <c r="DC841" s="106"/>
      <c r="DD841" s="106"/>
      <c r="DE841" s="106"/>
      <c r="DF841" s="106"/>
      <c r="DG841" s="106"/>
      <c r="DH841" s="106"/>
      <c r="DI841" s="106"/>
      <c r="DJ841" s="106"/>
      <c r="DK841" s="106"/>
      <c r="DL841" s="106"/>
      <c r="DM841" s="106"/>
      <c r="DN841" s="106"/>
      <c r="DO841" s="106"/>
      <c r="DP841" s="106"/>
      <c r="DQ841" s="106"/>
      <c r="DR841" s="106"/>
      <c r="DS841" s="106"/>
      <c r="DT841" s="106"/>
      <c r="DU841" s="106"/>
      <c r="DV841" s="106"/>
      <c r="DW841" s="106"/>
      <c r="DX841" s="106"/>
      <c r="DY841" s="106"/>
      <c r="DZ841" s="106"/>
      <c r="EA841" s="106"/>
      <c r="EB841" s="106"/>
      <c r="EC841" s="106"/>
      <c r="ED841" s="106"/>
      <c r="EE841" s="106"/>
      <c r="EF841" s="106"/>
      <c r="EG841" s="106"/>
      <c r="EH841" s="106"/>
      <c r="EI841" s="106"/>
    </row>
    <row r="842" spans="3:139" ht="15.75" customHeight="1" x14ac:dyDescent="0.25"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  <c r="CR842" s="106"/>
      <c r="CS842" s="106"/>
      <c r="CT842" s="106"/>
      <c r="CU842" s="106"/>
      <c r="CV842" s="106"/>
      <c r="CW842" s="106"/>
      <c r="CX842" s="106"/>
      <c r="CY842" s="106"/>
      <c r="CZ842" s="106"/>
      <c r="DA842" s="106"/>
      <c r="DB842" s="106"/>
      <c r="DC842" s="106"/>
      <c r="DD842" s="106"/>
      <c r="DE842" s="106"/>
      <c r="DF842" s="106"/>
      <c r="DG842" s="106"/>
      <c r="DH842" s="106"/>
      <c r="DI842" s="106"/>
      <c r="DJ842" s="106"/>
      <c r="DK842" s="106"/>
      <c r="DL842" s="106"/>
      <c r="DM842" s="106"/>
      <c r="DN842" s="106"/>
      <c r="DO842" s="106"/>
      <c r="DP842" s="106"/>
      <c r="DQ842" s="106"/>
      <c r="DR842" s="106"/>
      <c r="DS842" s="106"/>
      <c r="DT842" s="106"/>
      <c r="DU842" s="106"/>
      <c r="DV842" s="106"/>
      <c r="DW842" s="106"/>
      <c r="DX842" s="106"/>
      <c r="DY842" s="106"/>
      <c r="DZ842" s="106"/>
      <c r="EA842" s="106"/>
      <c r="EB842" s="106"/>
      <c r="EC842" s="106"/>
      <c r="ED842" s="106"/>
      <c r="EE842" s="106"/>
      <c r="EF842" s="106"/>
      <c r="EG842" s="106"/>
      <c r="EH842" s="106"/>
      <c r="EI842" s="106"/>
    </row>
    <row r="843" spans="3:139" ht="15.75" customHeight="1" x14ac:dyDescent="0.25"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  <c r="CR843" s="106"/>
      <c r="CS843" s="106"/>
      <c r="CT843" s="106"/>
      <c r="CU843" s="106"/>
      <c r="CV843" s="106"/>
      <c r="CW843" s="106"/>
      <c r="CX843" s="106"/>
      <c r="CY843" s="106"/>
      <c r="CZ843" s="106"/>
      <c r="DA843" s="106"/>
      <c r="DB843" s="106"/>
      <c r="DC843" s="106"/>
      <c r="DD843" s="106"/>
      <c r="DE843" s="106"/>
      <c r="DF843" s="106"/>
      <c r="DG843" s="106"/>
      <c r="DH843" s="106"/>
      <c r="DI843" s="106"/>
      <c r="DJ843" s="106"/>
      <c r="DK843" s="106"/>
      <c r="DL843" s="106"/>
      <c r="DM843" s="106"/>
      <c r="DN843" s="106"/>
      <c r="DO843" s="106"/>
      <c r="DP843" s="106"/>
      <c r="DQ843" s="106"/>
      <c r="DR843" s="106"/>
      <c r="DS843" s="106"/>
      <c r="DT843" s="106"/>
      <c r="DU843" s="106"/>
      <c r="DV843" s="106"/>
      <c r="DW843" s="106"/>
      <c r="DX843" s="106"/>
      <c r="DY843" s="106"/>
      <c r="DZ843" s="106"/>
      <c r="EA843" s="106"/>
      <c r="EB843" s="106"/>
      <c r="EC843" s="106"/>
      <c r="ED843" s="106"/>
      <c r="EE843" s="106"/>
      <c r="EF843" s="106"/>
      <c r="EG843" s="106"/>
      <c r="EH843" s="106"/>
      <c r="EI843" s="106"/>
    </row>
    <row r="844" spans="3:139" ht="15.75" customHeight="1" x14ac:dyDescent="0.25"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  <c r="CR844" s="106"/>
      <c r="CS844" s="106"/>
      <c r="CT844" s="106"/>
      <c r="CU844" s="106"/>
      <c r="CV844" s="106"/>
      <c r="CW844" s="106"/>
      <c r="CX844" s="106"/>
      <c r="CY844" s="106"/>
      <c r="CZ844" s="106"/>
      <c r="DA844" s="106"/>
      <c r="DB844" s="106"/>
      <c r="DC844" s="106"/>
      <c r="DD844" s="106"/>
      <c r="DE844" s="106"/>
      <c r="DF844" s="106"/>
      <c r="DG844" s="106"/>
      <c r="DH844" s="106"/>
      <c r="DI844" s="106"/>
      <c r="DJ844" s="106"/>
      <c r="DK844" s="106"/>
      <c r="DL844" s="106"/>
      <c r="DM844" s="106"/>
      <c r="DN844" s="106"/>
      <c r="DO844" s="106"/>
      <c r="DP844" s="106"/>
      <c r="DQ844" s="106"/>
      <c r="DR844" s="106"/>
      <c r="DS844" s="106"/>
      <c r="DT844" s="106"/>
      <c r="DU844" s="106"/>
      <c r="DV844" s="106"/>
      <c r="DW844" s="106"/>
      <c r="DX844" s="106"/>
      <c r="DY844" s="106"/>
      <c r="DZ844" s="106"/>
      <c r="EA844" s="106"/>
      <c r="EB844" s="106"/>
      <c r="EC844" s="106"/>
      <c r="ED844" s="106"/>
      <c r="EE844" s="106"/>
      <c r="EF844" s="106"/>
      <c r="EG844" s="106"/>
      <c r="EH844" s="106"/>
      <c r="EI844" s="106"/>
    </row>
    <row r="845" spans="3:139" ht="15.75" customHeight="1" x14ac:dyDescent="0.25"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  <c r="CR845" s="106"/>
      <c r="CS845" s="106"/>
      <c r="CT845" s="106"/>
      <c r="CU845" s="106"/>
      <c r="CV845" s="106"/>
      <c r="CW845" s="106"/>
      <c r="CX845" s="106"/>
      <c r="CY845" s="106"/>
      <c r="CZ845" s="106"/>
      <c r="DA845" s="106"/>
      <c r="DB845" s="106"/>
      <c r="DC845" s="106"/>
      <c r="DD845" s="106"/>
      <c r="DE845" s="106"/>
      <c r="DF845" s="106"/>
      <c r="DG845" s="106"/>
      <c r="DH845" s="106"/>
      <c r="DI845" s="106"/>
      <c r="DJ845" s="106"/>
      <c r="DK845" s="106"/>
      <c r="DL845" s="106"/>
      <c r="DM845" s="106"/>
      <c r="DN845" s="106"/>
      <c r="DO845" s="106"/>
      <c r="DP845" s="106"/>
      <c r="DQ845" s="106"/>
      <c r="DR845" s="106"/>
      <c r="DS845" s="106"/>
      <c r="DT845" s="106"/>
      <c r="DU845" s="106"/>
      <c r="DV845" s="106"/>
      <c r="DW845" s="106"/>
      <c r="DX845" s="106"/>
      <c r="DY845" s="106"/>
      <c r="DZ845" s="106"/>
      <c r="EA845" s="106"/>
      <c r="EB845" s="106"/>
      <c r="EC845" s="106"/>
      <c r="ED845" s="106"/>
      <c r="EE845" s="106"/>
      <c r="EF845" s="106"/>
      <c r="EG845" s="106"/>
      <c r="EH845" s="106"/>
      <c r="EI845" s="106"/>
    </row>
    <row r="846" spans="3:139" ht="15.75" customHeight="1" x14ac:dyDescent="0.25"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  <c r="CR846" s="106"/>
      <c r="CS846" s="106"/>
      <c r="CT846" s="106"/>
      <c r="CU846" s="106"/>
      <c r="CV846" s="106"/>
      <c r="CW846" s="106"/>
      <c r="CX846" s="106"/>
      <c r="CY846" s="106"/>
      <c r="CZ846" s="106"/>
      <c r="DA846" s="106"/>
      <c r="DB846" s="106"/>
      <c r="DC846" s="106"/>
      <c r="DD846" s="106"/>
      <c r="DE846" s="106"/>
      <c r="DF846" s="106"/>
      <c r="DG846" s="106"/>
      <c r="DH846" s="106"/>
      <c r="DI846" s="106"/>
      <c r="DJ846" s="106"/>
      <c r="DK846" s="106"/>
      <c r="DL846" s="106"/>
      <c r="DM846" s="106"/>
      <c r="DN846" s="106"/>
      <c r="DO846" s="106"/>
      <c r="DP846" s="106"/>
      <c r="DQ846" s="106"/>
      <c r="DR846" s="106"/>
      <c r="DS846" s="106"/>
      <c r="DT846" s="106"/>
      <c r="DU846" s="106"/>
      <c r="DV846" s="106"/>
      <c r="DW846" s="106"/>
      <c r="DX846" s="106"/>
      <c r="DY846" s="106"/>
      <c r="DZ846" s="106"/>
      <c r="EA846" s="106"/>
      <c r="EB846" s="106"/>
      <c r="EC846" s="106"/>
      <c r="ED846" s="106"/>
      <c r="EE846" s="106"/>
      <c r="EF846" s="106"/>
      <c r="EG846" s="106"/>
      <c r="EH846" s="106"/>
      <c r="EI846" s="106"/>
    </row>
    <row r="847" spans="3:139" ht="15.75" customHeight="1" x14ac:dyDescent="0.25"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  <c r="CR847" s="106"/>
      <c r="CS847" s="106"/>
      <c r="CT847" s="106"/>
      <c r="CU847" s="106"/>
      <c r="CV847" s="106"/>
      <c r="CW847" s="106"/>
      <c r="CX847" s="106"/>
      <c r="CY847" s="106"/>
      <c r="CZ847" s="106"/>
      <c r="DA847" s="106"/>
      <c r="DB847" s="106"/>
      <c r="DC847" s="106"/>
      <c r="DD847" s="106"/>
      <c r="DE847" s="106"/>
      <c r="DF847" s="106"/>
      <c r="DG847" s="106"/>
      <c r="DH847" s="106"/>
      <c r="DI847" s="106"/>
      <c r="DJ847" s="106"/>
      <c r="DK847" s="106"/>
      <c r="DL847" s="106"/>
      <c r="DM847" s="106"/>
      <c r="DN847" s="106"/>
      <c r="DO847" s="106"/>
      <c r="DP847" s="106"/>
      <c r="DQ847" s="106"/>
      <c r="DR847" s="106"/>
      <c r="DS847" s="106"/>
      <c r="DT847" s="106"/>
      <c r="DU847" s="106"/>
      <c r="DV847" s="106"/>
      <c r="DW847" s="106"/>
      <c r="DX847" s="106"/>
      <c r="DY847" s="106"/>
      <c r="DZ847" s="106"/>
      <c r="EA847" s="106"/>
      <c r="EB847" s="106"/>
      <c r="EC847" s="106"/>
      <c r="ED847" s="106"/>
      <c r="EE847" s="106"/>
      <c r="EF847" s="106"/>
      <c r="EG847" s="106"/>
      <c r="EH847" s="106"/>
      <c r="EI847" s="106"/>
    </row>
    <row r="848" spans="3:139" ht="15.75" customHeight="1" x14ac:dyDescent="0.25"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  <c r="CR848" s="106"/>
      <c r="CS848" s="106"/>
      <c r="CT848" s="106"/>
      <c r="CU848" s="106"/>
      <c r="CV848" s="106"/>
      <c r="CW848" s="106"/>
      <c r="CX848" s="106"/>
      <c r="CY848" s="106"/>
      <c r="CZ848" s="106"/>
      <c r="DA848" s="106"/>
      <c r="DB848" s="106"/>
      <c r="DC848" s="106"/>
      <c r="DD848" s="106"/>
      <c r="DE848" s="106"/>
      <c r="DF848" s="106"/>
      <c r="DG848" s="106"/>
      <c r="DH848" s="106"/>
      <c r="DI848" s="106"/>
      <c r="DJ848" s="106"/>
      <c r="DK848" s="106"/>
      <c r="DL848" s="106"/>
      <c r="DM848" s="106"/>
      <c r="DN848" s="106"/>
      <c r="DO848" s="106"/>
      <c r="DP848" s="106"/>
      <c r="DQ848" s="106"/>
      <c r="DR848" s="106"/>
      <c r="DS848" s="106"/>
      <c r="DT848" s="106"/>
      <c r="DU848" s="106"/>
      <c r="DV848" s="106"/>
      <c r="DW848" s="106"/>
      <c r="DX848" s="106"/>
      <c r="DY848" s="106"/>
      <c r="DZ848" s="106"/>
      <c r="EA848" s="106"/>
      <c r="EB848" s="106"/>
      <c r="EC848" s="106"/>
      <c r="ED848" s="106"/>
      <c r="EE848" s="106"/>
      <c r="EF848" s="106"/>
      <c r="EG848" s="106"/>
      <c r="EH848" s="106"/>
      <c r="EI848" s="106"/>
    </row>
    <row r="849" spans="3:139" ht="15.75" customHeight="1" x14ac:dyDescent="0.25"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  <c r="CR849" s="106"/>
      <c r="CS849" s="106"/>
      <c r="CT849" s="106"/>
      <c r="CU849" s="106"/>
      <c r="CV849" s="106"/>
      <c r="CW849" s="106"/>
      <c r="CX849" s="106"/>
      <c r="CY849" s="106"/>
      <c r="CZ849" s="106"/>
      <c r="DA849" s="106"/>
      <c r="DB849" s="106"/>
      <c r="DC849" s="106"/>
      <c r="DD849" s="106"/>
      <c r="DE849" s="106"/>
      <c r="DF849" s="106"/>
      <c r="DG849" s="106"/>
      <c r="DH849" s="106"/>
      <c r="DI849" s="106"/>
      <c r="DJ849" s="106"/>
      <c r="DK849" s="106"/>
      <c r="DL849" s="106"/>
      <c r="DM849" s="106"/>
      <c r="DN849" s="106"/>
      <c r="DO849" s="106"/>
      <c r="DP849" s="106"/>
      <c r="DQ849" s="106"/>
      <c r="DR849" s="106"/>
      <c r="DS849" s="106"/>
      <c r="DT849" s="106"/>
      <c r="DU849" s="106"/>
      <c r="DV849" s="106"/>
      <c r="DW849" s="106"/>
      <c r="DX849" s="106"/>
      <c r="DY849" s="106"/>
      <c r="DZ849" s="106"/>
      <c r="EA849" s="106"/>
      <c r="EB849" s="106"/>
      <c r="EC849" s="106"/>
      <c r="ED849" s="106"/>
      <c r="EE849" s="106"/>
      <c r="EF849" s="106"/>
      <c r="EG849" s="106"/>
      <c r="EH849" s="106"/>
      <c r="EI849" s="106"/>
    </row>
    <row r="850" spans="3:139" ht="15.75" customHeight="1" x14ac:dyDescent="0.25"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  <c r="CR850" s="106"/>
      <c r="CS850" s="106"/>
      <c r="CT850" s="106"/>
      <c r="CU850" s="106"/>
      <c r="CV850" s="106"/>
      <c r="CW850" s="106"/>
      <c r="CX850" s="106"/>
      <c r="CY850" s="106"/>
      <c r="CZ850" s="106"/>
      <c r="DA850" s="106"/>
      <c r="DB850" s="106"/>
      <c r="DC850" s="106"/>
      <c r="DD850" s="106"/>
      <c r="DE850" s="106"/>
      <c r="DF850" s="106"/>
      <c r="DG850" s="106"/>
      <c r="DH850" s="106"/>
      <c r="DI850" s="106"/>
      <c r="DJ850" s="106"/>
      <c r="DK850" s="106"/>
      <c r="DL850" s="106"/>
      <c r="DM850" s="106"/>
      <c r="DN850" s="106"/>
      <c r="DO850" s="106"/>
      <c r="DP850" s="106"/>
      <c r="DQ850" s="106"/>
      <c r="DR850" s="106"/>
      <c r="DS850" s="106"/>
      <c r="DT850" s="106"/>
      <c r="DU850" s="106"/>
      <c r="DV850" s="106"/>
      <c r="DW850" s="106"/>
      <c r="DX850" s="106"/>
      <c r="DY850" s="106"/>
      <c r="DZ850" s="106"/>
      <c r="EA850" s="106"/>
      <c r="EB850" s="106"/>
      <c r="EC850" s="106"/>
      <c r="ED850" s="106"/>
      <c r="EE850" s="106"/>
      <c r="EF850" s="106"/>
      <c r="EG850" s="106"/>
      <c r="EH850" s="106"/>
      <c r="EI850" s="106"/>
    </row>
    <row r="851" spans="3:139" ht="15.75" customHeight="1" x14ac:dyDescent="0.25"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  <c r="CR851" s="106"/>
      <c r="CS851" s="106"/>
      <c r="CT851" s="106"/>
      <c r="CU851" s="106"/>
      <c r="CV851" s="106"/>
      <c r="CW851" s="106"/>
      <c r="CX851" s="106"/>
      <c r="CY851" s="106"/>
      <c r="CZ851" s="106"/>
      <c r="DA851" s="106"/>
      <c r="DB851" s="106"/>
      <c r="DC851" s="106"/>
      <c r="DD851" s="106"/>
      <c r="DE851" s="106"/>
      <c r="DF851" s="106"/>
      <c r="DG851" s="106"/>
      <c r="DH851" s="106"/>
      <c r="DI851" s="106"/>
      <c r="DJ851" s="106"/>
      <c r="DK851" s="106"/>
      <c r="DL851" s="106"/>
      <c r="DM851" s="106"/>
      <c r="DN851" s="106"/>
      <c r="DO851" s="106"/>
      <c r="DP851" s="106"/>
      <c r="DQ851" s="106"/>
      <c r="DR851" s="106"/>
      <c r="DS851" s="106"/>
      <c r="DT851" s="106"/>
      <c r="DU851" s="106"/>
      <c r="DV851" s="106"/>
      <c r="DW851" s="106"/>
      <c r="DX851" s="106"/>
      <c r="DY851" s="106"/>
      <c r="DZ851" s="106"/>
      <c r="EA851" s="106"/>
      <c r="EB851" s="106"/>
      <c r="EC851" s="106"/>
      <c r="ED851" s="106"/>
      <c r="EE851" s="106"/>
      <c r="EF851" s="106"/>
      <c r="EG851" s="106"/>
      <c r="EH851" s="106"/>
      <c r="EI851" s="106"/>
    </row>
    <row r="852" spans="3:139" ht="15.75" customHeight="1" x14ac:dyDescent="0.25"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  <c r="CR852" s="106"/>
      <c r="CS852" s="106"/>
      <c r="CT852" s="106"/>
      <c r="CU852" s="106"/>
      <c r="CV852" s="106"/>
      <c r="CW852" s="106"/>
      <c r="CX852" s="106"/>
      <c r="CY852" s="106"/>
      <c r="CZ852" s="106"/>
      <c r="DA852" s="106"/>
      <c r="DB852" s="106"/>
      <c r="DC852" s="106"/>
      <c r="DD852" s="106"/>
      <c r="DE852" s="106"/>
      <c r="DF852" s="106"/>
      <c r="DG852" s="106"/>
      <c r="DH852" s="106"/>
      <c r="DI852" s="106"/>
      <c r="DJ852" s="106"/>
      <c r="DK852" s="106"/>
      <c r="DL852" s="106"/>
      <c r="DM852" s="106"/>
      <c r="DN852" s="106"/>
      <c r="DO852" s="106"/>
      <c r="DP852" s="106"/>
      <c r="DQ852" s="106"/>
      <c r="DR852" s="106"/>
      <c r="DS852" s="106"/>
      <c r="DT852" s="106"/>
      <c r="DU852" s="106"/>
      <c r="DV852" s="106"/>
      <c r="DW852" s="106"/>
      <c r="DX852" s="106"/>
      <c r="DY852" s="106"/>
      <c r="DZ852" s="106"/>
      <c r="EA852" s="106"/>
      <c r="EB852" s="106"/>
      <c r="EC852" s="106"/>
      <c r="ED852" s="106"/>
      <c r="EE852" s="106"/>
      <c r="EF852" s="106"/>
      <c r="EG852" s="106"/>
      <c r="EH852" s="106"/>
      <c r="EI852" s="106"/>
    </row>
    <row r="853" spans="3:139" ht="15.75" customHeight="1" x14ac:dyDescent="0.25"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  <c r="CR853" s="106"/>
      <c r="CS853" s="106"/>
      <c r="CT853" s="106"/>
      <c r="CU853" s="106"/>
      <c r="CV853" s="106"/>
      <c r="CW853" s="106"/>
      <c r="CX853" s="106"/>
      <c r="CY853" s="106"/>
      <c r="CZ853" s="106"/>
      <c r="DA853" s="106"/>
      <c r="DB853" s="106"/>
      <c r="DC853" s="106"/>
      <c r="DD853" s="106"/>
      <c r="DE853" s="106"/>
      <c r="DF853" s="106"/>
      <c r="DG853" s="106"/>
      <c r="DH853" s="106"/>
      <c r="DI853" s="106"/>
      <c r="DJ853" s="106"/>
      <c r="DK853" s="106"/>
      <c r="DL853" s="106"/>
      <c r="DM853" s="106"/>
      <c r="DN853" s="106"/>
      <c r="DO853" s="106"/>
      <c r="DP853" s="106"/>
      <c r="DQ853" s="106"/>
      <c r="DR853" s="106"/>
      <c r="DS853" s="106"/>
      <c r="DT853" s="106"/>
      <c r="DU853" s="106"/>
      <c r="DV853" s="106"/>
      <c r="DW853" s="106"/>
      <c r="DX853" s="106"/>
      <c r="DY853" s="106"/>
      <c r="DZ853" s="106"/>
      <c r="EA853" s="106"/>
      <c r="EB853" s="106"/>
      <c r="EC853" s="106"/>
      <c r="ED853" s="106"/>
      <c r="EE853" s="106"/>
      <c r="EF853" s="106"/>
      <c r="EG853" s="106"/>
      <c r="EH853" s="106"/>
      <c r="EI853" s="106"/>
    </row>
    <row r="854" spans="3:139" ht="15.75" customHeight="1" x14ac:dyDescent="0.25"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  <c r="CR854" s="106"/>
      <c r="CS854" s="106"/>
      <c r="CT854" s="106"/>
      <c r="CU854" s="106"/>
      <c r="CV854" s="106"/>
      <c r="CW854" s="106"/>
      <c r="CX854" s="106"/>
      <c r="CY854" s="106"/>
      <c r="CZ854" s="106"/>
      <c r="DA854" s="106"/>
      <c r="DB854" s="106"/>
      <c r="DC854" s="106"/>
      <c r="DD854" s="106"/>
      <c r="DE854" s="106"/>
      <c r="DF854" s="106"/>
      <c r="DG854" s="106"/>
      <c r="DH854" s="106"/>
      <c r="DI854" s="106"/>
      <c r="DJ854" s="106"/>
      <c r="DK854" s="106"/>
      <c r="DL854" s="106"/>
      <c r="DM854" s="106"/>
      <c r="DN854" s="106"/>
      <c r="DO854" s="106"/>
      <c r="DP854" s="106"/>
      <c r="DQ854" s="106"/>
      <c r="DR854" s="106"/>
      <c r="DS854" s="106"/>
      <c r="DT854" s="106"/>
      <c r="DU854" s="106"/>
      <c r="DV854" s="106"/>
      <c r="DW854" s="106"/>
      <c r="DX854" s="106"/>
      <c r="DY854" s="106"/>
      <c r="DZ854" s="106"/>
      <c r="EA854" s="106"/>
      <c r="EB854" s="106"/>
      <c r="EC854" s="106"/>
      <c r="ED854" s="106"/>
      <c r="EE854" s="106"/>
      <c r="EF854" s="106"/>
      <c r="EG854" s="106"/>
      <c r="EH854" s="106"/>
      <c r="EI854" s="106"/>
    </row>
    <row r="855" spans="3:139" ht="15.75" customHeight="1" x14ac:dyDescent="0.25"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  <c r="CR855" s="106"/>
      <c r="CS855" s="106"/>
      <c r="CT855" s="106"/>
      <c r="CU855" s="106"/>
      <c r="CV855" s="106"/>
      <c r="CW855" s="106"/>
      <c r="CX855" s="106"/>
      <c r="CY855" s="106"/>
      <c r="CZ855" s="106"/>
      <c r="DA855" s="106"/>
      <c r="DB855" s="106"/>
      <c r="DC855" s="106"/>
      <c r="DD855" s="106"/>
      <c r="DE855" s="106"/>
      <c r="DF855" s="106"/>
      <c r="DG855" s="106"/>
      <c r="DH855" s="106"/>
      <c r="DI855" s="106"/>
      <c r="DJ855" s="106"/>
      <c r="DK855" s="106"/>
      <c r="DL855" s="106"/>
      <c r="DM855" s="106"/>
      <c r="DN855" s="106"/>
      <c r="DO855" s="106"/>
      <c r="DP855" s="106"/>
      <c r="DQ855" s="106"/>
      <c r="DR855" s="106"/>
      <c r="DS855" s="106"/>
      <c r="DT855" s="106"/>
      <c r="DU855" s="106"/>
      <c r="DV855" s="106"/>
      <c r="DW855" s="106"/>
      <c r="DX855" s="106"/>
      <c r="DY855" s="106"/>
      <c r="DZ855" s="106"/>
      <c r="EA855" s="106"/>
      <c r="EB855" s="106"/>
      <c r="EC855" s="106"/>
      <c r="ED855" s="106"/>
      <c r="EE855" s="106"/>
      <c r="EF855" s="106"/>
      <c r="EG855" s="106"/>
      <c r="EH855" s="106"/>
      <c r="EI855" s="106"/>
    </row>
    <row r="856" spans="3:139" ht="15.75" customHeight="1" x14ac:dyDescent="0.25"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  <c r="CR856" s="106"/>
      <c r="CS856" s="106"/>
      <c r="CT856" s="106"/>
      <c r="CU856" s="106"/>
      <c r="CV856" s="106"/>
      <c r="CW856" s="106"/>
      <c r="CX856" s="106"/>
      <c r="CY856" s="106"/>
      <c r="CZ856" s="106"/>
      <c r="DA856" s="106"/>
      <c r="DB856" s="106"/>
      <c r="DC856" s="106"/>
      <c r="DD856" s="106"/>
      <c r="DE856" s="106"/>
      <c r="DF856" s="106"/>
      <c r="DG856" s="106"/>
      <c r="DH856" s="106"/>
      <c r="DI856" s="106"/>
      <c r="DJ856" s="106"/>
      <c r="DK856" s="106"/>
      <c r="DL856" s="106"/>
      <c r="DM856" s="106"/>
      <c r="DN856" s="106"/>
      <c r="DO856" s="106"/>
      <c r="DP856" s="106"/>
      <c r="DQ856" s="106"/>
      <c r="DR856" s="106"/>
      <c r="DS856" s="106"/>
      <c r="DT856" s="106"/>
      <c r="DU856" s="106"/>
      <c r="DV856" s="106"/>
      <c r="DW856" s="106"/>
      <c r="DX856" s="106"/>
      <c r="DY856" s="106"/>
      <c r="DZ856" s="106"/>
      <c r="EA856" s="106"/>
      <c r="EB856" s="106"/>
      <c r="EC856" s="106"/>
      <c r="ED856" s="106"/>
      <c r="EE856" s="106"/>
      <c r="EF856" s="106"/>
      <c r="EG856" s="106"/>
      <c r="EH856" s="106"/>
      <c r="EI856" s="106"/>
    </row>
    <row r="857" spans="3:139" ht="15.75" customHeight="1" x14ac:dyDescent="0.25"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  <c r="CR857" s="106"/>
      <c r="CS857" s="106"/>
      <c r="CT857" s="106"/>
      <c r="CU857" s="106"/>
      <c r="CV857" s="106"/>
      <c r="CW857" s="106"/>
      <c r="CX857" s="106"/>
      <c r="CY857" s="106"/>
      <c r="CZ857" s="106"/>
      <c r="DA857" s="106"/>
      <c r="DB857" s="106"/>
      <c r="DC857" s="106"/>
      <c r="DD857" s="106"/>
      <c r="DE857" s="106"/>
      <c r="DF857" s="106"/>
      <c r="DG857" s="106"/>
      <c r="DH857" s="106"/>
      <c r="DI857" s="106"/>
      <c r="DJ857" s="106"/>
      <c r="DK857" s="106"/>
      <c r="DL857" s="106"/>
      <c r="DM857" s="106"/>
      <c r="DN857" s="106"/>
      <c r="DO857" s="106"/>
      <c r="DP857" s="106"/>
      <c r="DQ857" s="106"/>
      <c r="DR857" s="106"/>
      <c r="DS857" s="106"/>
      <c r="DT857" s="106"/>
      <c r="DU857" s="106"/>
      <c r="DV857" s="106"/>
      <c r="DW857" s="106"/>
      <c r="DX857" s="106"/>
      <c r="DY857" s="106"/>
      <c r="DZ857" s="106"/>
      <c r="EA857" s="106"/>
      <c r="EB857" s="106"/>
      <c r="EC857" s="106"/>
      <c r="ED857" s="106"/>
      <c r="EE857" s="106"/>
      <c r="EF857" s="106"/>
      <c r="EG857" s="106"/>
      <c r="EH857" s="106"/>
      <c r="EI857" s="106"/>
    </row>
    <row r="858" spans="3:139" ht="15.75" customHeight="1" x14ac:dyDescent="0.25"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  <c r="CR858" s="106"/>
      <c r="CS858" s="106"/>
      <c r="CT858" s="106"/>
      <c r="CU858" s="106"/>
      <c r="CV858" s="106"/>
      <c r="CW858" s="106"/>
      <c r="CX858" s="106"/>
      <c r="CY858" s="106"/>
      <c r="CZ858" s="106"/>
      <c r="DA858" s="106"/>
      <c r="DB858" s="106"/>
      <c r="DC858" s="106"/>
      <c r="DD858" s="106"/>
      <c r="DE858" s="106"/>
      <c r="DF858" s="106"/>
      <c r="DG858" s="106"/>
      <c r="DH858" s="106"/>
      <c r="DI858" s="106"/>
      <c r="DJ858" s="106"/>
      <c r="DK858" s="106"/>
      <c r="DL858" s="106"/>
      <c r="DM858" s="106"/>
      <c r="DN858" s="106"/>
      <c r="DO858" s="106"/>
      <c r="DP858" s="106"/>
      <c r="DQ858" s="106"/>
      <c r="DR858" s="106"/>
      <c r="DS858" s="106"/>
      <c r="DT858" s="106"/>
      <c r="DU858" s="106"/>
      <c r="DV858" s="106"/>
      <c r="DW858" s="106"/>
      <c r="DX858" s="106"/>
      <c r="DY858" s="106"/>
      <c r="DZ858" s="106"/>
      <c r="EA858" s="106"/>
      <c r="EB858" s="106"/>
      <c r="EC858" s="106"/>
      <c r="ED858" s="106"/>
      <c r="EE858" s="106"/>
      <c r="EF858" s="106"/>
      <c r="EG858" s="106"/>
      <c r="EH858" s="106"/>
      <c r="EI858" s="106"/>
    </row>
    <row r="859" spans="3:139" ht="15.75" customHeight="1" x14ac:dyDescent="0.25"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  <c r="CR859" s="106"/>
      <c r="CS859" s="106"/>
      <c r="CT859" s="106"/>
      <c r="CU859" s="106"/>
      <c r="CV859" s="106"/>
      <c r="CW859" s="106"/>
      <c r="CX859" s="106"/>
      <c r="CY859" s="106"/>
      <c r="CZ859" s="106"/>
      <c r="DA859" s="106"/>
      <c r="DB859" s="106"/>
      <c r="DC859" s="106"/>
      <c r="DD859" s="106"/>
      <c r="DE859" s="106"/>
      <c r="DF859" s="106"/>
      <c r="DG859" s="106"/>
      <c r="DH859" s="106"/>
      <c r="DI859" s="106"/>
      <c r="DJ859" s="106"/>
      <c r="DK859" s="106"/>
      <c r="DL859" s="106"/>
      <c r="DM859" s="106"/>
      <c r="DN859" s="106"/>
      <c r="DO859" s="106"/>
      <c r="DP859" s="106"/>
      <c r="DQ859" s="106"/>
      <c r="DR859" s="106"/>
      <c r="DS859" s="106"/>
      <c r="DT859" s="106"/>
      <c r="DU859" s="106"/>
      <c r="DV859" s="106"/>
      <c r="DW859" s="106"/>
      <c r="DX859" s="106"/>
      <c r="DY859" s="106"/>
      <c r="DZ859" s="106"/>
      <c r="EA859" s="106"/>
      <c r="EB859" s="106"/>
      <c r="EC859" s="106"/>
      <c r="ED859" s="106"/>
      <c r="EE859" s="106"/>
      <c r="EF859" s="106"/>
      <c r="EG859" s="106"/>
      <c r="EH859" s="106"/>
      <c r="EI859" s="106"/>
    </row>
    <row r="860" spans="3:139" ht="15.75" customHeight="1" x14ac:dyDescent="0.25"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  <c r="CR860" s="106"/>
      <c r="CS860" s="106"/>
      <c r="CT860" s="106"/>
      <c r="CU860" s="106"/>
      <c r="CV860" s="106"/>
      <c r="CW860" s="106"/>
      <c r="CX860" s="106"/>
      <c r="CY860" s="106"/>
      <c r="CZ860" s="106"/>
      <c r="DA860" s="106"/>
      <c r="DB860" s="106"/>
      <c r="DC860" s="106"/>
      <c r="DD860" s="106"/>
      <c r="DE860" s="106"/>
      <c r="DF860" s="106"/>
      <c r="DG860" s="106"/>
      <c r="DH860" s="106"/>
      <c r="DI860" s="106"/>
      <c r="DJ860" s="106"/>
      <c r="DK860" s="106"/>
      <c r="DL860" s="106"/>
      <c r="DM860" s="106"/>
      <c r="DN860" s="106"/>
      <c r="DO860" s="106"/>
      <c r="DP860" s="106"/>
      <c r="DQ860" s="106"/>
      <c r="DR860" s="106"/>
      <c r="DS860" s="106"/>
      <c r="DT860" s="106"/>
      <c r="DU860" s="106"/>
      <c r="DV860" s="106"/>
      <c r="DW860" s="106"/>
      <c r="DX860" s="106"/>
      <c r="DY860" s="106"/>
      <c r="DZ860" s="106"/>
      <c r="EA860" s="106"/>
      <c r="EB860" s="106"/>
      <c r="EC860" s="106"/>
      <c r="ED860" s="106"/>
      <c r="EE860" s="106"/>
      <c r="EF860" s="106"/>
      <c r="EG860" s="106"/>
      <c r="EH860" s="106"/>
      <c r="EI860" s="106"/>
    </row>
    <row r="861" spans="3:139" ht="15.75" customHeight="1" x14ac:dyDescent="0.25"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  <c r="CR861" s="106"/>
      <c r="CS861" s="106"/>
      <c r="CT861" s="106"/>
      <c r="CU861" s="106"/>
      <c r="CV861" s="106"/>
      <c r="CW861" s="106"/>
      <c r="CX861" s="106"/>
      <c r="CY861" s="106"/>
      <c r="CZ861" s="106"/>
      <c r="DA861" s="106"/>
      <c r="DB861" s="106"/>
      <c r="DC861" s="106"/>
      <c r="DD861" s="106"/>
      <c r="DE861" s="106"/>
      <c r="DF861" s="106"/>
      <c r="DG861" s="106"/>
      <c r="DH861" s="106"/>
      <c r="DI861" s="106"/>
      <c r="DJ861" s="106"/>
      <c r="DK861" s="106"/>
      <c r="DL861" s="106"/>
      <c r="DM861" s="106"/>
      <c r="DN861" s="106"/>
      <c r="DO861" s="106"/>
      <c r="DP861" s="106"/>
      <c r="DQ861" s="106"/>
      <c r="DR861" s="106"/>
      <c r="DS861" s="106"/>
      <c r="DT861" s="106"/>
      <c r="DU861" s="106"/>
      <c r="DV861" s="106"/>
      <c r="DW861" s="106"/>
      <c r="DX861" s="106"/>
      <c r="DY861" s="106"/>
      <c r="DZ861" s="106"/>
      <c r="EA861" s="106"/>
      <c r="EB861" s="106"/>
      <c r="EC861" s="106"/>
      <c r="ED861" s="106"/>
      <c r="EE861" s="106"/>
      <c r="EF861" s="106"/>
      <c r="EG861" s="106"/>
      <c r="EH861" s="106"/>
      <c r="EI861" s="106"/>
    </row>
    <row r="862" spans="3:139" ht="15.75" customHeight="1" x14ac:dyDescent="0.25"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  <c r="CR862" s="106"/>
      <c r="CS862" s="106"/>
      <c r="CT862" s="106"/>
      <c r="CU862" s="106"/>
      <c r="CV862" s="106"/>
      <c r="CW862" s="106"/>
      <c r="CX862" s="106"/>
      <c r="CY862" s="106"/>
      <c r="CZ862" s="106"/>
      <c r="DA862" s="106"/>
      <c r="DB862" s="106"/>
      <c r="DC862" s="106"/>
      <c r="DD862" s="106"/>
      <c r="DE862" s="106"/>
      <c r="DF862" s="106"/>
      <c r="DG862" s="106"/>
      <c r="DH862" s="106"/>
      <c r="DI862" s="106"/>
      <c r="DJ862" s="106"/>
      <c r="DK862" s="106"/>
      <c r="DL862" s="106"/>
      <c r="DM862" s="106"/>
      <c r="DN862" s="106"/>
      <c r="DO862" s="106"/>
      <c r="DP862" s="106"/>
      <c r="DQ862" s="106"/>
      <c r="DR862" s="106"/>
      <c r="DS862" s="106"/>
      <c r="DT862" s="106"/>
      <c r="DU862" s="106"/>
      <c r="DV862" s="106"/>
      <c r="DW862" s="106"/>
      <c r="DX862" s="106"/>
      <c r="DY862" s="106"/>
      <c r="DZ862" s="106"/>
      <c r="EA862" s="106"/>
      <c r="EB862" s="106"/>
      <c r="EC862" s="106"/>
      <c r="ED862" s="106"/>
      <c r="EE862" s="106"/>
      <c r="EF862" s="106"/>
      <c r="EG862" s="106"/>
      <c r="EH862" s="106"/>
      <c r="EI862" s="106"/>
    </row>
    <row r="863" spans="3:139" ht="15.75" customHeight="1" x14ac:dyDescent="0.25"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  <c r="CR863" s="106"/>
      <c r="CS863" s="106"/>
      <c r="CT863" s="106"/>
      <c r="CU863" s="106"/>
      <c r="CV863" s="106"/>
      <c r="CW863" s="106"/>
      <c r="CX863" s="106"/>
      <c r="CY863" s="106"/>
      <c r="CZ863" s="106"/>
      <c r="DA863" s="106"/>
      <c r="DB863" s="106"/>
      <c r="DC863" s="106"/>
      <c r="DD863" s="106"/>
      <c r="DE863" s="106"/>
      <c r="DF863" s="106"/>
      <c r="DG863" s="106"/>
      <c r="DH863" s="106"/>
      <c r="DI863" s="106"/>
      <c r="DJ863" s="106"/>
      <c r="DK863" s="106"/>
      <c r="DL863" s="106"/>
      <c r="DM863" s="106"/>
      <c r="DN863" s="106"/>
      <c r="DO863" s="106"/>
      <c r="DP863" s="106"/>
      <c r="DQ863" s="106"/>
      <c r="DR863" s="106"/>
      <c r="DS863" s="106"/>
      <c r="DT863" s="106"/>
      <c r="DU863" s="106"/>
      <c r="DV863" s="106"/>
      <c r="DW863" s="106"/>
      <c r="DX863" s="106"/>
      <c r="DY863" s="106"/>
      <c r="DZ863" s="106"/>
      <c r="EA863" s="106"/>
      <c r="EB863" s="106"/>
      <c r="EC863" s="106"/>
      <c r="ED863" s="106"/>
      <c r="EE863" s="106"/>
      <c r="EF863" s="106"/>
      <c r="EG863" s="106"/>
      <c r="EH863" s="106"/>
      <c r="EI863" s="106"/>
    </row>
    <row r="864" spans="3:139" ht="15.75" customHeight="1" x14ac:dyDescent="0.25"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  <c r="CR864" s="106"/>
      <c r="CS864" s="106"/>
      <c r="CT864" s="106"/>
      <c r="CU864" s="106"/>
      <c r="CV864" s="106"/>
      <c r="CW864" s="106"/>
      <c r="CX864" s="106"/>
      <c r="CY864" s="106"/>
      <c r="CZ864" s="106"/>
      <c r="DA864" s="106"/>
      <c r="DB864" s="106"/>
      <c r="DC864" s="106"/>
      <c r="DD864" s="106"/>
      <c r="DE864" s="106"/>
      <c r="DF864" s="106"/>
      <c r="DG864" s="106"/>
      <c r="DH864" s="106"/>
      <c r="DI864" s="106"/>
      <c r="DJ864" s="106"/>
      <c r="DK864" s="106"/>
      <c r="DL864" s="106"/>
      <c r="DM864" s="106"/>
      <c r="DN864" s="106"/>
      <c r="DO864" s="106"/>
      <c r="DP864" s="106"/>
      <c r="DQ864" s="106"/>
      <c r="DR864" s="106"/>
      <c r="DS864" s="106"/>
      <c r="DT864" s="106"/>
      <c r="DU864" s="106"/>
      <c r="DV864" s="106"/>
      <c r="DW864" s="106"/>
      <c r="DX864" s="106"/>
      <c r="DY864" s="106"/>
      <c r="DZ864" s="106"/>
      <c r="EA864" s="106"/>
      <c r="EB864" s="106"/>
      <c r="EC864" s="106"/>
      <c r="ED864" s="106"/>
      <c r="EE864" s="106"/>
      <c r="EF864" s="106"/>
      <c r="EG864" s="106"/>
      <c r="EH864" s="106"/>
      <c r="EI864" s="106"/>
    </row>
    <row r="865" spans="3:139" ht="15.75" customHeight="1" x14ac:dyDescent="0.25"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  <c r="CR865" s="106"/>
      <c r="CS865" s="106"/>
      <c r="CT865" s="106"/>
      <c r="CU865" s="106"/>
      <c r="CV865" s="106"/>
      <c r="CW865" s="106"/>
      <c r="CX865" s="106"/>
      <c r="CY865" s="106"/>
      <c r="CZ865" s="106"/>
      <c r="DA865" s="106"/>
      <c r="DB865" s="106"/>
      <c r="DC865" s="106"/>
      <c r="DD865" s="106"/>
      <c r="DE865" s="106"/>
      <c r="DF865" s="106"/>
      <c r="DG865" s="106"/>
      <c r="DH865" s="106"/>
      <c r="DI865" s="106"/>
      <c r="DJ865" s="106"/>
      <c r="DK865" s="106"/>
      <c r="DL865" s="106"/>
      <c r="DM865" s="106"/>
      <c r="DN865" s="106"/>
      <c r="DO865" s="106"/>
      <c r="DP865" s="106"/>
      <c r="DQ865" s="106"/>
      <c r="DR865" s="106"/>
      <c r="DS865" s="106"/>
      <c r="DT865" s="106"/>
      <c r="DU865" s="106"/>
      <c r="DV865" s="106"/>
      <c r="DW865" s="106"/>
      <c r="DX865" s="106"/>
      <c r="DY865" s="106"/>
      <c r="DZ865" s="106"/>
      <c r="EA865" s="106"/>
      <c r="EB865" s="106"/>
      <c r="EC865" s="106"/>
      <c r="ED865" s="106"/>
      <c r="EE865" s="106"/>
      <c r="EF865" s="106"/>
      <c r="EG865" s="106"/>
      <c r="EH865" s="106"/>
      <c r="EI865" s="106"/>
    </row>
    <row r="866" spans="3:139" ht="15.75" customHeight="1" x14ac:dyDescent="0.25"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  <c r="CR866" s="106"/>
      <c r="CS866" s="106"/>
      <c r="CT866" s="106"/>
      <c r="CU866" s="106"/>
      <c r="CV866" s="106"/>
      <c r="CW866" s="106"/>
      <c r="CX866" s="106"/>
      <c r="CY866" s="106"/>
      <c r="CZ866" s="106"/>
      <c r="DA866" s="106"/>
      <c r="DB866" s="106"/>
      <c r="DC866" s="106"/>
      <c r="DD866" s="106"/>
      <c r="DE866" s="106"/>
      <c r="DF866" s="106"/>
      <c r="DG866" s="106"/>
      <c r="DH866" s="106"/>
      <c r="DI866" s="106"/>
      <c r="DJ866" s="106"/>
      <c r="DK866" s="106"/>
      <c r="DL866" s="106"/>
      <c r="DM866" s="106"/>
      <c r="DN866" s="106"/>
      <c r="DO866" s="106"/>
      <c r="DP866" s="106"/>
      <c r="DQ866" s="106"/>
      <c r="DR866" s="106"/>
      <c r="DS866" s="106"/>
      <c r="DT866" s="106"/>
      <c r="DU866" s="106"/>
      <c r="DV866" s="106"/>
      <c r="DW866" s="106"/>
      <c r="DX866" s="106"/>
      <c r="DY866" s="106"/>
      <c r="DZ866" s="106"/>
      <c r="EA866" s="106"/>
      <c r="EB866" s="106"/>
      <c r="EC866" s="106"/>
      <c r="ED866" s="106"/>
      <c r="EE866" s="106"/>
      <c r="EF866" s="106"/>
      <c r="EG866" s="106"/>
      <c r="EH866" s="106"/>
      <c r="EI866" s="106"/>
    </row>
    <row r="867" spans="3:139" ht="15.75" customHeight="1" x14ac:dyDescent="0.25"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  <c r="CR867" s="106"/>
      <c r="CS867" s="106"/>
      <c r="CT867" s="106"/>
      <c r="CU867" s="106"/>
      <c r="CV867" s="106"/>
      <c r="CW867" s="106"/>
      <c r="CX867" s="106"/>
      <c r="CY867" s="106"/>
      <c r="CZ867" s="106"/>
      <c r="DA867" s="106"/>
      <c r="DB867" s="106"/>
      <c r="DC867" s="106"/>
      <c r="DD867" s="106"/>
      <c r="DE867" s="106"/>
      <c r="DF867" s="106"/>
      <c r="DG867" s="106"/>
      <c r="DH867" s="106"/>
      <c r="DI867" s="106"/>
      <c r="DJ867" s="106"/>
      <c r="DK867" s="106"/>
      <c r="DL867" s="106"/>
      <c r="DM867" s="106"/>
      <c r="DN867" s="106"/>
      <c r="DO867" s="106"/>
      <c r="DP867" s="106"/>
      <c r="DQ867" s="106"/>
      <c r="DR867" s="106"/>
      <c r="DS867" s="106"/>
      <c r="DT867" s="106"/>
      <c r="DU867" s="106"/>
      <c r="DV867" s="106"/>
      <c r="DW867" s="106"/>
      <c r="DX867" s="106"/>
      <c r="DY867" s="106"/>
      <c r="DZ867" s="106"/>
      <c r="EA867" s="106"/>
      <c r="EB867" s="106"/>
      <c r="EC867" s="106"/>
      <c r="ED867" s="106"/>
      <c r="EE867" s="106"/>
      <c r="EF867" s="106"/>
      <c r="EG867" s="106"/>
      <c r="EH867" s="106"/>
      <c r="EI867" s="106"/>
    </row>
    <row r="868" spans="3:139" ht="15.75" customHeight="1" x14ac:dyDescent="0.25"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  <c r="CR868" s="106"/>
      <c r="CS868" s="106"/>
      <c r="CT868" s="106"/>
      <c r="CU868" s="106"/>
      <c r="CV868" s="106"/>
      <c r="CW868" s="106"/>
      <c r="CX868" s="106"/>
      <c r="CY868" s="106"/>
      <c r="CZ868" s="106"/>
      <c r="DA868" s="106"/>
      <c r="DB868" s="106"/>
      <c r="DC868" s="106"/>
      <c r="DD868" s="106"/>
      <c r="DE868" s="106"/>
      <c r="DF868" s="106"/>
      <c r="DG868" s="106"/>
      <c r="DH868" s="106"/>
      <c r="DI868" s="106"/>
      <c r="DJ868" s="106"/>
      <c r="DK868" s="106"/>
      <c r="DL868" s="106"/>
      <c r="DM868" s="106"/>
      <c r="DN868" s="106"/>
      <c r="DO868" s="106"/>
      <c r="DP868" s="106"/>
      <c r="DQ868" s="106"/>
      <c r="DR868" s="106"/>
      <c r="DS868" s="106"/>
      <c r="DT868" s="106"/>
      <c r="DU868" s="106"/>
      <c r="DV868" s="106"/>
      <c r="DW868" s="106"/>
      <c r="DX868" s="106"/>
      <c r="DY868" s="106"/>
      <c r="DZ868" s="106"/>
      <c r="EA868" s="106"/>
      <c r="EB868" s="106"/>
      <c r="EC868" s="106"/>
      <c r="ED868" s="106"/>
      <c r="EE868" s="106"/>
      <c r="EF868" s="106"/>
      <c r="EG868" s="106"/>
      <c r="EH868" s="106"/>
      <c r="EI868" s="106"/>
    </row>
    <row r="869" spans="3:139" ht="15.75" customHeight="1" x14ac:dyDescent="0.25"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  <c r="CR869" s="106"/>
      <c r="CS869" s="106"/>
      <c r="CT869" s="106"/>
      <c r="CU869" s="106"/>
      <c r="CV869" s="106"/>
      <c r="CW869" s="106"/>
      <c r="CX869" s="106"/>
      <c r="CY869" s="106"/>
      <c r="CZ869" s="106"/>
      <c r="DA869" s="106"/>
      <c r="DB869" s="106"/>
      <c r="DC869" s="106"/>
      <c r="DD869" s="106"/>
      <c r="DE869" s="106"/>
      <c r="DF869" s="106"/>
      <c r="DG869" s="106"/>
      <c r="DH869" s="106"/>
      <c r="DI869" s="106"/>
      <c r="DJ869" s="106"/>
      <c r="DK869" s="106"/>
      <c r="DL869" s="106"/>
      <c r="DM869" s="106"/>
      <c r="DN869" s="106"/>
      <c r="DO869" s="106"/>
      <c r="DP869" s="106"/>
      <c r="DQ869" s="106"/>
      <c r="DR869" s="106"/>
      <c r="DS869" s="106"/>
      <c r="DT869" s="106"/>
      <c r="DU869" s="106"/>
      <c r="DV869" s="106"/>
      <c r="DW869" s="106"/>
      <c r="DX869" s="106"/>
      <c r="DY869" s="106"/>
      <c r="DZ869" s="106"/>
      <c r="EA869" s="106"/>
      <c r="EB869" s="106"/>
      <c r="EC869" s="106"/>
      <c r="ED869" s="106"/>
      <c r="EE869" s="106"/>
      <c r="EF869" s="106"/>
      <c r="EG869" s="106"/>
      <c r="EH869" s="106"/>
      <c r="EI869" s="106"/>
    </row>
    <row r="870" spans="3:139" ht="15.75" customHeight="1" x14ac:dyDescent="0.25"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  <c r="CR870" s="106"/>
      <c r="CS870" s="106"/>
      <c r="CT870" s="106"/>
      <c r="CU870" s="106"/>
      <c r="CV870" s="106"/>
      <c r="CW870" s="106"/>
      <c r="CX870" s="106"/>
      <c r="CY870" s="106"/>
      <c r="CZ870" s="106"/>
      <c r="DA870" s="106"/>
      <c r="DB870" s="106"/>
      <c r="DC870" s="106"/>
      <c r="DD870" s="106"/>
      <c r="DE870" s="106"/>
      <c r="DF870" s="106"/>
      <c r="DG870" s="106"/>
      <c r="DH870" s="106"/>
      <c r="DI870" s="106"/>
      <c r="DJ870" s="106"/>
      <c r="DK870" s="106"/>
      <c r="DL870" s="106"/>
      <c r="DM870" s="106"/>
      <c r="DN870" s="106"/>
      <c r="DO870" s="106"/>
      <c r="DP870" s="106"/>
      <c r="DQ870" s="106"/>
      <c r="DR870" s="106"/>
      <c r="DS870" s="106"/>
      <c r="DT870" s="106"/>
      <c r="DU870" s="106"/>
      <c r="DV870" s="106"/>
      <c r="DW870" s="106"/>
      <c r="DX870" s="106"/>
      <c r="DY870" s="106"/>
      <c r="DZ870" s="106"/>
      <c r="EA870" s="106"/>
      <c r="EB870" s="106"/>
      <c r="EC870" s="106"/>
      <c r="ED870" s="106"/>
      <c r="EE870" s="106"/>
      <c r="EF870" s="106"/>
      <c r="EG870" s="106"/>
      <c r="EH870" s="106"/>
      <c r="EI870" s="106"/>
    </row>
    <row r="871" spans="3:139" ht="15.75" customHeight="1" x14ac:dyDescent="0.25"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  <c r="CR871" s="106"/>
      <c r="CS871" s="106"/>
      <c r="CT871" s="106"/>
      <c r="CU871" s="106"/>
      <c r="CV871" s="106"/>
      <c r="CW871" s="106"/>
      <c r="CX871" s="106"/>
      <c r="CY871" s="106"/>
      <c r="CZ871" s="106"/>
      <c r="DA871" s="106"/>
      <c r="DB871" s="106"/>
      <c r="DC871" s="106"/>
      <c r="DD871" s="106"/>
      <c r="DE871" s="106"/>
      <c r="DF871" s="106"/>
      <c r="DG871" s="106"/>
      <c r="DH871" s="106"/>
      <c r="DI871" s="106"/>
      <c r="DJ871" s="106"/>
      <c r="DK871" s="106"/>
      <c r="DL871" s="106"/>
      <c r="DM871" s="106"/>
      <c r="DN871" s="106"/>
      <c r="DO871" s="106"/>
      <c r="DP871" s="106"/>
      <c r="DQ871" s="106"/>
      <c r="DR871" s="106"/>
      <c r="DS871" s="106"/>
      <c r="DT871" s="106"/>
      <c r="DU871" s="106"/>
      <c r="DV871" s="106"/>
      <c r="DW871" s="106"/>
      <c r="DX871" s="106"/>
      <c r="DY871" s="106"/>
      <c r="DZ871" s="106"/>
      <c r="EA871" s="106"/>
      <c r="EB871" s="106"/>
      <c r="EC871" s="106"/>
      <c r="ED871" s="106"/>
      <c r="EE871" s="106"/>
      <c r="EF871" s="106"/>
      <c r="EG871" s="106"/>
      <c r="EH871" s="106"/>
      <c r="EI871" s="106"/>
    </row>
    <row r="872" spans="3:139" ht="15.75" customHeight="1" x14ac:dyDescent="0.25"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  <c r="CR872" s="106"/>
      <c r="CS872" s="106"/>
      <c r="CT872" s="106"/>
      <c r="CU872" s="106"/>
      <c r="CV872" s="106"/>
      <c r="CW872" s="106"/>
      <c r="CX872" s="106"/>
      <c r="CY872" s="106"/>
      <c r="CZ872" s="106"/>
      <c r="DA872" s="106"/>
      <c r="DB872" s="106"/>
      <c r="DC872" s="106"/>
      <c r="DD872" s="106"/>
      <c r="DE872" s="106"/>
      <c r="DF872" s="106"/>
      <c r="DG872" s="106"/>
      <c r="DH872" s="106"/>
      <c r="DI872" s="106"/>
      <c r="DJ872" s="106"/>
      <c r="DK872" s="106"/>
      <c r="DL872" s="106"/>
      <c r="DM872" s="106"/>
      <c r="DN872" s="106"/>
      <c r="DO872" s="106"/>
      <c r="DP872" s="106"/>
      <c r="DQ872" s="106"/>
      <c r="DR872" s="106"/>
      <c r="DS872" s="106"/>
      <c r="DT872" s="106"/>
      <c r="DU872" s="106"/>
      <c r="DV872" s="106"/>
      <c r="DW872" s="106"/>
      <c r="DX872" s="106"/>
      <c r="DY872" s="106"/>
      <c r="DZ872" s="106"/>
      <c r="EA872" s="106"/>
      <c r="EB872" s="106"/>
      <c r="EC872" s="106"/>
      <c r="ED872" s="106"/>
      <c r="EE872" s="106"/>
      <c r="EF872" s="106"/>
      <c r="EG872" s="106"/>
      <c r="EH872" s="106"/>
      <c r="EI872" s="106"/>
    </row>
    <row r="873" spans="3:139" ht="15.75" customHeight="1" x14ac:dyDescent="0.25"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  <c r="CR873" s="106"/>
      <c r="CS873" s="106"/>
      <c r="CT873" s="106"/>
      <c r="CU873" s="106"/>
      <c r="CV873" s="106"/>
      <c r="CW873" s="106"/>
      <c r="CX873" s="106"/>
      <c r="CY873" s="106"/>
      <c r="CZ873" s="106"/>
      <c r="DA873" s="106"/>
      <c r="DB873" s="106"/>
      <c r="DC873" s="106"/>
      <c r="DD873" s="106"/>
      <c r="DE873" s="106"/>
      <c r="DF873" s="106"/>
      <c r="DG873" s="106"/>
      <c r="DH873" s="106"/>
      <c r="DI873" s="106"/>
      <c r="DJ873" s="106"/>
      <c r="DK873" s="106"/>
      <c r="DL873" s="106"/>
      <c r="DM873" s="106"/>
      <c r="DN873" s="106"/>
      <c r="DO873" s="106"/>
      <c r="DP873" s="106"/>
      <c r="DQ873" s="106"/>
      <c r="DR873" s="106"/>
      <c r="DS873" s="106"/>
      <c r="DT873" s="106"/>
      <c r="DU873" s="106"/>
      <c r="DV873" s="106"/>
      <c r="DW873" s="106"/>
      <c r="DX873" s="106"/>
      <c r="DY873" s="106"/>
      <c r="DZ873" s="106"/>
      <c r="EA873" s="106"/>
      <c r="EB873" s="106"/>
      <c r="EC873" s="106"/>
      <c r="ED873" s="106"/>
      <c r="EE873" s="106"/>
      <c r="EF873" s="106"/>
      <c r="EG873" s="106"/>
      <c r="EH873" s="106"/>
      <c r="EI873" s="106"/>
    </row>
    <row r="874" spans="3:139" ht="15.75" customHeight="1" x14ac:dyDescent="0.25"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  <c r="CR874" s="106"/>
      <c r="CS874" s="106"/>
      <c r="CT874" s="106"/>
      <c r="CU874" s="106"/>
      <c r="CV874" s="106"/>
      <c r="CW874" s="106"/>
      <c r="CX874" s="106"/>
      <c r="CY874" s="106"/>
      <c r="CZ874" s="106"/>
      <c r="DA874" s="106"/>
      <c r="DB874" s="106"/>
      <c r="DC874" s="106"/>
      <c r="DD874" s="106"/>
      <c r="DE874" s="106"/>
      <c r="DF874" s="106"/>
      <c r="DG874" s="106"/>
      <c r="DH874" s="106"/>
      <c r="DI874" s="106"/>
      <c r="DJ874" s="106"/>
      <c r="DK874" s="106"/>
      <c r="DL874" s="106"/>
      <c r="DM874" s="106"/>
      <c r="DN874" s="106"/>
      <c r="DO874" s="106"/>
      <c r="DP874" s="106"/>
      <c r="DQ874" s="106"/>
      <c r="DR874" s="106"/>
      <c r="DS874" s="106"/>
      <c r="DT874" s="106"/>
      <c r="DU874" s="106"/>
      <c r="DV874" s="106"/>
      <c r="DW874" s="106"/>
      <c r="DX874" s="106"/>
      <c r="DY874" s="106"/>
      <c r="DZ874" s="106"/>
      <c r="EA874" s="106"/>
      <c r="EB874" s="106"/>
      <c r="EC874" s="106"/>
      <c r="ED874" s="106"/>
      <c r="EE874" s="106"/>
      <c r="EF874" s="106"/>
      <c r="EG874" s="106"/>
      <c r="EH874" s="106"/>
      <c r="EI874" s="106"/>
    </row>
    <row r="875" spans="3:139" ht="15.75" customHeight="1" x14ac:dyDescent="0.25"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  <c r="CR875" s="106"/>
      <c r="CS875" s="106"/>
      <c r="CT875" s="106"/>
      <c r="CU875" s="106"/>
      <c r="CV875" s="106"/>
      <c r="CW875" s="106"/>
      <c r="CX875" s="106"/>
      <c r="CY875" s="106"/>
      <c r="CZ875" s="106"/>
      <c r="DA875" s="106"/>
      <c r="DB875" s="106"/>
      <c r="DC875" s="106"/>
      <c r="DD875" s="106"/>
      <c r="DE875" s="106"/>
      <c r="DF875" s="106"/>
      <c r="DG875" s="106"/>
      <c r="DH875" s="106"/>
      <c r="DI875" s="106"/>
      <c r="DJ875" s="106"/>
      <c r="DK875" s="106"/>
      <c r="DL875" s="106"/>
      <c r="DM875" s="106"/>
      <c r="DN875" s="106"/>
      <c r="DO875" s="106"/>
      <c r="DP875" s="106"/>
      <c r="DQ875" s="106"/>
      <c r="DR875" s="106"/>
      <c r="DS875" s="106"/>
      <c r="DT875" s="106"/>
      <c r="DU875" s="106"/>
      <c r="DV875" s="106"/>
      <c r="DW875" s="106"/>
      <c r="DX875" s="106"/>
      <c r="DY875" s="106"/>
      <c r="DZ875" s="106"/>
      <c r="EA875" s="106"/>
      <c r="EB875" s="106"/>
      <c r="EC875" s="106"/>
      <c r="ED875" s="106"/>
      <c r="EE875" s="106"/>
      <c r="EF875" s="106"/>
      <c r="EG875" s="106"/>
      <c r="EH875" s="106"/>
      <c r="EI875" s="106"/>
    </row>
    <row r="876" spans="3:139" ht="15.75" customHeight="1" x14ac:dyDescent="0.25"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  <c r="CR876" s="106"/>
      <c r="CS876" s="106"/>
      <c r="CT876" s="106"/>
      <c r="CU876" s="106"/>
      <c r="CV876" s="106"/>
      <c r="CW876" s="106"/>
      <c r="CX876" s="106"/>
      <c r="CY876" s="106"/>
      <c r="CZ876" s="106"/>
      <c r="DA876" s="106"/>
      <c r="DB876" s="106"/>
      <c r="DC876" s="106"/>
      <c r="DD876" s="106"/>
      <c r="DE876" s="106"/>
      <c r="DF876" s="106"/>
      <c r="DG876" s="106"/>
      <c r="DH876" s="106"/>
      <c r="DI876" s="106"/>
      <c r="DJ876" s="106"/>
      <c r="DK876" s="106"/>
      <c r="DL876" s="106"/>
      <c r="DM876" s="106"/>
      <c r="DN876" s="106"/>
      <c r="DO876" s="106"/>
      <c r="DP876" s="106"/>
      <c r="DQ876" s="106"/>
      <c r="DR876" s="106"/>
      <c r="DS876" s="106"/>
      <c r="DT876" s="106"/>
      <c r="DU876" s="106"/>
      <c r="DV876" s="106"/>
      <c r="DW876" s="106"/>
      <c r="DX876" s="106"/>
      <c r="DY876" s="106"/>
      <c r="DZ876" s="106"/>
      <c r="EA876" s="106"/>
      <c r="EB876" s="106"/>
      <c r="EC876" s="106"/>
      <c r="ED876" s="106"/>
      <c r="EE876" s="106"/>
      <c r="EF876" s="106"/>
      <c r="EG876" s="106"/>
      <c r="EH876" s="106"/>
      <c r="EI876" s="106"/>
    </row>
    <row r="877" spans="3:139" ht="15.75" customHeight="1" x14ac:dyDescent="0.25"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  <c r="CR877" s="106"/>
      <c r="CS877" s="106"/>
      <c r="CT877" s="106"/>
      <c r="CU877" s="106"/>
      <c r="CV877" s="106"/>
      <c r="CW877" s="106"/>
      <c r="CX877" s="106"/>
      <c r="CY877" s="106"/>
      <c r="CZ877" s="106"/>
      <c r="DA877" s="106"/>
      <c r="DB877" s="106"/>
      <c r="DC877" s="106"/>
      <c r="DD877" s="106"/>
      <c r="DE877" s="106"/>
      <c r="DF877" s="106"/>
      <c r="DG877" s="106"/>
      <c r="DH877" s="106"/>
      <c r="DI877" s="106"/>
      <c r="DJ877" s="106"/>
      <c r="DK877" s="106"/>
      <c r="DL877" s="106"/>
      <c r="DM877" s="106"/>
      <c r="DN877" s="106"/>
      <c r="DO877" s="106"/>
      <c r="DP877" s="106"/>
      <c r="DQ877" s="106"/>
      <c r="DR877" s="106"/>
      <c r="DS877" s="106"/>
      <c r="DT877" s="106"/>
      <c r="DU877" s="106"/>
      <c r="DV877" s="106"/>
      <c r="DW877" s="106"/>
      <c r="DX877" s="106"/>
      <c r="DY877" s="106"/>
      <c r="DZ877" s="106"/>
      <c r="EA877" s="106"/>
      <c r="EB877" s="106"/>
      <c r="EC877" s="106"/>
      <c r="ED877" s="106"/>
      <c r="EE877" s="106"/>
      <c r="EF877" s="106"/>
      <c r="EG877" s="106"/>
      <c r="EH877" s="106"/>
      <c r="EI877" s="106"/>
    </row>
    <row r="878" spans="3:139" ht="15.75" customHeight="1" x14ac:dyDescent="0.25"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  <c r="CR878" s="106"/>
      <c r="CS878" s="106"/>
      <c r="CT878" s="106"/>
      <c r="CU878" s="106"/>
      <c r="CV878" s="106"/>
      <c r="CW878" s="106"/>
      <c r="CX878" s="106"/>
      <c r="CY878" s="106"/>
      <c r="CZ878" s="106"/>
      <c r="DA878" s="106"/>
      <c r="DB878" s="106"/>
      <c r="DC878" s="106"/>
      <c r="DD878" s="106"/>
      <c r="DE878" s="106"/>
      <c r="DF878" s="106"/>
      <c r="DG878" s="106"/>
      <c r="DH878" s="106"/>
      <c r="DI878" s="106"/>
      <c r="DJ878" s="106"/>
      <c r="DK878" s="106"/>
      <c r="DL878" s="106"/>
      <c r="DM878" s="106"/>
      <c r="DN878" s="106"/>
      <c r="DO878" s="106"/>
      <c r="DP878" s="106"/>
      <c r="DQ878" s="106"/>
      <c r="DR878" s="106"/>
      <c r="DS878" s="106"/>
      <c r="DT878" s="106"/>
      <c r="DU878" s="106"/>
      <c r="DV878" s="106"/>
      <c r="DW878" s="106"/>
      <c r="DX878" s="106"/>
      <c r="DY878" s="106"/>
      <c r="DZ878" s="106"/>
      <c r="EA878" s="106"/>
      <c r="EB878" s="106"/>
      <c r="EC878" s="106"/>
      <c r="ED878" s="106"/>
      <c r="EE878" s="106"/>
      <c r="EF878" s="106"/>
      <c r="EG878" s="106"/>
      <c r="EH878" s="106"/>
      <c r="EI878" s="106"/>
    </row>
    <row r="879" spans="3:139" ht="15.75" customHeight="1" x14ac:dyDescent="0.25"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  <c r="CR879" s="106"/>
      <c r="CS879" s="106"/>
      <c r="CT879" s="106"/>
      <c r="CU879" s="106"/>
      <c r="CV879" s="106"/>
      <c r="CW879" s="106"/>
      <c r="CX879" s="106"/>
      <c r="CY879" s="106"/>
      <c r="CZ879" s="106"/>
      <c r="DA879" s="106"/>
      <c r="DB879" s="106"/>
      <c r="DC879" s="106"/>
      <c r="DD879" s="106"/>
      <c r="DE879" s="106"/>
      <c r="DF879" s="106"/>
      <c r="DG879" s="106"/>
      <c r="DH879" s="106"/>
      <c r="DI879" s="106"/>
      <c r="DJ879" s="106"/>
      <c r="DK879" s="106"/>
      <c r="DL879" s="106"/>
      <c r="DM879" s="106"/>
      <c r="DN879" s="106"/>
      <c r="DO879" s="106"/>
      <c r="DP879" s="106"/>
      <c r="DQ879" s="106"/>
      <c r="DR879" s="106"/>
      <c r="DS879" s="106"/>
      <c r="DT879" s="106"/>
      <c r="DU879" s="106"/>
      <c r="DV879" s="106"/>
      <c r="DW879" s="106"/>
      <c r="DX879" s="106"/>
      <c r="DY879" s="106"/>
      <c r="DZ879" s="106"/>
      <c r="EA879" s="106"/>
      <c r="EB879" s="106"/>
      <c r="EC879" s="106"/>
      <c r="ED879" s="106"/>
      <c r="EE879" s="106"/>
      <c r="EF879" s="106"/>
      <c r="EG879" s="106"/>
      <c r="EH879" s="106"/>
      <c r="EI879" s="106"/>
    </row>
    <row r="880" spans="3:139" ht="15.75" customHeight="1" x14ac:dyDescent="0.25"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  <c r="CR880" s="106"/>
      <c r="CS880" s="106"/>
      <c r="CT880" s="106"/>
      <c r="CU880" s="106"/>
      <c r="CV880" s="106"/>
      <c r="CW880" s="106"/>
      <c r="CX880" s="106"/>
      <c r="CY880" s="106"/>
      <c r="CZ880" s="106"/>
      <c r="DA880" s="106"/>
      <c r="DB880" s="106"/>
      <c r="DC880" s="106"/>
      <c r="DD880" s="106"/>
      <c r="DE880" s="106"/>
      <c r="DF880" s="106"/>
      <c r="DG880" s="106"/>
      <c r="DH880" s="106"/>
      <c r="DI880" s="106"/>
      <c r="DJ880" s="106"/>
      <c r="DK880" s="106"/>
      <c r="DL880" s="106"/>
      <c r="DM880" s="106"/>
      <c r="DN880" s="106"/>
      <c r="DO880" s="106"/>
      <c r="DP880" s="106"/>
      <c r="DQ880" s="106"/>
      <c r="DR880" s="106"/>
      <c r="DS880" s="106"/>
      <c r="DT880" s="106"/>
      <c r="DU880" s="106"/>
      <c r="DV880" s="106"/>
      <c r="DW880" s="106"/>
      <c r="DX880" s="106"/>
      <c r="DY880" s="106"/>
      <c r="DZ880" s="106"/>
      <c r="EA880" s="106"/>
      <c r="EB880" s="106"/>
      <c r="EC880" s="106"/>
      <c r="ED880" s="106"/>
      <c r="EE880" s="106"/>
      <c r="EF880" s="106"/>
      <c r="EG880" s="106"/>
      <c r="EH880" s="106"/>
      <c r="EI880" s="106"/>
    </row>
    <row r="881" spans="3:139" ht="15.75" customHeight="1" x14ac:dyDescent="0.25"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  <c r="CR881" s="106"/>
      <c r="CS881" s="106"/>
      <c r="CT881" s="106"/>
      <c r="CU881" s="106"/>
      <c r="CV881" s="106"/>
      <c r="CW881" s="106"/>
      <c r="CX881" s="106"/>
      <c r="CY881" s="106"/>
      <c r="CZ881" s="106"/>
      <c r="DA881" s="106"/>
      <c r="DB881" s="106"/>
      <c r="DC881" s="106"/>
      <c r="DD881" s="106"/>
      <c r="DE881" s="106"/>
      <c r="DF881" s="106"/>
      <c r="DG881" s="106"/>
      <c r="DH881" s="106"/>
      <c r="DI881" s="106"/>
      <c r="DJ881" s="106"/>
      <c r="DK881" s="106"/>
      <c r="DL881" s="106"/>
      <c r="DM881" s="106"/>
      <c r="DN881" s="106"/>
      <c r="DO881" s="106"/>
      <c r="DP881" s="106"/>
      <c r="DQ881" s="106"/>
      <c r="DR881" s="106"/>
      <c r="DS881" s="106"/>
      <c r="DT881" s="106"/>
      <c r="DU881" s="106"/>
      <c r="DV881" s="106"/>
      <c r="DW881" s="106"/>
      <c r="DX881" s="106"/>
      <c r="DY881" s="106"/>
      <c r="DZ881" s="106"/>
      <c r="EA881" s="106"/>
      <c r="EB881" s="106"/>
      <c r="EC881" s="106"/>
      <c r="ED881" s="106"/>
      <c r="EE881" s="106"/>
      <c r="EF881" s="106"/>
      <c r="EG881" s="106"/>
      <c r="EH881" s="106"/>
      <c r="EI881" s="106"/>
    </row>
    <row r="882" spans="3:139" ht="15.75" customHeight="1" x14ac:dyDescent="0.25"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  <c r="CR882" s="106"/>
      <c r="CS882" s="106"/>
      <c r="CT882" s="106"/>
      <c r="CU882" s="106"/>
      <c r="CV882" s="106"/>
      <c r="CW882" s="106"/>
      <c r="CX882" s="106"/>
      <c r="CY882" s="106"/>
      <c r="CZ882" s="106"/>
      <c r="DA882" s="106"/>
      <c r="DB882" s="106"/>
      <c r="DC882" s="106"/>
      <c r="DD882" s="106"/>
      <c r="DE882" s="106"/>
      <c r="DF882" s="106"/>
      <c r="DG882" s="106"/>
      <c r="DH882" s="106"/>
      <c r="DI882" s="106"/>
      <c r="DJ882" s="106"/>
      <c r="DK882" s="106"/>
      <c r="DL882" s="106"/>
      <c r="DM882" s="106"/>
      <c r="DN882" s="106"/>
      <c r="DO882" s="106"/>
      <c r="DP882" s="106"/>
      <c r="DQ882" s="106"/>
      <c r="DR882" s="106"/>
      <c r="DS882" s="106"/>
      <c r="DT882" s="106"/>
      <c r="DU882" s="106"/>
      <c r="DV882" s="106"/>
      <c r="DW882" s="106"/>
      <c r="DX882" s="106"/>
      <c r="DY882" s="106"/>
      <c r="DZ882" s="106"/>
      <c r="EA882" s="106"/>
      <c r="EB882" s="106"/>
      <c r="EC882" s="106"/>
      <c r="ED882" s="106"/>
      <c r="EE882" s="106"/>
      <c r="EF882" s="106"/>
      <c r="EG882" s="106"/>
      <c r="EH882" s="106"/>
      <c r="EI882" s="106"/>
    </row>
    <row r="883" spans="3:139" ht="15.75" customHeight="1" x14ac:dyDescent="0.25"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  <c r="CR883" s="106"/>
      <c r="CS883" s="106"/>
      <c r="CT883" s="106"/>
      <c r="CU883" s="106"/>
      <c r="CV883" s="106"/>
      <c r="CW883" s="106"/>
      <c r="CX883" s="106"/>
      <c r="CY883" s="106"/>
      <c r="CZ883" s="106"/>
      <c r="DA883" s="106"/>
      <c r="DB883" s="106"/>
      <c r="DC883" s="106"/>
      <c r="DD883" s="106"/>
      <c r="DE883" s="106"/>
      <c r="DF883" s="106"/>
      <c r="DG883" s="106"/>
      <c r="DH883" s="106"/>
      <c r="DI883" s="106"/>
      <c r="DJ883" s="106"/>
      <c r="DK883" s="106"/>
      <c r="DL883" s="106"/>
      <c r="DM883" s="106"/>
      <c r="DN883" s="106"/>
      <c r="DO883" s="106"/>
      <c r="DP883" s="106"/>
      <c r="DQ883" s="106"/>
      <c r="DR883" s="106"/>
      <c r="DS883" s="106"/>
      <c r="DT883" s="106"/>
      <c r="DU883" s="106"/>
      <c r="DV883" s="106"/>
      <c r="DW883" s="106"/>
      <c r="DX883" s="106"/>
      <c r="DY883" s="106"/>
      <c r="DZ883" s="106"/>
      <c r="EA883" s="106"/>
      <c r="EB883" s="106"/>
      <c r="EC883" s="106"/>
      <c r="ED883" s="106"/>
      <c r="EE883" s="106"/>
      <c r="EF883" s="106"/>
      <c r="EG883" s="106"/>
      <c r="EH883" s="106"/>
      <c r="EI883" s="106"/>
    </row>
    <row r="884" spans="3:139" ht="15.75" customHeight="1" x14ac:dyDescent="0.25"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  <c r="CR884" s="106"/>
      <c r="CS884" s="106"/>
      <c r="CT884" s="106"/>
      <c r="CU884" s="106"/>
      <c r="CV884" s="106"/>
      <c r="CW884" s="106"/>
      <c r="CX884" s="106"/>
      <c r="CY884" s="106"/>
      <c r="CZ884" s="106"/>
      <c r="DA884" s="106"/>
      <c r="DB884" s="106"/>
      <c r="DC884" s="106"/>
      <c r="DD884" s="106"/>
      <c r="DE884" s="106"/>
      <c r="DF884" s="106"/>
      <c r="DG884" s="106"/>
      <c r="DH884" s="106"/>
      <c r="DI884" s="106"/>
      <c r="DJ884" s="106"/>
      <c r="DK884" s="106"/>
      <c r="DL884" s="106"/>
      <c r="DM884" s="106"/>
      <c r="DN884" s="106"/>
      <c r="DO884" s="106"/>
      <c r="DP884" s="106"/>
      <c r="DQ884" s="106"/>
      <c r="DR884" s="106"/>
      <c r="DS884" s="106"/>
      <c r="DT884" s="106"/>
      <c r="DU884" s="106"/>
      <c r="DV884" s="106"/>
      <c r="DW884" s="106"/>
      <c r="DX884" s="106"/>
      <c r="DY884" s="106"/>
      <c r="DZ884" s="106"/>
      <c r="EA884" s="106"/>
      <c r="EB884" s="106"/>
      <c r="EC884" s="106"/>
      <c r="ED884" s="106"/>
      <c r="EE884" s="106"/>
      <c r="EF884" s="106"/>
      <c r="EG884" s="106"/>
      <c r="EH884" s="106"/>
      <c r="EI884" s="106"/>
    </row>
    <row r="885" spans="3:139" ht="15.75" customHeight="1" x14ac:dyDescent="0.25"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  <c r="CR885" s="106"/>
      <c r="CS885" s="106"/>
      <c r="CT885" s="106"/>
      <c r="CU885" s="106"/>
      <c r="CV885" s="106"/>
      <c r="CW885" s="106"/>
      <c r="CX885" s="106"/>
      <c r="CY885" s="106"/>
      <c r="CZ885" s="106"/>
      <c r="DA885" s="106"/>
      <c r="DB885" s="106"/>
      <c r="DC885" s="106"/>
      <c r="DD885" s="106"/>
      <c r="DE885" s="106"/>
      <c r="DF885" s="106"/>
      <c r="DG885" s="106"/>
      <c r="DH885" s="106"/>
      <c r="DI885" s="106"/>
      <c r="DJ885" s="106"/>
      <c r="DK885" s="106"/>
      <c r="DL885" s="106"/>
      <c r="DM885" s="106"/>
      <c r="DN885" s="106"/>
      <c r="DO885" s="106"/>
      <c r="DP885" s="106"/>
      <c r="DQ885" s="106"/>
      <c r="DR885" s="106"/>
      <c r="DS885" s="106"/>
      <c r="DT885" s="106"/>
      <c r="DU885" s="106"/>
      <c r="DV885" s="106"/>
      <c r="DW885" s="106"/>
      <c r="DX885" s="106"/>
      <c r="DY885" s="106"/>
      <c r="DZ885" s="106"/>
      <c r="EA885" s="106"/>
      <c r="EB885" s="106"/>
      <c r="EC885" s="106"/>
      <c r="ED885" s="106"/>
      <c r="EE885" s="106"/>
      <c r="EF885" s="106"/>
      <c r="EG885" s="106"/>
      <c r="EH885" s="106"/>
      <c r="EI885" s="106"/>
    </row>
    <row r="886" spans="3:139" ht="15.75" customHeight="1" x14ac:dyDescent="0.25"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  <c r="CR886" s="106"/>
      <c r="CS886" s="106"/>
      <c r="CT886" s="106"/>
      <c r="CU886" s="106"/>
      <c r="CV886" s="106"/>
      <c r="CW886" s="106"/>
      <c r="CX886" s="106"/>
      <c r="CY886" s="106"/>
      <c r="CZ886" s="106"/>
      <c r="DA886" s="106"/>
      <c r="DB886" s="106"/>
      <c r="DC886" s="106"/>
      <c r="DD886" s="106"/>
      <c r="DE886" s="106"/>
      <c r="DF886" s="106"/>
      <c r="DG886" s="106"/>
      <c r="DH886" s="106"/>
      <c r="DI886" s="106"/>
      <c r="DJ886" s="106"/>
      <c r="DK886" s="106"/>
      <c r="DL886" s="106"/>
      <c r="DM886" s="106"/>
      <c r="DN886" s="106"/>
      <c r="DO886" s="106"/>
      <c r="DP886" s="106"/>
      <c r="DQ886" s="106"/>
      <c r="DR886" s="106"/>
      <c r="DS886" s="106"/>
      <c r="DT886" s="106"/>
      <c r="DU886" s="106"/>
      <c r="DV886" s="106"/>
      <c r="DW886" s="106"/>
      <c r="DX886" s="106"/>
      <c r="DY886" s="106"/>
      <c r="DZ886" s="106"/>
      <c r="EA886" s="106"/>
      <c r="EB886" s="106"/>
      <c r="EC886" s="106"/>
      <c r="ED886" s="106"/>
      <c r="EE886" s="106"/>
      <c r="EF886" s="106"/>
      <c r="EG886" s="106"/>
      <c r="EH886" s="106"/>
      <c r="EI886" s="106"/>
    </row>
    <row r="887" spans="3:139" ht="15.75" customHeight="1" x14ac:dyDescent="0.25"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  <c r="CR887" s="106"/>
      <c r="CS887" s="106"/>
      <c r="CT887" s="106"/>
      <c r="CU887" s="106"/>
      <c r="CV887" s="106"/>
      <c r="CW887" s="106"/>
      <c r="CX887" s="106"/>
      <c r="CY887" s="106"/>
      <c r="CZ887" s="106"/>
      <c r="DA887" s="106"/>
      <c r="DB887" s="106"/>
      <c r="DC887" s="106"/>
      <c r="DD887" s="106"/>
      <c r="DE887" s="106"/>
      <c r="DF887" s="106"/>
      <c r="DG887" s="106"/>
      <c r="DH887" s="106"/>
      <c r="DI887" s="106"/>
      <c r="DJ887" s="106"/>
      <c r="DK887" s="106"/>
      <c r="DL887" s="106"/>
      <c r="DM887" s="106"/>
      <c r="DN887" s="106"/>
      <c r="DO887" s="106"/>
      <c r="DP887" s="106"/>
      <c r="DQ887" s="106"/>
      <c r="DR887" s="106"/>
      <c r="DS887" s="106"/>
      <c r="DT887" s="106"/>
      <c r="DU887" s="106"/>
      <c r="DV887" s="106"/>
      <c r="DW887" s="106"/>
      <c r="DX887" s="106"/>
      <c r="DY887" s="106"/>
      <c r="DZ887" s="106"/>
      <c r="EA887" s="106"/>
      <c r="EB887" s="106"/>
      <c r="EC887" s="106"/>
      <c r="ED887" s="106"/>
      <c r="EE887" s="106"/>
      <c r="EF887" s="106"/>
      <c r="EG887" s="106"/>
      <c r="EH887" s="106"/>
      <c r="EI887" s="106"/>
    </row>
    <row r="888" spans="3:139" ht="15.75" customHeight="1" x14ac:dyDescent="0.25"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  <c r="CR888" s="106"/>
      <c r="CS888" s="106"/>
      <c r="CT888" s="106"/>
      <c r="CU888" s="106"/>
      <c r="CV888" s="106"/>
      <c r="CW888" s="106"/>
      <c r="CX888" s="106"/>
      <c r="CY888" s="106"/>
      <c r="CZ888" s="106"/>
      <c r="DA888" s="106"/>
      <c r="DB888" s="106"/>
      <c r="DC888" s="106"/>
      <c r="DD888" s="106"/>
      <c r="DE888" s="106"/>
      <c r="DF888" s="106"/>
      <c r="DG888" s="106"/>
      <c r="DH888" s="106"/>
      <c r="DI888" s="106"/>
      <c r="DJ888" s="106"/>
      <c r="DK888" s="106"/>
      <c r="DL888" s="106"/>
      <c r="DM888" s="106"/>
      <c r="DN888" s="106"/>
      <c r="DO888" s="106"/>
      <c r="DP888" s="106"/>
      <c r="DQ888" s="106"/>
      <c r="DR888" s="106"/>
      <c r="DS888" s="106"/>
      <c r="DT888" s="106"/>
      <c r="DU888" s="106"/>
      <c r="DV888" s="106"/>
      <c r="DW888" s="106"/>
      <c r="DX888" s="106"/>
      <c r="DY888" s="106"/>
      <c r="DZ888" s="106"/>
      <c r="EA888" s="106"/>
      <c r="EB888" s="106"/>
      <c r="EC888" s="106"/>
      <c r="ED888" s="106"/>
      <c r="EE888" s="106"/>
      <c r="EF888" s="106"/>
      <c r="EG888" s="106"/>
      <c r="EH888" s="106"/>
      <c r="EI888" s="106"/>
    </row>
    <row r="889" spans="3:139" ht="15.75" customHeight="1" x14ac:dyDescent="0.25"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  <c r="CR889" s="106"/>
      <c r="CS889" s="106"/>
      <c r="CT889" s="106"/>
      <c r="CU889" s="106"/>
      <c r="CV889" s="106"/>
      <c r="CW889" s="106"/>
      <c r="CX889" s="106"/>
      <c r="CY889" s="106"/>
      <c r="CZ889" s="106"/>
      <c r="DA889" s="106"/>
      <c r="DB889" s="106"/>
      <c r="DC889" s="106"/>
      <c r="DD889" s="106"/>
      <c r="DE889" s="106"/>
      <c r="DF889" s="106"/>
      <c r="DG889" s="106"/>
      <c r="DH889" s="106"/>
      <c r="DI889" s="106"/>
      <c r="DJ889" s="106"/>
      <c r="DK889" s="106"/>
      <c r="DL889" s="106"/>
      <c r="DM889" s="106"/>
      <c r="DN889" s="106"/>
      <c r="DO889" s="106"/>
      <c r="DP889" s="106"/>
      <c r="DQ889" s="106"/>
      <c r="DR889" s="106"/>
      <c r="DS889" s="106"/>
      <c r="DT889" s="106"/>
      <c r="DU889" s="106"/>
      <c r="DV889" s="106"/>
      <c r="DW889" s="106"/>
      <c r="DX889" s="106"/>
      <c r="DY889" s="106"/>
      <c r="DZ889" s="106"/>
      <c r="EA889" s="106"/>
      <c r="EB889" s="106"/>
      <c r="EC889" s="106"/>
      <c r="ED889" s="106"/>
      <c r="EE889" s="106"/>
      <c r="EF889" s="106"/>
      <c r="EG889" s="106"/>
      <c r="EH889" s="106"/>
      <c r="EI889" s="106"/>
    </row>
    <row r="890" spans="3:139" ht="15.75" customHeight="1" x14ac:dyDescent="0.25"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  <c r="CR890" s="106"/>
      <c r="CS890" s="106"/>
      <c r="CT890" s="106"/>
      <c r="CU890" s="106"/>
      <c r="CV890" s="106"/>
      <c r="CW890" s="106"/>
      <c r="CX890" s="106"/>
      <c r="CY890" s="106"/>
      <c r="CZ890" s="106"/>
      <c r="DA890" s="106"/>
      <c r="DB890" s="106"/>
      <c r="DC890" s="106"/>
      <c r="DD890" s="106"/>
      <c r="DE890" s="106"/>
      <c r="DF890" s="106"/>
      <c r="DG890" s="106"/>
      <c r="DH890" s="106"/>
      <c r="DI890" s="106"/>
      <c r="DJ890" s="106"/>
      <c r="DK890" s="106"/>
      <c r="DL890" s="106"/>
      <c r="DM890" s="106"/>
      <c r="DN890" s="106"/>
      <c r="DO890" s="106"/>
      <c r="DP890" s="106"/>
      <c r="DQ890" s="106"/>
      <c r="DR890" s="106"/>
      <c r="DS890" s="106"/>
      <c r="DT890" s="106"/>
      <c r="DU890" s="106"/>
      <c r="DV890" s="106"/>
      <c r="DW890" s="106"/>
      <c r="DX890" s="106"/>
      <c r="DY890" s="106"/>
      <c r="DZ890" s="106"/>
      <c r="EA890" s="106"/>
      <c r="EB890" s="106"/>
      <c r="EC890" s="106"/>
      <c r="ED890" s="106"/>
      <c r="EE890" s="106"/>
      <c r="EF890" s="106"/>
      <c r="EG890" s="106"/>
      <c r="EH890" s="106"/>
      <c r="EI890" s="106"/>
    </row>
    <row r="891" spans="3:139" ht="15.75" customHeight="1" x14ac:dyDescent="0.25"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  <c r="CR891" s="106"/>
      <c r="CS891" s="106"/>
      <c r="CT891" s="106"/>
      <c r="CU891" s="106"/>
      <c r="CV891" s="106"/>
      <c r="CW891" s="106"/>
      <c r="CX891" s="106"/>
      <c r="CY891" s="106"/>
      <c r="CZ891" s="106"/>
      <c r="DA891" s="106"/>
      <c r="DB891" s="106"/>
      <c r="DC891" s="106"/>
      <c r="DD891" s="106"/>
      <c r="DE891" s="106"/>
      <c r="DF891" s="106"/>
      <c r="DG891" s="106"/>
      <c r="DH891" s="106"/>
      <c r="DI891" s="106"/>
      <c r="DJ891" s="106"/>
      <c r="DK891" s="106"/>
      <c r="DL891" s="106"/>
      <c r="DM891" s="106"/>
      <c r="DN891" s="106"/>
      <c r="DO891" s="106"/>
      <c r="DP891" s="106"/>
      <c r="DQ891" s="106"/>
      <c r="DR891" s="106"/>
      <c r="DS891" s="106"/>
      <c r="DT891" s="106"/>
      <c r="DU891" s="106"/>
      <c r="DV891" s="106"/>
      <c r="DW891" s="106"/>
      <c r="DX891" s="106"/>
      <c r="DY891" s="106"/>
      <c r="DZ891" s="106"/>
      <c r="EA891" s="106"/>
      <c r="EB891" s="106"/>
      <c r="EC891" s="106"/>
      <c r="ED891" s="106"/>
      <c r="EE891" s="106"/>
      <c r="EF891" s="106"/>
      <c r="EG891" s="106"/>
      <c r="EH891" s="106"/>
      <c r="EI891" s="106"/>
    </row>
    <row r="892" spans="3:139" ht="15.75" customHeight="1" x14ac:dyDescent="0.25"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  <c r="CR892" s="106"/>
      <c r="CS892" s="106"/>
      <c r="CT892" s="106"/>
      <c r="CU892" s="106"/>
      <c r="CV892" s="106"/>
      <c r="CW892" s="106"/>
      <c r="CX892" s="106"/>
      <c r="CY892" s="106"/>
      <c r="CZ892" s="106"/>
      <c r="DA892" s="106"/>
      <c r="DB892" s="106"/>
      <c r="DC892" s="106"/>
      <c r="DD892" s="106"/>
      <c r="DE892" s="106"/>
      <c r="DF892" s="106"/>
      <c r="DG892" s="106"/>
      <c r="DH892" s="106"/>
      <c r="DI892" s="106"/>
      <c r="DJ892" s="106"/>
      <c r="DK892" s="106"/>
      <c r="DL892" s="106"/>
      <c r="DM892" s="106"/>
      <c r="DN892" s="106"/>
      <c r="DO892" s="106"/>
      <c r="DP892" s="106"/>
      <c r="DQ892" s="106"/>
      <c r="DR892" s="106"/>
      <c r="DS892" s="106"/>
      <c r="DT892" s="106"/>
      <c r="DU892" s="106"/>
      <c r="DV892" s="106"/>
      <c r="DW892" s="106"/>
      <c r="DX892" s="106"/>
      <c r="DY892" s="106"/>
      <c r="DZ892" s="106"/>
      <c r="EA892" s="106"/>
      <c r="EB892" s="106"/>
      <c r="EC892" s="106"/>
      <c r="ED892" s="106"/>
      <c r="EE892" s="106"/>
      <c r="EF892" s="106"/>
      <c r="EG892" s="106"/>
      <c r="EH892" s="106"/>
      <c r="EI892" s="106"/>
    </row>
    <row r="893" spans="3:139" ht="15.75" customHeight="1" x14ac:dyDescent="0.25"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  <c r="CR893" s="106"/>
      <c r="CS893" s="106"/>
      <c r="CT893" s="106"/>
      <c r="CU893" s="106"/>
      <c r="CV893" s="106"/>
      <c r="CW893" s="106"/>
      <c r="CX893" s="106"/>
      <c r="CY893" s="106"/>
      <c r="CZ893" s="106"/>
      <c r="DA893" s="106"/>
      <c r="DB893" s="106"/>
      <c r="DC893" s="106"/>
      <c r="DD893" s="106"/>
      <c r="DE893" s="106"/>
      <c r="DF893" s="106"/>
      <c r="DG893" s="106"/>
      <c r="DH893" s="106"/>
      <c r="DI893" s="106"/>
      <c r="DJ893" s="106"/>
      <c r="DK893" s="106"/>
      <c r="DL893" s="106"/>
      <c r="DM893" s="106"/>
      <c r="DN893" s="106"/>
      <c r="DO893" s="106"/>
      <c r="DP893" s="106"/>
      <c r="DQ893" s="106"/>
      <c r="DR893" s="106"/>
      <c r="DS893" s="106"/>
      <c r="DT893" s="106"/>
      <c r="DU893" s="106"/>
      <c r="DV893" s="106"/>
      <c r="DW893" s="106"/>
      <c r="DX893" s="106"/>
      <c r="DY893" s="106"/>
      <c r="DZ893" s="106"/>
      <c r="EA893" s="106"/>
      <c r="EB893" s="106"/>
      <c r="EC893" s="106"/>
      <c r="ED893" s="106"/>
      <c r="EE893" s="106"/>
      <c r="EF893" s="106"/>
      <c r="EG893" s="106"/>
      <c r="EH893" s="106"/>
      <c r="EI893" s="106"/>
    </row>
    <row r="894" spans="3:139" ht="15.75" customHeight="1" x14ac:dyDescent="0.25"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  <c r="CR894" s="106"/>
      <c r="CS894" s="106"/>
      <c r="CT894" s="106"/>
      <c r="CU894" s="106"/>
      <c r="CV894" s="106"/>
      <c r="CW894" s="106"/>
      <c r="CX894" s="106"/>
      <c r="CY894" s="106"/>
      <c r="CZ894" s="106"/>
      <c r="DA894" s="106"/>
      <c r="DB894" s="106"/>
      <c r="DC894" s="106"/>
      <c r="DD894" s="106"/>
      <c r="DE894" s="106"/>
      <c r="DF894" s="106"/>
      <c r="DG894" s="106"/>
      <c r="DH894" s="106"/>
      <c r="DI894" s="106"/>
      <c r="DJ894" s="106"/>
      <c r="DK894" s="106"/>
      <c r="DL894" s="106"/>
      <c r="DM894" s="106"/>
      <c r="DN894" s="106"/>
      <c r="DO894" s="106"/>
      <c r="DP894" s="106"/>
      <c r="DQ894" s="106"/>
      <c r="DR894" s="106"/>
      <c r="DS894" s="106"/>
      <c r="DT894" s="106"/>
      <c r="DU894" s="106"/>
      <c r="DV894" s="106"/>
      <c r="DW894" s="106"/>
      <c r="DX894" s="106"/>
      <c r="DY894" s="106"/>
      <c r="DZ894" s="106"/>
      <c r="EA894" s="106"/>
      <c r="EB894" s="106"/>
      <c r="EC894" s="106"/>
      <c r="ED894" s="106"/>
      <c r="EE894" s="106"/>
      <c r="EF894" s="106"/>
      <c r="EG894" s="106"/>
      <c r="EH894" s="106"/>
      <c r="EI894" s="106"/>
    </row>
    <row r="895" spans="3:139" ht="15.75" customHeight="1" x14ac:dyDescent="0.25"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  <c r="CR895" s="106"/>
      <c r="CS895" s="106"/>
      <c r="CT895" s="106"/>
      <c r="CU895" s="106"/>
      <c r="CV895" s="106"/>
      <c r="CW895" s="106"/>
      <c r="CX895" s="106"/>
      <c r="CY895" s="106"/>
      <c r="CZ895" s="106"/>
      <c r="DA895" s="106"/>
      <c r="DB895" s="106"/>
      <c r="DC895" s="106"/>
      <c r="DD895" s="106"/>
      <c r="DE895" s="106"/>
      <c r="DF895" s="106"/>
      <c r="DG895" s="106"/>
      <c r="DH895" s="106"/>
      <c r="DI895" s="106"/>
      <c r="DJ895" s="106"/>
      <c r="DK895" s="106"/>
      <c r="DL895" s="106"/>
      <c r="DM895" s="106"/>
      <c r="DN895" s="106"/>
      <c r="DO895" s="106"/>
      <c r="DP895" s="106"/>
      <c r="DQ895" s="106"/>
      <c r="DR895" s="106"/>
      <c r="DS895" s="106"/>
      <c r="DT895" s="106"/>
      <c r="DU895" s="106"/>
      <c r="DV895" s="106"/>
      <c r="DW895" s="106"/>
      <c r="DX895" s="106"/>
      <c r="DY895" s="106"/>
      <c r="DZ895" s="106"/>
      <c r="EA895" s="106"/>
      <c r="EB895" s="106"/>
      <c r="EC895" s="106"/>
      <c r="ED895" s="106"/>
      <c r="EE895" s="106"/>
      <c r="EF895" s="106"/>
      <c r="EG895" s="106"/>
      <c r="EH895" s="106"/>
      <c r="EI895" s="106"/>
    </row>
    <row r="896" spans="3:139" ht="15.75" customHeight="1" x14ac:dyDescent="0.25"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  <c r="CZ896" s="106"/>
      <c r="DA896" s="106"/>
      <c r="DB896" s="106"/>
      <c r="DC896" s="106"/>
      <c r="DD896" s="106"/>
      <c r="DE896" s="106"/>
      <c r="DF896" s="106"/>
      <c r="DG896" s="106"/>
      <c r="DH896" s="106"/>
      <c r="DI896" s="106"/>
      <c r="DJ896" s="106"/>
      <c r="DK896" s="106"/>
      <c r="DL896" s="106"/>
      <c r="DM896" s="106"/>
      <c r="DN896" s="106"/>
      <c r="DO896" s="106"/>
      <c r="DP896" s="106"/>
      <c r="DQ896" s="106"/>
      <c r="DR896" s="106"/>
      <c r="DS896" s="106"/>
      <c r="DT896" s="106"/>
      <c r="DU896" s="106"/>
      <c r="DV896" s="106"/>
      <c r="DW896" s="106"/>
      <c r="DX896" s="106"/>
      <c r="DY896" s="106"/>
      <c r="DZ896" s="106"/>
      <c r="EA896" s="106"/>
      <c r="EB896" s="106"/>
      <c r="EC896" s="106"/>
      <c r="ED896" s="106"/>
      <c r="EE896" s="106"/>
      <c r="EF896" s="106"/>
      <c r="EG896" s="106"/>
      <c r="EH896" s="106"/>
      <c r="EI896" s="106"/>
    </row>
    <row r="897" spans="3:139" ht="15.75" customHeight="1" x14ac:dyDescent="0.25"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  <c r="CR897" s="106"/>
      <c r="CS897" s="106"/>
      <c r="CT897" s="106"/>
      <c r="CU897" s="106"/>
      <c r="CV897" s="106"/>
      <c r="CW897" s="106"/>
      <c r="CX897" s="106"/>
      <c r="CY897" s="106"/>
      <c r="CZ897" s="106"/>
      <c r="DA897" s="106"/>
      <c r="DB897" s="106"/>
      <c r="DC897" s="106"/>
      <c r="DD897" s="106"/>
      <c r="DE897" s="106"/>
      <c r="DF897" s="106"/>
      <c r="DG897" s="106"/>
      <c r="DH897" s="106"/>
      <c r="DI897" s="106"/>
      <c r="DJ897" s="106"/>
      <c r="DK897" s="106"/>
      <c r="DL897" s="106"/>
      <c r="DM897" s="106"/>
      <c r="DN897" s="106"/>
      <c r="DO897" s="106"/>
      <c r="DP897" s="106"/>
      <c r="DQ897" s="106"/>
      <c r="DR897" s="106"/>
      <c r="DS897" s="106"/>
      <c r="DT897" s="106"/>
      <c r="DU897" s="106"/>
      <c r="DV897" s="106"/>
      <c r="DW897" s="106"/>
      <c r="DX897" s="106"/>
      <c r="DY897" s="106"/>
      <c r="DZ897" s="106"/>
      <c r="EA897" s="106"/>
      <c r="EB897" s="106"/>
      <c r="EC897" s="106"/>
      <c r="ED897" s="106"/>
      <c r="EE897" s="106"/>
      <c r="EF897" s="106"/>
      <c r="EG897" s="106"/>
      <c r="EH897" s="106"/>
      <c r="EI897" s="106"/>
    </row>
    <row r="898" spans="3:139" ht="15.75" customHeight="1" x14ac:dyDescent="0.25"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  <c r="CR898" s="106"/>
      <c r="CS898" s="106"/>
      <c r="CT898" s="106"/>
      <c r="CU898" s="106"/>
      <c r="CV898" s="106"/>
      <c r="CW898" s="106"/>
      <c r="CX898" s="106"/>
      <c r="CY898" s="106"/>
      <c r="CZ898" s="106"/>
      <c r="DA898" s="106"/>
      <c r="DB898" s="106"/>
      <c r="DC898" s="106"/>
      <c r="DD898" s="106"/>
      <c r="DE898" s="106"/>
      <c r="DF898" s="106"/>
      <c r="DG898" s="106"/>
      <c r="DH898" s="106"/>
      <c r="DI898" s="106"/>
      <c r="DJ898" s="106"/>
      <c r="DK898" s="106"/>
      <c r="DL898" s="106"/>
      <c r="DM898" s="106"/>
      <c r="DN898" s="106"/>
      <c r="DO898" s="106"/>
      <c r="DP898" s="106"/>
      <c r="DQ898" s="106"/>
      <c r="DR898" s="106"/>
      <c r="DS898" s="106"/>
      <c r="DT898" s="106"/>
      <c r="DU898" s="106"/>
      <c r="DV898" s="106"/>
      <c r="DW898" s="106"/>
      <c r="DX898" s="106"/>
      <c r="DY898" s="106"/>
      <c r="DZ898" s="106"/>
      <c r="EA898" s="106"/>
      <c r="EB898" s="106"/>
      <c r="EC898" s="106"/>
      <c r="ED898" s="106"/>
      <c r="EE898" s="106"/>
      <c r="EF898" s="106"/>
      <c r="EG898" s="106"/>
      <c r="EH898" s="106"/>
      <c r="EI898" s="106"/>
    </row>
    <row r="899" spans="3:139" ht="15.75" customHeight="1" x14ac:dyDescent="0.25"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  <c r="CR899" s="106"/>
      <c r="CS899" s="106"/>
      <c r="CT899" s="106"/>
      <c r="CU899" s="106"/>
      <c r="CV899" s="106"/>
      <c r="CW899" s="106"/>
      <c r="CX899" s="106"/>
      <c r="CY899" s="106"/>
      <c r="CZ899" s="106"/>
      <c r="DA899" s="106"/>
      <c r="DB899" s="106"/>
      <c r="DC899" s="106"/>
      <c r="DD899" s="106"/>
      <c r="DE899" s="106"/>
      <c r="DF899" s="106"/>
      <c r="DG899" s="106"/>
      <c r="DH899" s="106"/>
      <c r="DI899" s="106"/>
      <c r="DJ899" s="106"/>
      <c r="DK899" s="106"/>
      <c r="DL899" s="106"/>
      <c r="DM899" s="106"/>
      <c r="DN899" s="106"/>
      <c r="DO899" s="106"/>
      <c r="DP899" s="106"/>
      <c r="DQ899" s="106"/>
      <c r="DR899" s="106"/>
      <c r="DS899" s="106"/>
      <c r="DT899" s="106"/>
      <c r="DU899" s="106"/>
      <c r="DV899" s="106"/>
      <c r="DW899" s="106"/>
      <c r="DX899" s="106"/>
      <c r="DY899" s="106"/>
      <c r="DZ899" s="106"/>
      <c r="EA899" s="106"/>
      <c r="EB899" s="106"/>
      <c r="EC899" s="106"/>
      <c r="ED899" s="106"/>
      <c r="EE899" s="106"/>
      <c r="EF899" s="106"/>
      <c r="EG899" s="106"/>
      <c r="EH899" s="106"/>
      <c r="EI899" s="106"/>
    </row>
    <row r="900" spans="3:139" ht="15.75" customHeight="1" x14ac:dyDescent="0.25"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  <c r="CR900" s="106"/>
      <c r="CS900" s="106"/>
      <c r="CT900" s="106"/>
      <c r="CU900" s="106"/>
      <c r="CV900" s="106"/>
      <c r="CW900" s="106"/>
      <c r="CX900" s="106"/>
      <c r="CY900" s="106"/>
      <c r="CZ900" s="106"/>
      <c r="DA900" s="106"/>
      <c r="DB900" s="106"/>
      <c r="DC900" s="106"/>
      <c r="DD900" s="106"/>
      <c r="DE900" s="106"/>
      <c r="DF900" s="106"/>
      <c r="DG900" s="106"/>
      <c r="DH900" s="106"/>
      <c r="DI900" s="106"/>
      <c r="DJ900" s="106"/>
      <c r="DK900" s="106"/>
      <c r="DL900" s="106"/>
      <c r="DM900" s="106"/>
      <c r="DN900" s="106"/>
      <c r="DO900" s="106"/>
      <c r="DP900" s="106"/>
      <c r="DQ900" s="106"/>
      <c r="DR900" s="106"/>
      <c r="DS900" s="106"/>
      <c r="DT900" s="106"/>
      <c r="DU900" s="106"/>
      <c r="DV900" s="106"/>
      <c r="DW900" s="106"/>
      <c r="DX900" s="106"/>
      <c r="DY900" s="106"/>
      <c r="DZ900" s="106"/>
      <c r="EA900" s="106"/>
      <c r="EB900" s="106"/>
      <c r="EC900" s="106"/>
      <c r="ED900" s="106"/>
      <c r="EE900" s="106"/>
      <c r="EF900" s="106"/>
      <c r="EG900" s="106"/>
      <c r="EH900" s="106"/>
      <c r="EI900" s="106"/>
    </row>
    <row r="901" spans="3:139" ht="15.75" customHeight="1" x14ac:dyDescent="0.25"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  <c r="CR901" s="106"/>
      <c r="CS901" s="106"/>
      <c r="CT901" s="106"/>
      <c r="CU901" s="106"/>
      <c r="CV901" s="106"/>
      <c r="CW901" s="106"/>
      <c r="CX901" s="106"/>
      <c r="CY901" s="106"/>
      <c r="CZ901" s="106"/>
      <c r="DA901" s="106"/>
      <c r="DB901" s="106"/>
      <c r="DC901" s="106"/>
      <c r="DD901" s="106"/>
      <c r="DE901" s="106"/>
      <c r="DF901" s="106"/>
      <c r="DG901" s="106"/>
      <c r="DH901" s="106"/>
      <c r="DI901" s="106"/>
      <c r="DJ901" s="106"/>
      <c r="DK901" s="106"/>
      <c r="DL901" s="106"/>
      <c r="DM901" s="106"/>
      <c r="DN901" s="106"/>
      <c r="DO901" s="106"/>
      <c r="DP901" s="106"/>
      <c r="DQ901" s="106"/>
      <c r="DR901" s="106"/>
      <c r="DS901" s="106"/>
      <c r="DT901" s="106"/>
      <c r="DU901" s="106"/>
      <c r="DV901" s="106"/>
      <c r="DW901" s="106"/>
      <c r="DX901" s="106"/>
      <c r="DY901" s="106"/>
      <c r="DZ901" s="106"/>
      <c r="EA901" s="106"/>
      <c r="EB901" s="106"/>
      <c r="EC901" s="106"/>
      <c r="ED901" s="106"/>
      <c r="EE901" s="106"/>
      <c r="EF901" s="106"/>
      <c r="EG901" s="106"/>
      <c r="EH901" s="106"/>
      <c r="EI901" s="106"/>
    </row>
    <row r="902" spans="3:139" ht="15.75" customHeight="1" x14ac:dyDescent="0.25"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  <c r="CR902" s="106"/>
      <c r="CS902" s="106"/>
      <c r="CT902" s="106"/>
      <c r="CU902" s="106"/>
      <c r="CV902" s="106"/>
      <c r="CW902" s="106"/>
      <c r="CX902" s="106"/>
      <c r="CY902" s="106"/>
      <c r="CZ902" s="106"/>
      <c r="DA902" s="106"/>
      <c r="DB902" s="106"/>
      <c r="DC902" s="106"/>
      <c r="DD902" s="106"/>
      <c r="DE902" s="106"/>
      <c r="DF902" s="106"/>
      <c r="DG902" s="106"/>
      <c r="DH902" s="106"/>
      <c r="DI902" s="106"/>
      <c r="DJ902" s="106"/>
      <c r="DK902" s="106"/>
      <c r="DL902" s="106"/>
      <c r="DM902" s="106"/>
      <c r="DN902" s="106"/>
      <c r="DO902" s="106"/>
      <c r="DP902" s="106"/>
      <c r="DQ902" s="106"/>
      <c r="DR902" s="106"/>
      <c r="DS902" s="106"/>
      <c r="DT902" s="106"/>
      <c r="DU902" s="106"/>
      <c r="DV902" s="106"/>
      <c r="DW902" s="106"/>
      <c r="DX902" s="106"/>
      <c r="DY902" s="106"/>
      <c r="DZ902" s="106"/>
      <c r="EA902" s="106"/>
      <c r="EB902" s="106"/>
      <c r="EC902" s="106"/>
      <c r="ED902" s="106"/>
      <c r="EE902" s="106"/>
      <c r="EF902" s="106"/>
      <c r="EG902" s="106"/>
      <c r="EH902" s="106"/>
      <c r="EI902" s="106"/>
    </row>
    <row r="903" spans="3:139" ht="15.75" customHeight="1" x14ac:dyDescent="0.25"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  <c r="CR903" s="106"/>
      <c r="CS903" s="106"/>
      <c r="CT903" s="106"/>
      <c r="CU903" s="106"/>
      <c r="CV903" s="106"/>
      <c r="CW903" s="106"/>
      <c r="CX903" s="106"/>
      <c r="CY903" s="106"/>
      <c r="CZ903" s="106"/>
      <c r="DA903" s="106"/>
      <c r="DB903" s="106"/>
      <c r="DC903" s="106"/>
      <c r="DD903" s="106"/>
      <c r="DE903" s="106"/>
      <c r="DF903" s="106"/>
      <c r="DG903" s="106"/>
      <c r="DH903" s="106"/>
      <c r="DI903" s="106"/>
      <c r="DJ903" s="106"/>
      <c r="DK903" s="106"/>
      <c r="DL903" s="106"/>
      <c r="DM903" s="106"/>
      <c r="DN903" s="106"/>
      <c r="DO903" s="106"/>
      <c r="DP903" s="106"/>
      <c r="DQ903" s="106"/>
      <c r="DR903" s="106"/>
      <c r="DS903" s="106"/>
      <c r="DT903" s="106"/>
      <c r="DU903" s="106"/>
      <c r="DV903" s="106"/>
      <c r="DW903" s="106"/>
      <c r="DX903" s="106"/>
      <c r="DY903" s="106"/>
      <c r="DZ903" s="106"/>
      <c r="EA903" s="106"/>
      <c r="EB903" s="106"/>
      <c r="EC903" s="106"/>
      <c r="ED903" s="106"/>
      <c r="EE903" s="106"/>
      <c r="EF903" s="106"/>
      <c r="EG903" s="106"/>
      <c r="EH903" s="106"/>
      <c r="EI903" s="106"/>
    </row>
    <row r="904" spans="3:139" ht="15.75" customHeight="1" x14ac:dyDescent="0.25"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  <c r="CR904" s="106"/>
      <c r="CS904" s="106"/>
      <c r="CT904" s="106"/>
      <c r="CU904" s="106"/>
      <c r="CV904" s="106"/>
      <c r="CW904" s="106"/>
      <c r="CX904" s="106"/>
      <c r="CY904" s="106"/>
      <c r="CZ904" s="106"/>
      <c r="DA904" s="106"/>
      <c r="DB904" s="106"/>
      <c r="DC904" s="106"/>
      <c r="DD904" s="106"/>
      <c r="DE904" s="106"/>
      <c r="DF904" s="106"/>
      <c r="DG904" s="106"/>
      <c r="DH904" s="106"/>
      <c r="DI904" s="106"/>
      <c r="DJ904" s="106"/>
      <c r="DK904" s="106"/>
      <c r="DL904" s="106"/>
      <c r="DM904" s="106"/>
      <c r="DN904" s="106"/>
      <c r="DO904" s="106"/>
      <c r="DP904" s="106"/>
      <c r="DQ904" s="106"/>
      <c r="DR904" s="106"/>
      <c r="DS904" s="106"/>
      <c r="DT904" s="106"/>
      <c r="DU904" s="106"/>
      <c r="DV904" s="106"/>
      <c r="DW904" s="106"/>
      <c r="DX904" s="106"/>
      <c r="DY904" s="106"/>
      <c r="DZ904" s="106"/>
      <c r="EA904" s="106"/>
      <c r="EB904" s="106"/>
      <c r="EC904" s="106"/>
      <c r="ED904" s="106"/>
      <c r="EE904" s="106"/>
      <c r="EF904" s="106"/>
      <c r="EG904" s="106"/>
      <c r="EH904" s="106"/>
      <c r="EI904" s="106"/>
    </row>
    <row r="905" spans="3:139" ht="15.75" customHeight="1" x14ac:dyDescent="0.25"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  <c r="CR905" s="106"/>
      <c r="CS905" s="106"/>
      <c r="CT905" s="106"/>
      <c r="CU905" s="106"/>
      <c r="CV905" s="106"/>
      <c r="CW905" s="106"/>
      <c r="CX905" s="106"/>
      <c r="CY905" s="106"/>
      <c r="CZ905" s="106"/>
      <c r="DA905" s="106"/>
      <c r="DB905" s="106"/>
      <c r="DC905" s="106"/>
      <c r="DD905" s="106"/>
      <c r="DE905" s="106"/>
      <c r="DF905" s="106"/>
      <c r="DG905" s="106"/>
      <c r="DH905" s="106"/>
      <c r="DI905" s="106"/>
      <c r="DJ905" s="106"/>
      <c r="DK905" s="106"/>
      <c r="DL905" s="106"/>
      <c r="DM905" s="106"/>
      <c r="DN905" s="106"/>
      <c r="DO905" s="106"/>
      <c r="DP905" s="106"/>
      <c r="DQ905" s="106"/>
      <c r="DR905" s="106"/>
      <c r="DS905" s="106"/>
      <c r="DT905" s="106"/>
      <c r="DU905" s="106"/>
      <c r="DV905" s="106"/>
      <c r="DW905" s="106"/>
      <c r="DX905" s="106"/>
      <c r="DY905" s="106"/>
      <c r="DZ905" s="106"/>
      <c r="EA905" s="106"/>
      <c r="EB905" s="106"/>
      <c r="EC905" s="106"/>
      <c r="ED905" s="106"/>
      <c r="EE905" s="106"/>
      <c r="EF905" s="106"/>
      <c r="EG905" s="106"/>
      <c r="EH905" s="106"/>
      <c r="EI905" s="106"/>
    </row>
    <row r="906" spans="3:139" ht="15.75" customHeight="1" x14ac:dyDescent="0.25"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  <c r="CR906" s="106"/>
      <c r="CS906" s="106"/>
      <c r="CT906" s="106"/>
      <c r="CU906" s="106"/>
      <c r="CV906" s="106"/>
      <c r="CW906" s="106"/>
      <c r="CX906" s="106"/>
      <c r="CY906" s="106"/>
      <c r="CZ906" s="106"/>
      <c r="DA906" s="106"/>
      <c r="DB906" s="106"/>
      <c r="DC906" s="106"/>
      <c r="DD906" s="106"/>
      <c r="DE906" s="106"/>
      <c r="DF906" s="106"/>
      <c r="DG906" s="106"/>
      <c r="DH906" s="106"/>
      <c r="DI906" s="106"/>
      <c r="DJ906" s="106"/>
      <c r="DK906" s="106"/>
      <c r="DL906" s="106"/>
      <c r="DM906" s="106"/>
      <c r="DN906" s="106"/>
      <c r="DO906" s="106"/>
      <c r="DP906" s="106"/>
      <c r="DQ906" s="106"/>
      <c r="DR906" s="106"/>
      <c r="DS906" s="106"/>
      <c r="DT906" s="106"/>
      <c r="DU906" s="106"/>
      <c r="DV906" s="106"/>
      <c r="DW906" s="106"/>
      <c r="DX906" s="106"/>
      <c r="DY906" s="106"/>
      <c r="DZ906" s="106"/>
      <c r="EA906" s="106"/>
      <c r="EB906" s="106"/>
      <c r="EC906" s="106"/>
      <c r="ED906" s="106"/>
      <c r="EE906" s="106"/>
      <c r="EF906" s="106"/>
      <c r="EG906" s="106"/>
      <c r="EH906" s="106"/>
      <c r="EI906" s="106"/>
    </row>
    <row r="907" spans="3:139" ht="15.75" customHeight="1" x14ac:dyDescent="0.25"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  <c r="CR907" s="106"/>
      <c r="CS907" s="106"/>
      <c r="CT907" s="106"/>
      <c r="CU907" s="106"/>
      <c r="CV907" s="106"/>
      <c r="CW907" s="106"/>
      <c r="CX907" s="106"/>
      <c r="CY907" s="106"/>
      <c r="CZ907" s="106"/>
      <c r="DA907" s="106"/>
      <c r="DB907" s="106"/>
      <c r="DC907" s="106"/>
      <c r="DD907" s="106"/>
      <c r="DE907" s="106"/>
      <c r="DF907" s="106"/>
      <c r="DG907" s="106"/>
      <c r="DH907" s="106"/>
      <c r="DI907" s="106"/>
      <c r="DJ907" s="106"/>
      <c r="DK907" s="106"/>
      <c r="DL907" s="106"/>
      <c r="DM907" s="106"/>
      <c r="DN907" s="106"/>
      <c r="DO907" s="106"/>
      <c r="DP907" s="106"/>
      <c r="DQ907" s="106"/>
      <c r="DR907" s="106"/>
      <c r="DS907" s="106"/>
      <c r="DT907" s="106"/>
      <c r="DU907" s="106"/>
      <c r="DV907" s="106"/>
      <c r="DW907" s="106"/>
      <c r="DX907" s="106"/>
      <c r="DY907" s="106"/>
      <c r="DZ907" s="106"/>
      <c r="EA907" s="106"/>
      <c r="EB907" s="106"/>
      <c r="EC907" s="106"/>
      <c r="ED907" s="106"/>
      <c r="EE907" s="106"/>
      <c r="EF907" s="106"/>
      <c r="EG907" s="106"/>
      <c r="EH907" s="106"/>
      <c r="EI907" s="106"/>
    </row>
    <row r="908" spans="3:139" ht="15.75" customHeight="1" x14ac:dyDescent="0.25"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  <c r="CR908" s="106"/>
      <c r="CS908" s="106"/>
      <c r="CT908" s="106"/>
      <c r="CU908" s="106"/>
      <c r="CV908" s="106"/>
      <c r="CW908" s="106"/>
      <c r="CX908" s="106"/>
      <c r="CY908" s="106"/>
      <c r="CZ908" s="106"/>
      <c r="DA908" s="106"/>
      <c r="DB908" s="106"/>
      <c r="DC908" s="106"/>
      <c r="DD908" s="106"/>
      <c r="DE908" s="106"/>
      <c r="DF908" s="106"/>
      <c r="DG908" s="106"/>
      <c r="DH908" s="106"/>
      <c r="DI908" s="106"/>
      <c r="DJ908" s="106"/>
      <c r="DK908" s="106"/>
      <c r="DL908" s="106"/>
      <c r="DM908" s="106"/>
      <c r="DN908" s="106"/>
      <c r="DO908" s="106"/>
      <c r="DP908" s="106"/>
      <c r="DQ908" s="106"/>
      <c r="DR908" s="106"/>
      <c r="DS908" s="106"/>
      <c r="DT908" s="106"/>
      <c r="DU908" s="106"/>
      <c r="DV908" s="106"/>
      <c r="DW908" s="106"/>
      <c r="DX908" s="106"/>
      <c r="DY908" s="106"/>
      <c r="DZ908" s="106"/>
      <c r="EA908" s="106"/>
      <c r="EB908" s="106"/>
      <c r="EC908" s="106"/>
      <c r="ED908" s="106"/>
      <c r="EE908" s="106"/>
      <c r="EF908" s="106"/>
      <c r="EG908" s="106"/>
      <c r="EH908" s="106"/>
      <c r="EI908" s="106"/>
    </row>
    <row r="909" spans="3:139" ht="15.75" customHeight="1" x14ac:dyDescent="0.25"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  <c r="CR909" s="106"/>
      <c r="CS909" s="106"/>
      <c r="CT909" s="106"/>
      <c r="CU909" s="106"/>
      <c r="CV909" s="106"/>
      <c r="CW909" s="106"/>
      <c r="CX909" s="106"/>
      <c r="CY909" s="106"/>
      <c r="CZ909" s="106"/>
      <c r="DA909" s="106"/>
      <c r="DB909" s="106"/>
      <c r="DC909" s="106"/>
      <c r="DD909" s="106"/>
      <c r="DE909" s="106"/>
      <c r="DF909" s="106"/>
      <c r="DG909" s="106"/>
      <c r="DH909" s="106"/>
      <c r="DI909" s="106"/>
      <c r="DJ909" s="106"/>
      <c r="DK909" s="106"/>
      <c r="DL909" s="106"/>
      <c r="DM909" s="106"/>
      <c r="DN909" s="106"/>
      <c r="DO909" s="106"/>
      <c r="DP909" s="106"/>
      <c r="DQ909" s="106"/>
      <c r="DR909" s="106"/>
      <c r="DS909" s="106"/>
      <c r="DT909" s="106"/>
      <c r="DU909" s="106"/>
      <c r="DV909" s="106"/>
      <c r="DW909" s="106"/>
      <c r="DX909" s="106"/>
      <c r="DY909" s="106"/>
      <c r="DZ909" s="106"/>
      <c r="EA909" s="106"/>
      <c r="EB909" s="106"/>
      <c r="EC909" s="106"/>
      <c r="ED909" s="106"/>
      <c r="EE909" s="106"/>
      <c r="EF909" s="106"/>
      <c r="EG909" s="106"/>
      <c r="EH909" s="106"/>
      <c r="EI909" s="106"/>
    </row>
    <row r="910" spans="3:139" ht="15.75" customHeight="1" x14ac:dyDescent="0.25"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  <c r="CR910" s="106"/>
      <c r="CS910" s="106"/>
      <c r="CT910" s="106"/>
      <c r="CU910" s="106"/>
      <c r="CV910" s="106"/>
      <c r="CW910" s="106"/>
      <c r="CX910" s="106"/>
      <c r="CY910" s="106"/>
      <c r="CZ910" s="106"/>
      <c r="DA910" s="106"/>
      <c r="DB910" s="106"/>
      <c r="DC910" s="106"/>
      <c r="DD910" s="106"/>
      <c r="DE910" s="106"/>
      <c r="DF910" s="106"/>
      <c r="DG910" s="106"/>
      <c r="DH910" s="106"/>
      <c r="DI910" s="106"/>
      <c r="DJ910" s="106"/>
      <c r="DK910" s="106"/>
      <c r="DL910" s="106"/>
      <c r="DM910" s="106"/>
      <c r="DN910" s="106"/>
      <c r="DO910" s="106"/>
      <c r="DP910" s="106"/>
      <c r="DQ910" s="106"/>
      <c r="DR910" s="106"/>
      <c r="DS910" s="106"/>
      <c r="DT910" s="106"/>
      <c r="DU910" s="106"/>
      <c r="DV910" s="106"/>
      <c r="DW910" s="106"/>
      <c r="DX910" s="106"/>
      <c r="DY910" s="106"/>
      <c r="DZ910" s="106"/>
      <c r="EA910" s="106"/>
      <c r="EB910" s="106"/>
      <c r="EC910" s="106"/>
      <c r="ED910" s="106"/>
      <c r="EE910" s="106"/>
      <c r="EF910" s="106"/>
      <c r="EG910" s="106"/>
      <c r="EH910" s="106"/>
      <c r="EI910" s="106"/>
    </row>
    <row r="911" spans="3:139" ht="15.75" customHeight="1" x14ac:dyDescent="0.25"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  <c r="CR911" s="106"/>
      <c r="CS911" s="106"/>
      <c r="CT911" s="106"/>
      <c r="CU911" s="106"/>
      <c r="CV911" s="106"/>
      <c r="CW911" s="106"/>
      <c r="CX911" s="106"/>
      <c r="CY911" s="106"/>
      <c r="CZ911" s="106"/>
      <c r="DA911" s="106"/>
      <c r="DB911" s="106"/>
      <c r="DC911" s="106"/>
      <c r="DD911" s="106"/>
      <c r="DE911" s="106"/>
      <c r="DF911" s="106"/>
      <c r="DG911" s="106"/>
      <c r="DH911" s="106"/>
      <c r="DI911" s="106"/>
      <c r="DJ911" s="106"/>
      <c r="DK911" s="106"/>
      <c r="DL911" s="106"/>
      <c r="DM911" s="106"/>
      <c r="DN911" s="106"/>
      <c r="DO911" s="106"/>
      <c r="DP911" s="106"/>
      <c r="DQ911" s="106"/>
      <c r="DR911" s="106"/>
      <c r="DS911" s="106"/>
      <c r="DT911" s="106"/>
      <c r="DU911" s="106"/>
      <c r="DV911" s="106"/>
      <c r="DW911" s="106"/>
      <c r="DX911" s="106"/>
      <c r="DY911" s="106"/>
      <c r="DZ911" s="106"/>
      <c r="EA911" s="106"/>
      <c r="EB911" s="106"/>
      <c r="EC911" s="106"/>
      <c r="ED911" s="106"/>
      <c r="EE911" s="106"/>
      <c r="EF911" s="106"/>
      <c r="EG911" s="106"/>
      <c r="EH911" s="106"/>
      <c r="EI911" s="106"/>
    </row>
    <row r="912" spans="3:139" ht="15.75" customHeight="1" x14ac:dyDescent="0.25"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  <c r="CR912" s="106"/>
      <c r="CS912" s="106"/>
      <c r="CT912" s="106"/>
      <c r="CU912" s="106"/>
      <c r="CV912" s="106"/>
      <c r="CW912" s="106"/>
      <c r="CX912" s="106"/>
      <c r="CY912" s="106"/>
      <c r="CZ912" s="106"/>
      <c r="DA912" s="106"/>
      <c r="DB912" s="106"/>
      <c r="DC912" s="106"/>
      <c r="DD912" s="106"/>
      <c r="DE912" s="106"/>
      <c r="DF912" s="106"/>
      <c r="DG912" s="106"/>
      <c r="DH912" s="106"/>
      <c r="DI912" s="106"/>
      <c r="DJ912" s="106"/>
      <c r="DK912" s="106"/>
      <c r="DL912" s="106"/>
      <c r="DM912" s="106"/>
      <c r="DN912" s="106"/>
      <c r="DO912" s="106"/>
      <c r="DP912" s="106"/>
      <c r="DQ912" s="106"/>
      <c r="DR912" s="106"/>
      <c r="DS912" s="106"/>
      <c r="DT912" s="106"/>
      <c r="DU912" s="106"/>
      <c r="DV912" s="106"/>
      <c r="DW912" s="106"/>
      <c r="DX912" s="106"/>
      <c r="DY912" s="106"/>
      <c r="DZ912" s="106"/>
      <c r="EA912" s="106"/>
      <c r="EB912" s="106"/>
      <c r="EC912" s="106"/>
      <c r="ED912" s="106"/>
      <c r="EE912" s="106"/>
      <c r="EF912" s="106"/>
      <c r="EG912" s="106"/>
      <c r="EH912" s="106"/>
      <c r="EI912" s="106"/>
    </row>
    <row r="913" spans="3:139" ht="15.75" customHeight="1" x14ac:dyDescent="0.25"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  <c r="CR913" s="106"/>
      <c r="CS913" s="106"/>
      <c r="CT913" s="106"/>
      <c r="CU913" s="106"/>
      <c r="CV913" s="106"/>
      <c r="CW913" s="106"/>
      <c r="CX913" s="106"/>
      <c r="CY913" s="106"/>
      <c r="CZ913" s="106"/>
      <c r="DA913" s="106"/>
      <c r="DB913" s="106"/>
      <c r="DC913" s="106"/>
      <c r="DD913" s="106"/>
      <c r="DE913" s="106"/>
      <c r="DF913" s="106"/>
      <c r="DG913" s="106"/>
      <c r="DH913" s="106"/>
      <c r="DI913" s="106"/>
      <c r="DJ913" s="106"/>
      <c r="DK913" s="106"/>
      <c r="DL913" s="106"/>
      <c r="DM913" s="106"/>
      <c r="DN913" s="106"/>
      <c r="DO913" s="106"/>
      <c r="DP913" s="106"/>
      <c r="DQ913" s="106"/>
      <c r="DR913" s="106"/>
      <c r="DS913" s="106"/>
      <c r="DT913" s="106"/>
      <c r="DU913" s="106"/>
      <c r="DV913" s="106"/>
      <c r="DW913" s="106"/>
      <c r="DX913" s="106"/>
      <c r="DY913" s="106"/>
      <c r="DZ913" s="106"/>
      <c r="EA913" s="106"/>
      <c r="EB913" s="106"/>
      <c r="EC913" s="106"/>
      <c r="ED913" s="106"/>
      <c r="EE913" s="106"/>
      <c r="EF913" s="106"/>
      <c r="EG913" s="106"/>
      <c r="EH913" s="106"/>
      <c r="EI913" s="106"/>
    </row>
    <row r="914" spans="3:139" ht="15.75" customHeight="1" x14ac:dyDescent="0.25"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  <c r="CZ914" s="106"/>
      <c r="DA914" s="106"/>
      <c r="DB914" s="106"/>
      <c r="DC914" s="106"/>
      <c r="DD914" s="106"/>
      <c r="DE914" s="106"/>
      <c r="DF914" s="106"/>
      <c r="DG914" s="106"/>
      <c r="DH914" s="106"/>
      <c r="DI914" s="106"/>
      <c r="DJ914" s="106"/>
      <c r="DK914" s="106"/>
      <c r="DL914" s="106"/>
      <c r="DM914" s="106"/>
      <c r="DN914" s="106"/>
      <c r="DO914" s="106"/>
      <c r="DP914" s="106"/>
      <c r="DQ914" s="106"/>
      <c r="DR914" s="106"/>
      <c r="DS914" s="106"/>
      <c r="DT914" s="106"/>
      <c r="DU914" s="106"/>
      <c r="DV914" s="106"/>
      <c r="DW914" s="106"/>
      <c r="DX914" s="106"/>
      <c r="DY914" s="106"/>
      <c r="DZ914" s="106"/>
      <c r="EA914" s="106"/>
      <c r="EB914" s="106"/>
      <c r="EC914" s="106"/>
      <c r="ED914" s="106"/>
      <c r="EE914" s="106"/>
      <c r="EF914" s="106"/>
      <c r="EG914" s="106"/>
      <c r="EH914" s="106"/>
      <c r="EI914" s="106"/>
    </row>
    <row r="915" spans="3:139" ht="15.75" customHeight="1" x14ac:dyDescent="0.25"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  <c r="CR915" s="106"/>
      <c r="CS915" s="106"/>
      <c r="CT915" s="106"/>
      <c r="CU915" s="106"/>
      <c r="CV915" s="106"/>
      <c r="CW915" s="106"/>
      <c r="CX915" s="106"/>
      <c r="CY915" s="106"/>
      <c r="CZ915" s="106"/>
      <c r="DA915" s="106"/>
      <c r="DB915" s="106"/>
      <c r="DC915" s="106"/>
      <c r="DD915" s="106"/>
      <c r="DE915" s="106"/>
      <c r="DF915" s="106"/>
      <c r="DG915" s="106"/>
      <c r="DH915" s="106"/>
      <c r="DI915" s="106"/>
      <c r="DJ915" s="106"/>
      <c r="DK915" s="106"/>
      <c r="DL915" s="106"/>
      <c r="DM915" s="106"/>
      <c r="DN915" s="106"/>
      <c r="DO915" s="106"/>
      <c r="DP915" s="106"/>
      <c r="DQ915" s="106"/>
      <c r="DR915" s="106"/>
      <c r="DS915" s="106"/>
      <c r="DT915" s="106"/>
      <c r="DU915" s="106"/>
      <c r="DV915" s="106"/>
      <c r="DW915" s="106"/>
      <c r="DX915" s="106"/>
      <c r="DY915" s="106"/>
      <c r="DZ915" s="106"/>
      <c r="EA915" s="106"/>
      <c r="EB915" s="106"/>
      <c r="EC915" s="106"/>
      <c r="ED915" s="106"/>
      <c r="EE915" s="106"/>
      <c r="EF915" s="106"/>
      <c r="EG915" s="106"/>
      <c r="EH915" s="106"/>
      <c r="EI915" s="106"/>
    </row>
    <row r="916" spans="3:139" ht="15.75" customHeight="1" x14ac:dyDescent="0.25"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  <c r="CR916" s="106"/>
      <c r="CS916" s="106"/>
      <c r="CT916" s="106"/>
      <c r="CU916" s="106"/>
      <c r="CV916" s="106"/>
      <c r="CW916" s="106"/>
      <c r="CX916" s="106"/>
      <c r="CY916" s="106"/>
      <c r="CZ916" s="106"/>
      <c r="DA916" s="106"/>
      <c r="DB916" s="106"/>
      <c r="DC916" s="106"/>
      <c r="DD916" s="106"/>
      <c r="DE916" s="106"/>
      <c r="DF916" s="106"/>
      <c r="DG916" s="106"/>
      <c r="DH916" s="106"/>
      <c r="DI916" s="106"/>
      <c r="DJ916" s="106"/>
      <c r="DK916" s="106"/>
      <c r="DL916" s="106"/>
      <c r="DM916" s="106"/>
      <c r="DN916" s="106"/>
      <c r="DO916" s="106"/>
      <c r="DP916" s="106"/>
      <c r="DQ916" s="106"/>
      <c r="DR916" s="106"/>
      <c r="DS916" s="106"/>
      <c r="DT916" s="106"/>
      <c r="DU916" s="106"/>
      <c r="DV916" s="106"/>
      <c r="DW916" s="106"/>
      <c r="DX916" s="106"/>
      <c r="DY916" s="106"/>
      <c r="DZ916" s="106"/>
      <c r="EA916" s="106"/>
      <c r="EB916" s="106"/>
      <c r="EC916" s="106"/>
      <c r="ED916" s="106"/>
      <c r="EE916" s="106"/>
      <c r="EF916" s="106"/>
      <c r="EG916" s="106"/>
      <c r="EH916" s="106"/>
      <c r="EI916" s="106"/>
    </row>
    <row r="917" spans="3:139" ht="15.75" customHeight="1" x14ac:dyDescent="0.25"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  <c r="CR917" s="106"/>
      <c r="CS917" s="106"/>
      <c r="CT917" s="106"/>
      <c r="CU917" s="106"/>
      <c r="CV917" s="106"/>
      <c r="CW917" s="106"/>
      <c r="CX917" s="106"/>
      <c r="CY917" s="106"/>
      <c r="CZ917" s="106"/>
      <c r="DA917" s="106"/>
      <c r="DB917" s="106"/>
      <c r="DC917" s="106"/>
      <c r="DD917" s="106"/>
      <c r="DE917" s="106"/>
      <c r="DF917" s="106"/>
      <c r="DG917" s="106"/>
      <c r="DH917" s="106"/>
      <c r="DI917" s="106"/>
      <c r="DJ917" s="106"/>
      <c r="DK917" s="106"/>
      <c r="DL917" s="106"/>
      <c r="DM917" s="106"/>
      <c r="DN917" s="106"/>
      <c r="DO917" s="106"/>
      <c r="DP917" s="106"/>
      <c r="DQ917" s="106"/>
      <c r="DR917" s="106"/>
      <c r="DS917" s="106"/>
      <c r="DT917" s="106"/>
      <c r="DU917" s="106"/>
      <c r="DV917" s="106"/>
      <c r="DW917" s="106"/>
      <c r="DX917" s="106"/>
      <c r="DY917" s="106"/>
      <c r="DZ917" s="106"/>
      <c r="EA917" s="106"/>
      <c r="EB917" s="106"/>
      <c r="EC917" s="106"/>
      <c r="ED917" s="106"/>
      <c r="EE917" s="106"/>
      <c r="EF917" s="106"/>
      <c r="EG917" s="106"/>
      <c r="EH917" s="106"/>
      <c r="EI917" s="106"/>
    </row>
    <row r="918" spans="3:139" ht="15.75" customHeight="1" x14ac:dyDescent="0.25"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  <c r="CR918" s="106"/>
      <c r="CS918" s="106"/>
      <c r="CT918" s="106"/>
      <c r="CU918" s="106"/>
      <c r="CV918" s="106"/>
      <c r="CW918" s="106"/>
      <c r="CX918" s="106"/>
      <c r="CY918" s="106"/>
      <c r="CZ918" s="106"/>
      <c r="DA918" s="106"/>
      <c r="DB918" s="106"/>
      <c r="DC918" s="106"/>
      <c r="DD918" s="106"/>
      <c r="DE918" s="106"/>
      <c r="DF918" s="106"/>
      <c r="DG918" s="106"/>
      <c r="DH918" s="106"/>
      <c r="DI918" s="106"/>
      <c r="DJ918" s="106"/>
      <c r="DK918" s="106"/>
      <c r="DL918" s="106"/>
      <c r="DM918" s="106"/>
      <c r="DN918" s="106"/>
      <c r="DO918" s="106"/>
      <c r="DP918" s="106"/>
      <c r="DQ918" s="106"/>
      <c r="DR918" s="106"/>
      <c r="DS918" s="106"/>
      <c r="DT918" s="106"/>
      <c r="DU918" s="106"/>
      <c r="DV918" s="106"/>
      <c r="DW918" s="106"/>
      <c r="DX918" s="106"/>
      <c r="DY918" s="106"/>
      <c r="DZ918" s="106"/>
      <c r="EA918" s="106"/>
      <c r="EB918" s="106"/>
      <c r="EC918" s="106"/>
      <c r="ED918" s="106"/>
      <c r="EE918" s="106"/>
      <c r="EF918" s="106"/>
      <c r="EG918" s="106"/>
      <c r="EH918" s="106"/>
      <c r="EI918" s="106"/>
    </row>
    <row r="919" spans="3:139" ht="15.75" customHeight="1" x14ac:dyDescent="0.25"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  <c r="CR919" s="106"/>
      <c r="CS919" s="106"/>
      <c r="CT919" s="106"/>
      <c r="CU919" s="106"/>
      <c r="CV919" s="106"/>
      <c r="CW919" s="106"/>
      <c r="CX919" s="106"/>
      <c r="CY919" s="106"/>
      <c r="CZ919" s="106"/>
      <c r="DA919" s="106"/>
      <c r="DB919" s="106"/>
      <c r="DC919" s="106"/>
      <c r="DD919" s="106"/>
      <c r="DE919" s="106"/>
      <c r="DF919" s="106"/>
      <c r="DG919" s="106"/>
      <c r="DH919" s="106"/>
      <c r="DI919" s="106"/>
      <c r="DJ919" s="106"/>
      <c r="DK919" s="106"/>
      <c r="DL919" s="106"/>
      <c r="DM919" s="106"/>
      <c r="DN919" s="106"/>
      <c r="DO919" s="106"/>
      <c r="DP919" s="106"/>
      <c r="DQ919" s="106"/>
      <c r="DR919" s="106"/>
      <c r="DS919" s="106"/>
      <c r="DT919" s="106"/>
      <c r="DU919" s="106"/>
      <c r="DV919" s="106"/>
      <c r="DW919" s="106"/>
      <c r="DX919" s="106"/>
      <c r="DY919" s="106"/>
      <c r="DZ919" s="106"/>
      <c r="EA919" s="106"/>
      <c r="EB919" s="106"/>
      <c r="EC919" s="106"/>
      <c r="ED919" s="106"/>
      <c r="EE919" s="106"/>
      <c r="EF919" s="106"/>
      <c r="EG919" s="106"/>
      <c r="EH919" s="106"/>
      <c r="EI919" s="106"/>
    </row>
    <row r="920" spans="3:139" ht="15.75" customHeight="1" x14ac:dyDescent="0.25"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  <c r="CR920" s="106"/>
      <c r="CS920" s="106"/>
      <c r="CT920" s="106"/>
      <c r="CU920" s="106"/>
      <c r="CV920" s="106"/>
      <c r="CW920" s="106"/>
      <c r="CX920" s="106"/>
      <c r="CY920" s="106"/>
      <c r="CZ920" s="106"/>
      <c r="DA920" s="106"/>
      <c r="DB920" s="106"/>
      <c r="DC920" s="106"/>
      <c r="DD920" s="106"/>
      <c r="DE920" s="106"/>
      <c r="DF920" s="106"/>
      <c r="DG920" s="106"/>
      <c r="DH920" s="106"/>
      <c r="DI920" s="106"/>
      <c r="DJ920" s="106"/>
      <c r="DK920" s="106"/>
      <c r="DL920" s="106"/>
      <c r="DM920" s="106"/>
      <c r="DN920" s="106"/>
      <c r="DO920" s="106"/>
      <c r="DP920" s="106"/>
      <c r="DQ920" s="106"/>
      <c r="DR920" s="106"/>
      <c r="DS920" s="106"/>
      <c r="DT920" s="106"/>
      <c r="DU920" s="106"/>
      <c r="DV920" s="106"/>
      <c r="DW920" s="106"/>
      <c r="DX920" s="106"/>
      <c r="DY920" s="106"/>
      <c r="DZ920" s="106"/>
      <c r="EA920" s="106"/>
      <c r="EB920" s="106"/>
      <c r="EC920" s="106"/>
      <c r="ED920" s="106"/>
      <c r="EE920" s="106"/>
      <c r="EF920" s="106"/>
      <c r="EG920" s="106"/>
      <c r="EH920" s="106"/>
      <c r="EI920" s="106"/>
    </row>
    <row r="921" spans="3:139" ht="15.75" customHeight="1" x14ac:dyDescent="0.25"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  <c r="CR921" s="106"/>
      <c r="CS921" s="106"/>
      <c r="CT921" s="106"/>
      <c r="CU921" s="106"/>
      <c r="CV921" s="106"/>
      <c r="CW921" s="106"/>
      <c r="CX921" s="106"/>
      <c r="CY921" s="106"/>
      <c r="CZ921" s="106"/>
      <c r="DA921" s="106"/>
      <c r="DB921" s="106"/>
      <c r="DC921" s="106"/>
      <c r="DD921" s="106"/>
      <c r="DE921" s="106"/>
      <c r="DF921" s="106"/>
      <c r="DG921" s="106"/>
      <c r="DH921" s="106"/>
      <c r="DI921" s="106"/>
      <c r="DJ921" s="106"/>
      <c r="DK921" s="106"/>
      <c r="DL921" s="106"/>
      <c r="DM921" s="106"/>
      <c r="DN921" s="106"/>
      <c r="DO921" s="106"/>
      <c r="DP921" s="106"/>
      <c r="DQ921" s="106"/>
      <c r="DR921" s="106"/>
      <c r="DS921" s="106"/>
      <c r="DT921" s="106"/>
      <c r="DU921" s="106"/>
      <c r="DV921" s="106"/>
      <c r="DW921" s="106"/>
      <c r="DX921" s="106"/>
      <c r="DY921" s="106"/>
      <c r="DZ921" s="106"/>
      <c r="EA921" s="106"/>
      <c r="EB921" s="106"/>
      <c r="EC921" s="106"/>
      <c r="ED921" s="106"/>
      <c r="EE921" s="106"/>
      <c r="EF921" s="106"/>
      <c r="EG921" s="106"/>
      <c r="EH921" s="106"/>
      <c r="EI921" s="106"/>
    </row>
    <row r="922" spans="3:139" ht="15.75" customHeight="1" x14ac:dyDescent="0.25"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  <c r="CR922" s="106"/>
      <c r="CS922" s="106"/>
      <c r="CT922" s="106"/>
      <c r="CU922" s="106"/>
      <c r="CV922" s="106"/>
      <c r="CW922" s="106"/>
      <c r="CX922" s="106"/>
      <c r="CY922" s="106"/>
      <c r="CZ922" s="106"/>
      <c r="DA922" s="106"/>
      <c r="DB922" s="106"/>
      <c r="DC922" s="106"/>
      <c r="DD922" s="106"/>
      <c r="DE922" s="106"/>
      <c r="DF922" s="106"/>
      <c r="DG922" s="106"/>
      <c r="DH922" s="106"/>
      <c r="DI922" s="106"/>
      <c r="DJ922" s="106"/>
      <c r="DK922" s="106"/>
      <c r="DL922" s="106"/>
      <c r="DM922" s="106"/>
      <c r="DN922" s="106"/>
      <c r="DO922" s="106"/>
      <c r="DP922" s="106"/>
      <c r="DQ922" s="106"/>
      <c r="DR922" s="106"/>
      <c r="DS922" s="106"/>
      <c r="DT922" s="106"/>
      <c r="DU922" s="106"/>
      <c r="DV922" s="106"/>
      <c r="DW922" s="106"/>
      <c r="DX922" s="106"/>
      <c r="DY922" s="106"/>
      <c r="DZ922" s="106"/>
      <c r="EA922" s="106"/>
      <c r="EB922" s="106"/>
      <c r="EC922" s="106"/>
      <c r="ED922" s="106"/>
      <c r="EE922" s="106"/>
      <c r="EF922" s="106"/>
      <c r="EG922" s="106"/>
      <c r="EH922" s="106"/>
      <c r="EI922" s="106"/>
    </row>
    <row r="923" spans="3:139" ht="15.75" customHeight="1" x14ac:dyDescent="0.25"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  <c r="CR923" s="106"/>
      <c r="CS923" s="106"/>
      <c r="CT923" s="106"/>
      <c r="CU923" s="106"/>
      <c r="CV923" s="106"/>
      <c r="CW923" s="106"/>
      <c r="CX923" s="106"/>
      <c r="CY923" s="106"/>
      <c r="CZ923" s="106"/>
      <c r="DA923" s="106"/>
      <c r="DB923" s="106"/>
      <c r="DC923" s="106"/>
      <c r="DD923" s="106"/>
      <c r="DE923" s="106"/>
      <c r="DF923" s="106"/>
      <c r="DG923" s="106"/>
      <c r="DH923" s="106"/>
      <c r="DI923" s="106"/>
      <c r="DJ923" s="106"/>
      <c r="DK923" s="106"/>
      <c r="DL923" s="106"/>
      <c r="DM923" s="106"/>
      <c r="DN923" s="106"/>
      <c r="DO923" s="106"/>
      <c r="DP923" s="106"/>
      <c r="DQ923" s="106"/>
      <c r="DR923" s="106"/>
      <c r="DS923" s="106"/>
      <c r="DT923" s="106"/>
      <c r="DU923" s="106"/>
      <c r="DV923" s="106"/>
      <c r="DW923" s="106"/>
      <c r="DX923" s="106"/>
      <c r="DY923" s="106"/>
      <c r="DZ923" s="106"/>
      <c r="EA923" s="106"/>
      <c r="EB923" s="106"/>
      <c r="EC923" s="106"/>
      <c r="ED923" s="106"/>
      <c r="EE923" s="106"/>
      <c r="EF923" s="106"/>
      <c r="EG923" s="106"/>
      <c r="EH923" s="106"/>
      <c r="EI923" s="106"/>
    </row>
    <row r="924" spans="3:139" ht="15.75" customHeight="1" x14ac:dyDescent="0.25"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  <c r="CR924" s="106"/>
      <c r="CS924" s="106"/>
      <c r="CT924" s="106"/>
      <c r="CU924" s="106"/>
      <c r="CV924" s="106"/>
      <c r="CW924" s="106"/>
      <c r="CX924" s="106"/>
      <c r="CY924" s="106"/>
      <c r="CZ924" s="106"/>
      <c r="DA924" s="106"/>
      <c r="DB924" s="106"/>
      <c r="DC924" s="106"/>
      <c r="DD924" s="106"/>
      <c r="DE924" s="106"/>
      <c r="DF924" s="106"/>
      <c r="DG924" s="106"/>
      <c r="DH924" s="106"/>
      <c r="DI924" s="106"/>
      <c r="DJ924" s="106"/>
      <c r="DK924" s="106"/>
      <c r="DL924" s="106"/>
      <c r="DM924" s="106"/>
      <c r="DN924" s="106"/>
      <c r="DO924" s="106"/>
      <c r="DP924" s="106"/>
      <c r="DQ924" s="106"/>
      <c r="DR924" s="106"/>
      <c r="DS924" s="106"/>
      <c r="DT924" s="106"/>
      <c r="DU924" s="106"/>
      <c r="DV924" s="106"/>
      <c r="DW924" s="106"/>
      <c r="DX924" s="106"/>
      <c r="DY924" s="106"/>
      <c r="DZ924" s="106"/>
      <c r="EA924" s="106"/>
      <c r="EB924" s="106"/>
      <c r="EC924" s="106"/>
      <c r="ED924" s="106"/>
      <c r="EE924" s="106"/>
      <c r="EF924" s="106"/>
      <c r="EG924" s="106"/>
      <c r="EH924" s="106"/>
      <c r="EI924" s="106"/>
    </row>
    <row r="925" spans="3:139" ht="15.75" customHeight="1" x14ac:dyDescent="0.25"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  <c r="CR925" s="106"/>
      <c r="CS925" s="106"/>
      <c r="CT925" s="106"/>
      <c r="CU925" s="106"/>
      <c r="CV925" s="106"/>
      <c r="CW925" s="106"/>
      <c r="CX925" s="106"/>
      <c r="CY925" s="106"/>
      <c r="CZ925" s="106"/>
      <c r="DA925" s="106"/>
      <c r="DB925" s="106"/>
      <c r="DC925" s="106"/>
      <c r="DD925" s="106"/>
      <c r="DE925" s="106"/>
      <c r="DF925" s="106"/>
      <c r="DG925" s="106"/>
      <c r="DH925" s="106"/>
      <c r="DI925" s="106"/>
      <c r="DJ925" s="106"/>
      <c r="DK925" s="106"/>
      <c r="DL925" s="106"/>
      <c r="DM925" s="106"/>
      <c r="DN925" s="106"/>
      <c r="DO925" s="106"/>
      <c r="DP925" s="106"/>
      <c r="DQ925" s="106"/>
      <c r="DR925" s="106"/>
      <c r="DS925" s="106"/>
      <c r="DT925" s="106"/>
      <c r="DU925" s="106"/>
      <c r="DV925" s="106"/>
      <c r="DW925" s="106"/>
      <c r="DX925" s="106"/>
      <c r="DY925" s="106"/>
      <c r="DZ925" s="106"/>
      <c r="EA925" s="106"/>
      <c r="EB925" s="106"/>
      <c r="EC925" s="106"/>
      <c r="ED925" s="106"/>
      <c r="EE925" s="106"/>
      <c r="EF925" s="106"/>
      <c r="EG925" s="106"/>
      <c r="EH925" s="106"/>
      <c r="EI925" s="106"/>
    </row>
    <row r="926" spans="3:139" ht="15.75" customHeight="1" x14ac:dyDescent="0.25"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  <c r="CR926" s="106"/>
      <c r="CS926" s="106"/>
      <c r="CT926" s="106"/>
      <c r="CU926" s="106"/>
      <c r="CV926" s="106"/>
      <c r="CW926" s="106"/>
      <c r="CX926" s="106"/>
      <c r="CY926" s="106"/>
      <c r="CZ926" s="106"/>
      <c r="DA926" s="106"/>
      <c r="DB926" s="106"/>
      <c r="DC926" s="106"/>
      <c r="DD926" s="106"/>
      <c r="DE926" s="106"/>
      <c r="DF926" s="106"/>
      <c r="DG926" s="106"/>
      <c r="DH926" s="106"/>
      <c r="DI926" s="106"/>
      <c r="DJ926" s="106"/>
      <c r="DK926" s="106"/>
      <c r="DL926" s="106"/>
      <c r="DM926" s="106"/>
      <c r="DN926" s="106"/>
      <c r="DO926" s="106"/>
      <c r="DP926" s="106"/>
      <c r="DQ926" s="106"/>
      <c r="DR926" s="106"/>
      <c r="DS926" s="106"/>
      <c r="DT926" s="106"/>
      <c r="DU926" s="106"/>
      <c r="DV926" s="106"/>
      <c r="DW926" s="106"/>
      <c r="DX926" s="106"/>
      <c r="DY926" s="106"/>
      <c r="DZ926" s="106"/>
      <c r="EA926" s="106"/>
      <c r="EB926" s="106"/>
      <c r="EC926" s="106"/>
      <c r="ED926" s="106"/>
      <c r="EE926" s="106"/>
      <c r="EF926" s="106"/>
      <c r="EG926" s="106"/>
      <c r="EH926" s="106"/>
      <c r="EI926" s="106"/>
    </row>
    <row r="927" spans="3:139" ht="15.75" customHeight="1" x14ac:dyDescent="0.25"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  <c r="CR927" s="106"/>
      <c r="CS927" s="106"/>
      <c r="CT927" s="106"/>
      <c r="CU927" s="106"/>
      <c r="CV927" s="106"/>
      <c r="CW927" s="106"/>
      <c r="CX927" s="106"/>
      <c r="CY927" s="106"/>
      <c r="CZ927" s="106"/>
      <c r="DA927" s="106"/>
      <c r="DB927" s="106"/>
      <c r="DC927" s="106"/>
      <c r="DD927" s="106"/>
      <c r="DE927" s="106"/>
      <c r="DF927" s="106"/>
      <c r="DG927" s="106"/>
      <c r="DH927" s="106"/>
      <c r="DI927" s="106"/>
      <c r="DJ927" s="106"/>
      <c r="DK927" s="106"/>
      <c r="DL927" s="106"/>
      <c r="DM927" s="106"/>
      <c r="DN927" s="106"/>
      <c r="DO927" s="106"/>
      <c r="DP927" s="106"/>
      <c r="DQ927" s="106"/>
      <c r="DR927" s="106"/>
      <c r="DS927" s="106"/>
      <c r="DT927" s="106"/>
      <c r="DU927" s="106"/>
      <c r="DV927" s="106"/>
      <c r="DW927" s="106"/>
      <c r="DX927" s="106"/>
      <c r="DY927" s="106"/>
      <c r="DZ927" s="106"/>
      <c r="EA927" s="106"/>
      <c r="EB927" s="106"/>
      <c r="EC927" s="106"/>
      <c r="ED927" s="106"/>
      <c r="EE927" s="106"/>
      <c r="EF927" s="106"/>
      <c r="EG927" s="106"/>
      <c r="EH927" s="106"/>
      <c r="EI927" s="106"/>
    </row>
    <row r="928" spans="3:139" ht="15.75" customHeight="1" x14ac:dyDescent="0.25"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  <c r="CR928" s="106"/>
      <c r="CS928" s="106"/>
      <c r="CT928" s="106"/>
      <c r="CU928" s="106"/>
      <c r="CV928" s="106"/>
      <c r="CW928" s="106"/>
      <c r="CX928" s="106"/>
      <c r="CY928" s="106"/>
      <c r="CZ928" s="106"/>
      <c r="DA928" s="106"/>
      <c r="DB928" s="106"/>
      <c r="DC928" s="106"/>
      <c r="DD928" s="106"/>
      <c r="DE928" s="106"/>
      <c r="DF928" s="106"/>
      <c r="DG928" s="106"/>
      <c r="DH928" s="106"/>
      <c r="DI928" s="106"/>
      <c r="DJ928" s="106"/>
      <c r="DK928" s="106"/>
      <c r="DL928" s="106"/>
      <c r="DM928" s="106"/>
      <c r="DN928" s="106"/>
      <c r="DO928" s="106"/>
      <c r="DP928" s="106"/>
      <c r="DQ928" s="106"/>
      <c r="DR928" s="106"/>
      <c r="DS928" s="106"/>
      <c r="DT928" s="106"/>
      <c r="DU928" s="106"/>
      <c r="DV928" s="106"/>
      <c r="DW928" s="106"/>
      <c r="DX928" s="106"/>
      <c r="DY928" s="106"/>
      <c r="DZ928" s="106"/>
      <c r="EA928" s="106"/>
      <c r="EB928" s="106"/>
      <c r="EC928" s="106"/>
      <c r="ED928" s="106"/>
      <c r="EE928" s="106"/>
      <c r="EF928" s="106"/>
      <c r="EG928" s="106"/>
      <c r="EH928" s="106"/>
      <c r="EI928" s="106"/>
    </row>
    <row r="929" spans="3:139" ht="15.75" customHeight="1" x14ac:dyDescent="0.25"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  <c r="CR929" s="106"/>
      <c r="CS929" s="106"/>
      <c r="CT929" s="106"/>
      <c r="CU929" s="106"/>
      <c r="CV929" s="106"/>
      <c r="CW929" s="106"/>
      <c r="CX929" s="106"/>
      <c r="CY929" s="106"/>
      <c r="CZ929" s="106"/>
      <c r="DA929" s="106"/>
      <c r="DB929" s="106"/>
      <c r="DC929" s="106"/>
      <c r="DD929" s="106"/>
      <c r="DE929" s="106"/>
      <c r="DF929" s="106"/>
      <c r="DG929" s="106"/>
      <c r="DH929" s="106"/>
      <c r="DI929" s="106"/>
      <c r="DJ929" s="106"/>
      <c r="DK929" s="106"/>
      <c r="DL929" s="106"/>
      <c r="DM929" s="106"/>
      <c r="DN929" s="106"/>
      <c r="DO929" s="106"/>
      <c r="DP929" s="106"/>
      <c r="DQ929" s="106"/>
      <c r="DR929" s="106"/>
      <c r="DS929" s="106"/>
      <c r="DT929" s="106"/>
      <c r="DU929" s="106"/>
      <c r="DV929" s="106"/>
      <c r="DW929" s="106"/>
      <c r="DX929" s="106"/>
      <c r="DY929" s="106"/>
      <c r="DZ929" s="106"/>
      <c r="EA929" s="106"/>
      <c r="EB929" s="106"/>
      <c r="EC929" s="106"/>
      <c r="ED929" s="106"/>
      <c r="EE929" s="106"/>
      <c r="EF929" s="106"/>
      <c r="EG929" s="106"/>
      <c r="EH929" s="106"/>
      <c r="EI929" s="106"/>
    </row>
    <row r="930" spans="3:139" ht="15.75" customHeight="1" x14ac:dyDescent="0.25"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  <c r="CR930" s="106"/>
      <c r="CS930" s="106"/>
      <c r="CT930" s="106"/>
      <c r="CU930" s="106"/>
      <c r="CV930" s="106"/>
      <c r="CW930" s="106"/>
      <c r="CX930" s="106"/>
      <c r="CY930" s="106"/>
      <c r="CZ930" s="106"/>
      <c r="DA930" s="106"/>
      <c r="DB930" s="106"/>
      <c r="DC930" s="106"/>
      <c r="DD930" s="106"/>
      <c r="DE930" s="106"/>
      <c r="DF930" s="106"/>
      <c r="DG930" s="106"/>
      <c r="DH930" s="106"/>
      <c r="DI930" s="106"/>
      <c r="DJ930" s="106"/>
      <c r="DK930" s="106"/>
      <c r="DL930" s="106"/>
      <c r="DM930" s="106"/>
      <c r="DN930" s="106"/>
      <c r="DO930" s="106"/>
      <c r="DP930" s="106"/>
      <c r="DQ930" s="106"/>
      <c r="DR930" s="106"/>
      <c r="DS930" s="106"/>
      <c r="DT930" s="106"/>
      <c r="DU930" s="106"/>
      <c r="DV930" s="106"/>
      <c r="DW930" s="106"/>
      <c r="DX930" s="106"/>
      <c r="DY930" s="106"/>
      <c r="DZ930" s="106"/>
      <c r="EA930" s="106"/>
      <c r="EB930" s="106"/>
      <c r="EC930" s="106"/>
      <c r="ED930" s="106"/>
      <c r="EE930" s="106"/>
      <c r="EF930" s="106"/>
      <c r="EG930" s="106"/>
      <c r="EH930" s="106"/>
      <c r="EI930" s="106"/>
    </row>
    <row r="931" spans="3:139" ht="15.75" customHeight="1" x14ac:dyDescent="0.25"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  <c r="CR931" s="106"/>
      <c r="CS931" s="106"/>
      <c r="CT931" s="106"/>
      <c r="CU931" s="106"/>
      <c r="CV931" s="106"/>
      <c r="CW931" s="106"/>
      <c r="CX931" s="106"/>
      <c r="CY931" s="106"/>
      <c r="CZ931" s="106"/>
      <c r="DA931" s="106"/>
      <c r="DB931" s="106"/>
      <c r="DC931" s="106"/>
      <c r="DD931" s="106"/>
      <c r="DE931" s="106"/>
      <c r="DF931" s="106"/>
      <c r="DG931" s="106"/>
      <c r="DH931" s="106"/>
      <c r="DI931" s="106"/>
      <c r="DJ931" s="106"/>
      <c r="DK931" s="106"/>
      <c r="DL931" s="106"/>
      <c r="DM931" s="106"/>
      <c r="DN931" s="106"/>
      <c r="DO931" s="106"/>
      <c r="DP931" s="106"/>
      <c r="DQ931" s="106"/>
      <c r="DR931" s="106"/>
      <c r="DS931" s="106"/>
      <c r="DT931" s="106"/>
      <c r="DU931" s="106"/>
      <c r="DV931" s="106"/>
      <c r="DW931" s="106"/>
      <c r="DX931" s="106"/>
      <c r="DY931" s="106"/>
      <c r="DZ931" s="106"/>
      <c r="EA931" s="106"/>
      <c r="EB931" s="106"/>
      <c r="EC931" s="106"/>
      <c r="ED931" s="106"/>
      <c r="EE931" s="106"/>
      <c r="EF931" s="106"/>
      <c r="EG931" s="106"/>
      <c r="EH931" s="106"/>
      <c r="EI931" s="106"/>
    </row>
    <row r="932" spans="3:139" ht="15.75" customHeight="1" x14ac:dyDescent="0.25"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  <c r="CR932" s="106"/>
      <c r="CS932" s="106"/>
      <c r="CT932" s="106"/>
      <c r="CU932" s="106"/>
      <c r="CV932" s="106"/>
      <c r="CW932" s="106"/>
      <c r="CX932" s="106"/>
      <c r="CY932" s="106"/>
      <c r="CZ932" s="106"/>
      <c r="DA932" s="106"/>
      <c r="DB932" s="106"/>
      <c r="DC932" s="106"/>
      <c r="DD932" s="106"/>
      <c r="DE932" s="106"/>
      <c r="DF932" s="106"/>
      <c r="DG932" s="106"/>
      <c r="DH932" s="106"/>
      <c r="DI932" s="106"/>
      <c r="DJ932" s="106"/>
      <c r="DK932" s="106"/>
      <c r="DL932" s="106"/>
      <c r="DM932" s="106"/>
      <c r="DN932" s="106"/>
      <c r="DO932" s="106"/>
      <c r="DP932" s="106"/>
      <c r="DQ932" s="106"/>
      <c r="DR932" s="106"/>
      <c r="DS932" s="106"/>
      <c r="DT932" s="106"/>
      <c r="DU932" s="106"/>
      <c r="DV932" s="106"/>
      <c r="DW932" s="106"/>
      <c r="DX932" s="106"/>
      <c r="DY932" s="106"/>
      <c r="DZ932" s="106"/>
      <c r="EA932" s="106"/>
      <c r="EB932" s="106"/>
      <c r="EC932" s="106"/>
      <c r="ED932" s="106"/>
      <c r="EE932" s="106"/>
      <c r="EF932" s="106"/>
      <c r="EG932" s="106"/>
      <c r="EH932" s="106"/>
      <c r="EI932" s="106"/>
    </row>
    <row r="933" spans="3:139" ht="15.75" customHeight="1" x14ac:dyDescent="0.25"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  <c r="CR933" s="106"/>
      <c r="CS933" s="106"/>
      <c r="CT933" s="106"/>
      <c r="CU933" s="106"/>
      <c r="CV933" s="106"/>
      <c r="CW933" s="106"/>
      <c r="CX933" s="106"/>
      <c r="CY933" s="106"/>
      <c r="CZ933" s="106"/>
      <c r="DA933" s="106"/>
      <c r="DB933" s="106"/>
      <c r="DC933" s="106"/>
      <c r="DD933" s="106"/>
      <c r="DE933" s="106"/>
      <c r="DF933" s="106"/>
      <c r="DG933" s="106"/>
      <c r="DH933" s="106"/>
      <c r="DI933" s="106"/>
      <c r="DJ933" s="106"/>
      <c r="DK933" s="106"/>
      <c r="DL933" s="106"/>
      <c r="DM933" s="106"/>
      <c r="DN933" s="106"/>
      <c r="DO933" s="106"/>
      <c r="DP933" s="106"/>
      <c r="DQ933" s="106"/>
      <c r="DR933" s="106"/>
      <c r="DS933" s="106"/>
      <c r="DT933" s="106"/>
      <c r="DU933" s="106"/>
      <c r="DV933" s="106"/>
      <c r="DW933" s="106"/>
      <c r="DX933" s="106"/>
      <c r="DY933" s="106"/>
      <c r="DZ933" s="106"/>
      <c r="EA933" s="106"/>
      <c r="EB933" s="106"/>
      <c r="EC933" s="106"/>
      <c r="ED933" s="106"/>
      <c r="EE933" s="106"/>
      <c r="EF933" s="106"/>
      <c r="EG933" s="106"/>
      <c r="EH933" s="106"/>
      <c r="EI933" s="106"/>
    </row>
    <row r="934" spans="3:139" ht="15.75" customHeight="1" x14ac:dyDescent="0.25"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  <c r="CR934" s="106"/>
      <c r="CS934" s="106"/>
      <c r="CT934" s="106"/>
      <c r="CU934" s="106"/>
      <c r="CV934" s="106"/>
      <c r="CW934" s="106"/>
      <c r="CX934" s="106"/>
      <c r="CY934" s="106"/>
      <c r="CZ934" s="106"/>
      <c r="DA934" s="106"/>
      <c r="DB934" s="106"/>
      <c r="DC934" s="106"/>
      <c r="DD934" s="106"/>
      <c r="DE934" s="106"/>
      <c r="DF934" s="106"/>
      <c r="DG934" s="106"/>
      <c r="DH934" s="106"/>
      <c r="DI934" s="106"/>
      <c r="DJ934" s="106"/>
      <c r="DK934" s="106"/>
      <c r="DL934" s="106"/>
      <c r="DM934" s="106"/>
      <c r="DN934" s="106"/>
      <c r="DO934" s="106"/>
      <c r="DP934" s="106"/>
      <c r="DQ934" s="106"/>
      <c r="DR934" s="106"/>
      <c r="DS934" s="106"/>
      <c r="DT934" s="106"/>
      <c r="DU934" s="106"/>
      <c r="DV934" s="106"/>
      <c r="DW934" s="106"/>
      <c r="DX934" s="106"/>
      <c r="DY934" s="106"/>
      <c r="DZ934" s="106"/>
      <c r="EA934" s="106"/>
      <c r="EB934" s="106"/>
      <c r="EC934" s="106"/>
      <c r="ED934" s="106"/>
      <c r="EE934" s="106"/>
      <c r="EF934" s="106"/>
      <c r="EG934" s="106"/>
      <c r="EH934" s="106"/>
      <c r="EI934" s="106"/>
    </row>
    <row r="935" spans="3:139" ht="15.75" customHeight="1" x14ac:dyDescent="0.25"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  <c r="CR935" s="106"/>
      <c r="CS935" s="106"/>
      <c r="CT935" s="106"/>
      <c r="CU935" s="106"/>
      <c r="CV935" s="106"/>
      <c r="CW935" s="106"/>
      <c r="CX935" s="106"/>
      <c r="CY935" s="106"/>
      <c r="CZ935" s="106"/>
      <c r="DA935" s="106"/>
      <c r="DB935" s="106"/>
      <c r="DC935" s="106"/>
      <c r="DD935" s="106"/>
      <c r="DE935" s="106"/>
      <c r="DF935" s="106"/>
      <c r="DG935" s="106"/>
      <c r="DH935" s="106"/>
      <c r="DI935" s="106"/>
      <c r="DJ935" s="106"/>
      <c r="DK935" s="106"/>
      <c r="DL935" s="106"/>
      <c r="DM935" s="106"/>
      <c r="DN935" s="106"/>
      <c r="DO935" s="106"/>
      <c r="DP935" s="106"/>
      <c r="DQ935" s="106"/>
      <c r="DR935" s="106"/>
      <c r="DS935" s="106"/>
      <c r="DT935" s="106"/>
      <c r="DU935" s="106"/>
      <c r="DV935" s="106"/>
      <c r="DW935" s="106"/>
      <c r="DX935" s="106"/>
      <c r="DY935" s="106"/>
      <c r="DZ935" s="106"/>
      <c r="EA935" s="106"/>
      <c r="EB935" s="106"/>
      <c r="EC935" s="106"/>
      <c r="ED935" s="106"/>
      <c r="EE935" s="106"/>
      <c r="EF935" s="106"/>
      <c r="EG935" s="106"/>
      <c r="EH935" s="106"/>
      <c r="EI935" s="106"/>
    </row>
    <row r="936" spans="3:139" ht="15.75" customHeight="1" x14ac:dyDescent="0.25"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  <c r="CR936" s="106"/>
      <c r="CS936" s="106"/>
      <c r="CT936" s="106"/>
      <c r="CU936" s="106"/>
      <c r="CV936" s="106"/>
      <c r="CW936" s="106"/>
      <c r="CX936" s="106"/>
      <c r="CY936" s="106"/>
      <c r="CZ936" s="106"/>
      <c r="DA936" s="106"/>
      <c r="DB936" s="106"/>
      <c r="DC936" s="106"/>
      <c r="DD936" s="106"/>
      <c r="DE936" s="106"/>
      <c r="DF936" s="106"/>
      <c r="DG936" s="106"/>
      <c r="DH936" s="106"/>
      <c r="DI936" s="106"/>
      <c r="DJ936" s="106"/>
      <c r="DK936" s="106"/>
      <c r="DL936" s="106"/>
      <c r="DM936" s="106"/>
      <c r="DN936" s="106"/>
      <c r="DO936" s="106"/>
      <c r="DP936" s="106"/>
      <c r="DQ936" s="106"/>
      <c r="DR936" s="106"/>
      <c r="DS936" s="106"/>
      <c r="DT936" s="106"/>
      <c r="DU936" s="106"/>
      <c r="DV936" s="106"/>
      <c r="DW936" s="106"/>
      <c r="DX936" s="106"/>
      <c r="DY936" s="106"/>
      <c r="DZ936" s="106"/>
      <c r="EA936" s="106"/>
      <c r="EB936" s="106"/>
      <c r="EC936" s="106"/>
      <c r="ED936" s="106"/>
      <c r="EE936" s="106"/>
      <c r="EF936" s="106"/>
      <c r="EG936" s="106"/>
      <c r="EH936" s="106"/>
      <c r="EI936" s="106"/>
    </row>
    <row r="937" spans="3:139" ht="15.75" customHeight="1" x14ac:dyDescent="0.25"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  <c r="CR937" s="106"/>
      <c r="CS937" s="106"/>
      <c r="CT937" s="106"/>
      <c r="CU937" s="106"/>
      <c r="CV937" s="106"/>
      <c r="CW937" s="106"/>
      <c r="CX937" s="106"/>
      <c r="CY937" s="106"/>
      <c r="CZ937" s="106"/>
      <c r="DA937" s="106"/>
      <c r="DB937" s="106"/>
      <c r="DC937" s="106"/>
      <c r="DD937" s="106"/>
      <c r="DE937" s="106"/>
      <c r="DF937" s="106"/>
      <c r="DG937" s="106"/>
      <c r="DH937" s="106"/>
      <c r="DI937" s="106"/>
      <c r="DJ937" s="106"/>
      <c r="DK937" s="106"/>
      <c r="DL937" s="106"/>
      <c r="DM937" s="106"/>
      <c r="DN937" s="106"/>
      <c r="DO937" s="106"/>
      <c r="DP937" s="106"/>
      <c r="DQ937" s="106"/>
      <c r="DR937" s="106"/>
      <c r="DS937" s="106"/>
      <c r="DT937" s="106"/>
      <c r="DU937" s="106"/>
      <c r="DV937" s="106"/>
      <c r="DW937" s="106"/>
      <c r="DX937" s="106"/>
      <c r="DY937" s="106"/>
      <c r="DZ937" s="106"/>
      <c r="EA937" s="106"/>
      <c r="EB937" s="106"/>
      <c r="EC937" s="106"/>
      <c r="ED937" s="106"/>
      <c r="EE937" s="106"/>
      <c r="EF937" s="106"/>
      <c r="EG937" s="106"/>
      <c r="EH937" s="106"/>
      <c r="EI937" s="106"/>
    </row>
    <row r="938" spans="3:139" ht="15.75" customHeight="1" x14ac:dyDescent="0.25"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  <c r="CR938" s="106"/>
      <c r="CS938" s="106"/>
      <c r="CT938" s="106"/>
      <c r="CU938" s="106"/>
      <c r="CV938" s="106"/>
      <c r="CW938" s="106"/>
      <c r="CX938" s="106"/>
      <c r="CY938" s="106"/>
      <c r="CZ938" s="106"/>
      <c r="DA938" s="106"/>
      <c r="DB938" s="106"/>
      <c r="DC938" s="106"/>
      <c r="DD938" s="106"/>
      <c r="DE938" s="106"/>
      <c r="DF938" s="106"/>
      <c r="DG938" s="106"/>
      <c r="DH938" s="106"/>
      <c r="DI938" s="106"/>
      <c r="DJ938" s="106"/>
      <c r="DK938" s="106"/>
      <c r="DL938" s="106"/>
      <c r="DM938" s="106"/>
      <c r="DN938" s="106"/>
      <c r="DO938" s="106"/>
      <c r="DP938" s="106"/>
      <c r="DQ938" s="106"/>
      <c r="DR938" s="106"/>
      <c r="DS938" s="106"/>
      <c r="DT938" s="106"/>
      <c r="DU938" s="106"/>
      <c r="DV938" s="106"/>
      <c r="DW938" s="106"/>
      <c r="DX938" s="106"/>
      <c r="DY938" s="106"/>
      <c r="DZ938" s="106"/>
      <c r="EA938" s="106"/>
      <c r="EB938" s="106"/>
      <c r="EC938" s="106"/>
      <c r="ED938" s="106"/>
      <c r="EE938" s="106"/>
      <c r="EF938" s="106"/>
      <c r="EG938" s="106"/>
      <c r="EH938" s="106"/>
      <c r="EI938" s="106"/>
    </row>
    <row r="939" spans="3:139" ht="15.75" customHeight="1" x14ac:dyDescent="0.25"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  <c r="CR939" s="106"/>
      <c r="CS939" s="106"/>
      <c r="CT939" s="106"/>
      <c r="CU939" s="106"/>
      <c r="CV939" s="106"/>
      <c r="CW939" s="106"/>
      <c r="CX939" s="106"/>
      <c r="CY939" s="106"/>
      <c r="CZ939" s="106"/>
      <c r="DA939" s="106"/>
      <c r="DB939" s="106"/>
      <c r="DC939" s="106"/>
      <c r="DD939" s="106"/>
      <c r="DE939" s="106"/>
      <c r="DF939" s="106"/>
      <c r="DG939" s="106"/>
      <c r="DH939" s="106"/>
      <c r="DI939" s="106"/>
      <c r="DJ939" s="106"/>
      <c r="DK939" s="106"/>
      <c r="DL939" s="106"/>
      <c r="DM939" s="106"/>
      <c r="DN939" s="106"/>
      <c r="DO939" s="106"/>
      <c r="DP939" s="106"/>
      <c r="DQ939" s="106"/>
      <c r="DR939" s="106"/>
      <c r="DS939" s="106"/>
      <c r="DT939" s="106"/>
      <c r="DU939" s="106"/>
      <c r="DV939" s="106"/>
      <c r="DW939" s="106"/>
      <c r="DX939" s="106"/>
      <c r="DY939" s="106"/>
      <c r="DZ939" s="106"/>
      <c r="EA939" s="106"/>
      <c r="EB939" s="106"/>
      <c r="EC939" s="106"/>
      <c r="ED939" s="106"/>
      <c r="EE939" s="106"/>
      <c r="EF939" s="106"/>
      <c r="EG939" s="106"/>
      <c r="EH939" s="106"/>
      <c r="EI939" s="106"/>
    </row>
    <row r="940" spans="3:139" ht="15.75" customHeight="1" x14ac:dyDescent="0.25"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  <c r="CR940" s="106"/>
      <c r="CS940" s="106"/>
      <c r="CT940" s="106"/>
      <c r="CU940" s="106"/>
      <c r="CV940" s="106"/>
      <c r="CW940" s="106"/>
      <c r="CX940" s="106"/>
      <c r="CY940" s="106"/>
      <c r="CZ940" s="106"/>
      <c r="DA940" s="106"/>
      <c r="DB940" s="106"/>
      <c r="DC940" s="106"/>
      <c r="DD940" s="106"/>
      <c r="DE940" s="106"/>
      <c r="DF940" s="106"/>
      <c r="DG940" s="106"/>
      <c r="DH940" s="106"/>
      <c r="DI940" s="106"/>
      <c r="DJ940" s="106"/>
      <c r="DK940" s="106"/>
      <c r="DL940" s="106"/>
      <c r="DM940" s="106"/>
      <c r="DN940" s="106"/>
      <c r="DO940" s="106"/>
      <c r="DP940" s="106"/>
      <c r="DQ940" s="106"/>
      <c r="DR940" s="106"/>
      <c r="DS940" s="106"/>
      <c r="DT940" s="106"/>
      <c r="DU940" s="106"/>
      <c r="DV940" s="106"/>
      <c r="DW940" s="106"/>
      <c r="DX940" s="106"/>
      <c r="DY940" s="106"/>
      <c r="DZ940" s="106"/>
      <c r="EA940" s="106"/>
      <c r="EB940" s="106"/>
      <c r="EC940" s="106"/>
      <c r="ED940" s="106"/>
      <c r="EE940" s="106"/>
      <c r="EF940" s="106"/>
      <c r="EG940" s="106"/>
      <c r="EH940" s="106"/>
      <c r="EI940" s="106"/>
    </row>
    <row r="941" spans="3:139" ht="15.75" customHeight="1" x14ac:dyDescent="0.25"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  <c r="CR941" s="106"/>
      <c r="CS941" s="106"/>
      <c r="CT941" s="106"/>
      <c r="CU941" s="106"/>
      <c r="CV941" s="106"/>
      <c r="CW941" s="106"/>
      <c r="CX941" s="106"/>
      <c r="CY941" s="106"/>
      <c r="CZ941" s="106"/>
      <c r="DA941" s="106"/>
      <c r="DB941" s="106"/>
      <c r="DC941" s="106"/>
      <c r="DD941" s="106"/>
      <c r="DE941" s="106"/>
      <c r="DF941" s="106"/>
      <c r="DG941" s="106"/>
      <c r="DH941" s="106"/>
      <c r="DI941" s="106"/>
      <c r="DJ941" s="106"/>
      <c r="DK941" s="106"/>
      <c r="DL941" s="106"/>
      <c r="DM941" s="106"/>
      <c r="DN941" s="106"/>
      <c r="DO941" s="106"/>
      <c r="DP941" s="106"/>
      <c r="DQ941" s="106"/>
      <c r="DR941" s="106"/>
      <c r="DS941" s="106"/>
      <c r="DT941" s="106"/>
      <c r="DU941" s="106"/>
      <c r="DV941" s="106"/>
      <c r="DW941" s="106"/>
      <c r="DX941" s="106"/>
      <c r="DY941" s="106"/>
      <c r="DZ941" s="106"/>
      <c r="EA941" s="106"/>
      <c r="EB941" s="106"/>
      <c r="EC941" s="106"/>
      <c r="ED941" s="106"/>
      <c r="EE941" s="106"/>
      <c r="EF941" s="106"/>
      <c r="EG941" s="106"/>
      <c r="EH941" s="106"/>
      <c r="EI941" s="106"/>
    </row>
    <row r="942" spans="3:139" ht="15.75" customHeight="1" x14ac:dyDescent="0.25"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  <c r="CR942" s="106"/>
      <c r="CS942" s="106"/>
      <c r="CT942" s="106"/>
      <c r="CU942" s="106"/>
      <c r="CV942" s="106"/>
      <c r="CW942" s="106"/>
      <c r="CX942" s="106"/>
      <c r="CY942" s="106"/>
      <c r="CZ942" s="106"/>
      <c r="DA942" s="106"/>
      <c r="DB942" s="106"/>
      <c r="DC942" s="106"/>
      <c r="DD942" s="106"/>
      <c r="DE942" s="106"/>
      <c r="DF942" s="106"/>
      <c r="DG942" s="106"/>
      <c r="DH942" s="106"/>
      <c r="DI942" s="106"/>
      <c r="DJ942" s="106"/>
      <c r="DK942" s="106"/>
      <c r="DL942" s="106"/>
      <c r="DM942" s="106"/>
      <c r="DN942" s="106"/>
      <c r="DO942" s="106"/>
      <c r="DP942" s="106"/>
      <c r="DQ942" s="106"/>
      <c r="DR942" s="106"/>
      <c r="DS942" s="106"/>
      <c r="DT942" s="106"/>
      <c r="DU942" s="106"/>
      <c r="DV942" s="106"/>
      <c r="DW942" s="106"/>
      <c r="DX942" s="106"/>
      <c r="DY942" s="106"/>
      <c r="DZ942" s="106"/>
      <c r="EA942" s="106"/>
      <c r="EB942" s="106"/>
      <c r="EC942" s="106"/>
      <c r="ED942" s="106"/>
      <c r="EE942" s="106"/>
      <c r="EF942" s="106"/>
      <c r="EG942" s="106"/>
      <c r="EH942" s="106"/>
      <c r="EI942" s="106"/>
    </row>
    <row r="943" spans="3:139" ht="15.75" customHeight="1" x14ac:dyDescent="0.25"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  <c r="CR943" s="106"/>
      <c r="CS943" s="106"/>
      <c r="CT943" s="106"/>
      <c r="CU943" s="106"/>
      <c r="CV943" s="106"/>
      <c r="CW943" s="106"/>
      <c r="CX943" s="106"/>
      <c r="CY943" s="106"/>
      <c r="CZ943" s="106"/>
      <c r="DA943" s="106"/>
      <c r="DB943" s="106"/>
      <c r="DC943" s="106"/>
      <c r="DD943" s="106"/>
      <c r="DE943" s="106"/>
      <c r="DF943" s="106"/>
      <c r="DG943" s="106"/>
      <c r="DH943" s="106"/>
      <c r="DI943" s="106"/>
      <c r="DJ943" s="106"/>
      <c r="DK943" s="106"/>
      <c r="DL943" s="106"/>
      <c r="DM943" s="106"/>
      <c r="DN943" s="106"/>
      <c r="DO943" s="106"/>
      <c r="DP943" s="106"/>
      <c r="DQ943" s="106"/>
      <c r="DR943" s="106"/>
      <c r="DS943" s="106"/>
      <c r="DT943" s="106"/>
      <c r="DU943" s="106"/>
      <c r="DV943" s="106"/>
      <c r="DW943" s="106"/>
      <c r="DX943" s="106"/>
      <c r="DY943" s="106"/>
      <c r="DZ943" s="106"/>
      <c r="EA943" s="106"/>
      <c r="EB943" s="106"/>
      <c r="EC943" s="106"/>
      <c r="ED943" s="106"/>
      <c r="EE943" s="106"/>
      <c r="EF943" s="106"/>
      <c r="EG943" s="106"/>
      <c r="EH943" s="106"/>
      <c r="EI943" s="106"/>
    </row>
    <row r="944" spans="3:139" ht="15.75" customHeight="1" x14ac:dyDescent="0.25"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  <c r="CR944" s="106"/>
      <c r="CS944" s="106"/>
      <c r="CT944" s="106"/>
      <c r="CU944" s="106"/>
      <c r="CV944" s="106"/>
      <c r="CW944" s="106"/>
      <c r="CX944" s="106"/>
      <c r="CY944" s="106"/>
      <c r="CZ944" s="106"/>
      <c r="DA944" s="106"/>
      <c r="DB944" s="106"/>
      <c r="DC944" s="106"/>
      <c r="DD944" s="106"/>
      <c r="DE944" s="106"/>
      <c r="DF944" s="106"/>
      <c r="DG944" s="106"/>
      <c r="DH944" s="106"/>
      <c r="DI944" s="106"/>
      <c r="DJ944" s="106"/>
      <c r="DK944" s="106"/>
      <c r="DL944" s="106"/>
      <c r="DM944" s="106"/>
      <c r="DN944" s="106"/>
      <c r="DO944" s="106"/>
      <c r="DP944" s="106"/>
      <c r="DQ944" s="106"/>
      <c r="DR944" s="106"/>
      <c r="DS944" s="106"/>
      <c r="DT944" s="106"/>
      <c r="DU944" s="106"/>
      <c r="DV944" s="106"/>
      <c r="DW944" s="106"/>
      <c r="DX944" s="106"/>
      <c r="DY944" s="106"/>
      <c r="DZ944" s="106"/>
      <c r="EA944" s="106"/>
      <c r="EB944" s="106"/>
      <c r="EC944" s="106"/>
      <c r="ED944" s="106"/>
      <c r="EE944" s="106"/>
      <c r="EF944" s="106"/>
      <c r="EG944" s="106"/>
      <c r="EH944" s="106"/>
      <c r="EI944" s="106"/>
    </row>
    <row r="945" spans="3:139" ht="15.75" customHeight="1" x14ac:dyDescent="0.25"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  <c r="CR945" s="106"/>
      <c r="CS945" s="106"/>
      <c r="CT945" s="106"/>
      <c r="CU945" s="106"/>
      <c r="CV945" s="106"/>
      <c r="CW945" s="106"/>
      <c r="CX945" s="106"/>
      <c r="CY945" s="106"/>
      <c r="CZ945" s="106"/>
      <c r="DA945" s="106"/>
      <c r="DB945" s="106"/>
      <c r="DC945" s="106"/>
      <c r="DD945" s="106"/>
      <c r="DE945" s="106"/>
      <c r="DF945" s="106"/>
      <c r="DG945" s="106"/>
      <c r="DH945" s="106"/>
      <c r="DI945" s="106"/>
      <c r="DJ945" s="106"/>
      <c r="DK945" s="106"/>
      <c r="DL945" s="106"/>
      <c r="DM945" s="106"/>
      <c r="DN945" s="106"/>
      <c r="DO945" s="106"/>
      <c r="DP945" s="106"/>
      <c r="DQ945" s="106"/>
      <c r="DR945" s="106"/>
      <c r="DS945" s="106"/>
      <c r="DT945" s="106"/>
      <c r="DU945" s="106"/>
      <c r="DV945" s="106"/>
      <c r="DW945" s="106"/>
      <c r="DX945" s="106"/>
      <c r="DY945" s="106"/>
      <c r="DZ945" s="106"/>
      <c r="EA945" s="106"/>
      <c r="EB945" s="106"/>
      <c r="EC945" s="106"/>
      <c r="ED945" s="106"/>
      <c r="EE945" s="106"/>
      <c r="EF945" s="106"/>
      <c r="EG945" s="106"/>
      <c r="EH945" s="106"/>
      <c r="EI945" s="106"/>
    </row>
    <row r="946" spans="3:139" ht="15.75" customHeight="1" x14ac:dyDescent="0.25"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  <c r="CR946" s="106"/>
      <c r="CS946" s="106"/>
      <c r="CT946" s="106"/>
      <c r="CU946" s="106"/>
      <c r="CV946" s="106"/>
      <c r="CW946" s="106"/>
      <c r="CX946" s="106"/>
      <c r="CY946" s="106"/>
      <c r="CZ946" s="106"/>
      <c r="DA946" s="106"/>
      <c r="DB946" s="106"/>
      <c r="DC946" s="106"/>
      <c r="DD946" s="106"/>
      <c r="DE946" s="106"/>
      <c r="DF946" s="106"/>
      <c r="DG946" s="106"/>
      <c r="DH946" s="106"/>
      <c r="DI946" s="106"/>
      <c r="DJ946" s="106"/>
      <c r="DK946" s="106"/>
      <c r="DL946" s="106"/>
      <c r="DM946" s="106"/>
      <c r="DN946" s="106"/>
      <c r="DO946" s="106"/>
      <c r="DP946" s="106"/>
      <c r="DQ946" s="106"/>
      <c r="DR946" s="106"/>
      <c r="DS946" s="106"/>
      <c r="DT946" s="106"/>
      <c r="DU946" s="106"/>
      <c r="DV946" s="106"/>
      <c r="DW946" s="106"/>
      <c r="DX946" s="106"/>
      <c r="DY946" s="106"/>
      <c r="DZ946" s="106"/>
      <c r="EA946" s="106"/>
      <c r="EB946" s="106"/>
      <c r="EC946" s="106"/>
      <c r="ED946" s="106"/>
      <c r="EE946" s="106"/>
      <c r="EF946" s="106"/>
      <c r="EG946" s="106"/>
      <c r="EH946" s="106"/>
      <c r="EI946" s="106"/>
    </row>
    <row r="947" spans="3:139" ht="15.75" customHeight="1" x14ac:dyDescent="0.25"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  <c r="CR947" s="106"/>
      <c r="CS947" s="106"/>
      <c r="CT947" s="106"/>
      <c r="CU947" s="106"/>
      <c r="CV947" s="106"/>
      <c r="CW947" s="106"/>
      <c r="CX947" s="106"/>
      <c r="CY947" s="106"/>
      <c r="CZ947" s="106"/>
      <c r="DA947" s="106"/>
      <c r="DB947" s="106"/>
      <c r="DC947" s="106"/>
      <c r="DD947" s="106"/>
      <c r="DE947" s="106"/>
      <c r="DF947" s="106"/>
      <c r="DG947" s="106"/>
      <c r="DH947" s="106"/>
      <c r="DI947" s="106"/>
      <c r="DJ947" s="106"/>
      <c r="DK947" s="106"/>
      <c r="DL947" s="106"/>
      <c r="DM947" s="106"/>
      <c r="DN947" s="106"/>
      <c r="DO947" s="106"/>
      <c r="DP947" s="106"/>
      <c r="DQ947" s="106"/>
      <c r="DR947" s="106"/>
      <c r="DS947" s="106"/>
      <c r="DT947" s="106"/>
      <c r="DU947" s="106"/>
      <c r="DV947" s="106"/>
      <c r="DW947" s="106"/>
      <c r="DX947" s="106"/>
      <c r="DY947" s="106"/>
      <c r="DZ947" s="106"/>
      <c r="EA947" s="106"/>
      <c r="EB947" s="106"/>
      <c r="EC947" s="106"/>
      <c r="ED947" s="106"/>
      <c r="EE947" s="106"/>
      <c r="EF947" s="106"/>
      <c r="EG947" s="106"/>
      <c r="EH947" s="106"/>
      <c r="EI947" s="106"/>
    </row>
    <row r="948" spans="3:139" ht="15.75" customHeight="1" x14ac:dyDescent="0.25"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  <c r="CR948" s="106"/>
      <c r="CS948" s="106"/>
      <c r="CT948" s="106"/>
      <c r="CU948" s="106"/>
      <c r="CV948" s="106"/>
      <c r="CW948" s="106"/>
      <c r="CX948" s="106"/>
      <c r="CY948" s="106"/>
      <c r="CZ948" s="106"/>
      <c r="DA948" s="106"/>
      <c r="DB948" s="106"/>
      <c r="DC948" s="106"/>
      <c r="DD948" s="106"/>
      <c r="DE948" s="106"/>
      <c r="DF948" s="106"/>
      <c r="DG948" s="106"/>
      <c r="DH948" s="106"/>
      <c r="DI948" s="106"/>
      <c r="DJ948" s="106"/>
      <c r="DK948" s="106"/>
      <c r="DL948" s="106"/>
      <c r="DM948" s="106"/>
      <c r="DN948" s="106"/>
      <c r="DO948" s="106"/>
      <c r="DP948" s="106"/>
      <c r="DQ948" s="106"/>
      <c r="DR948" s="106"/>
      <c r="DS948" s="106"/>
      <c r="DT948" s="106"/>
      <c r="DU948" s="106"/>
      <c r="DV948" s="106"/>
      <c r="DW948" s="106"/>
      <c r="DX948" s="106"/>
      <c r="DY948" s="106"/>
      <c r="DZ948" s="106"/>
      <c r="EA948" s="106"/>
      <c r="EB948" s="106"/>
      <c r="EC948" s="106"/>
      <c r="ED948" s="106"/>
      <c r="EE948" s="106"/>
      <c r="EF948" s="106"/>
      <c r="EG948" s="106"/>
      <c r="EH948" s="106"/>
      <c r="EI948" s="106"/>
    </row>
    <row r="949" spans="3:139" ht="15.75" customHeight="1" x14ac:dyDescent="0.25"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  <c r="CR949" s="106"/>
      <c r="CS949" s="106"/>
      <c r="CT949" s="106"/>
      <c r="CU949" s="106"/>
      <c r="CV949" s="106"/>
      <c r="CW949" s="106"/>
      <c r="CX949" s="106"/>
      <c r="CY949" s="106"/>
      <c r="CZ949" s="106"/>
      <c r="DA949" s="106"/>
      <c r="DB949" s="106"/>
      <c r="DC949" s="106"/>
      <c r="DD949" s="106"/>
      <c r="DE949" s="106"/>
      <c r="DF949" s="106"/>
      <c r="DG949" s="106"/>
      <c r="DH949" s="106"/>
      <c r="DI949" s="106"/>
      <c r="DJ949" s="106"/>
      <c r="DK949" s="106"/>
      <c r="DL949" s="106"/>
      <c r="DM949" s="106"/>
      <c r="DN949" s="106"/>
      <c r="DO949" s="106"/>
      <c r="DP949" s="106"/>
      <c r="DQ949" s="106"/>
      <c r="DR949" s="106"/>
      <c r="DS949" s="106"/>
      <c r="DT949" s="106"/>
      <c r="DU949" s="106"/>
      <c r="DV949" s="106"/>
      <c r="DW949" s="106"/>
      <c r="DX949" s="106"/>
      <c r="DY949" s="106"/>
      <c r="DZ949" s="106"/>
      <c r="EA949" s="106"/>
      <c r="EB949" s="106"/>
      <c r="EC949" s="106"/>
      <c r="ED949" s="106"/>
      <c r="EE949" s="106"/>
      <c r="EF949" s="106"/>
      <c r="EG949" s="106"/>
      <c r="EH949" s="106"/>
      <c r="EI949" s="106"/>
    </row>
    <row r="950" spans="3:139" ht="15.75" customHeight="1" x14ac:dyDescent="0.25"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  <c r="CR950" s="106"/>
      <c r="CS950" s="106"/>
      <c r="CT950" s="106"/>
      <c r="CU950" s="106"/>
      <c r="CV950" s="106"/>
      <c r="CW950" s="106"/>
      <c r="CX950" s="106"/>
      <c r="CY950" s="106"/>
      <c r="CZ950" s="106"/>
      <c r="DA950" s="106"/>
      <c r="DB950" s="106"/>
      <c r="DC950" s="106"/>
      <c r="DD950" s="106"/>
      <c r="DE950" s="106"/>
      <c r="DF950" s="106"/>
      <c r="DG950" s="106"/>
      <c r="DH950" s="106"/>
      <c r="DI950" s="106"/>
      <c r="DJ950" s="106"/>
      <c r="DK950" s="106"/>
      <c r="DL950" s="106"/>
      <c r="DM950" s="106"/>
      <c r="DN950" s="106"/>
      <c r="DO950" s="106"/>
      <c r="DP950" s="106"/>
      <c r="DQ950" s="106"/>
      <c r="DR950" s="106"/>
      <c r="DS950" s="106"/>
      <c r="DT950" s="106"/>
      <c r="DU950" s="106"/>
      <c r="DV950" s="106"/>
      <c r="DW950" s="106"/>
      <c r="DX950" s="106"/>
      <c r="DY950" s="106"/>
      <c r="DZ950" s="106"/>
      <c r="EA950" s="106"/>
      <c r="EB950" s="106"/>
      <c r="EC950" s="106"/>
      <c r="ED950" s="106"/>
      <c r="EE950" s="106"/>
      <c r="EF950" s="106"/>
      <c r="EG950" s="106"/>
      <c r="EH950" s="106"/>
      <c r="EI950" s="106"/>
    </row>
    <row r="951" spans="3:139" ht="15.75" customHeight="1" x14ac:dyDescent="0.25"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  <c r="CR951" s="106"/>
      <c r="CS951" s="106"/>
      <c r="CT951" s="106"/>
      <c r="CU951" s="106"/>
      <c r="CV951" s="106"/>
      <c r="CW951" s="106"/>
      <c r="CX951" s="106"/>
      <c r="CY951" s="106"/>
      <c r="CZ951" s="106"/>
      <c r="DA951" s="106"/>
      <c r="DB951" s="106"/>
      <c r="DC951" s="106"/>
      <c r="DD951" s="106"/>
      <c r="DE951" s="106"/>
      <c r="DF951" s="106"/>
      <c r="DG951" s="106"/>
      <c r="DH951" s="106"/>
      <c r="DI951" s="106"/>
      <c r="DJ951" s="106"/>
      <c r="DK951" s="106"/>
      <c r="DL951" s="106"/>
      <c r="DM951" s="106"/>
      <c r="DN951" s="106"/>
      <c r="DO951" s="106"/>
      <c r="DP951" s="106"/>
      <c r="DQ951" s="106"/>
      <c r="DR951" s="106"/>
      <c r="DS951" s="106"/>
      <c r="DT951" s="106"/>
      <c r="DU951" s="106"/>
      <c r="DV951" s="106"/>
      <c r="DW951" s="106"/>
      <c r="DX951" s="106"/>
      <c r="DY951" s="106"/>
      <c r="DZ951" s="106"/>
      <c r="EA951" s="106"/>
      <c r="EB951" s="106"/>
      <c r="EC951" s="106"/>
      <c r="ED951" s="106"/>
      <c r="EE951" s="106"/>
      <c r="EF951" s="106"/>
      <c r="EG951" s="106"/>
      <c r="EH951" s="106"/>
      <c r="EI951" s="106"/>
    </row>
    <row r="952" spans="3:139" ht="15.75" customHeight="1" x14ac:dyDescent="0.25"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  <c r="CR952" s="106"/>
      <c r="CS952" s="106"/>
      <c r="CT952" s="106"/>
      <c r="CU952" s="106"/>
      <c r="CV952" s="106"/>
      <c r="CW952" s="106"/>
      <c r="CX952" s="106"/>
      <c r="CY952" s="106"/>
      <c r="CZ952" s="106"/>
      <c r="DA952" s="106"/>
      <c r="DB952" s="106"/>
      <c r="DC952" s="106"/>
      <c r="DD952" s="106"/>
      <c r="DE952" s="106"/>
      <c r="DF952" s="106"/>
      <c r="DG952" s="106"/>
      <c r="DH952" s="106"/>
      <c r="DI952" s="106"/>
      <c r="DJ952" s="106"/>
      <c r="DK952" s="106"/>
      <c r="DL952" s="106"/>
      <c r="DM952" s="106"/>
      <c r="DN952" s="106"/>
      <c r="DO952" s="106"/>
      <c r="DP952" s="106"/>
      <c r="DQ952" s="106"/>
      <c r="DR952" s="106"/>
      <c r="DS952" s="106"/>
      <c r="DT952" s="106"/>
      <c r="DU952" s="106"/>
      <c r="DV952" s="106"/>
      <c r="DW952" s="106"/>
      <c r="DX952" s="106"/>
      <c r="DY952" s="106"/>
      <c r="DZ952" s="106"/>
      <c r="EA952" s="106"/>
      <c r="EB952" s="106"/>
      <c r="EC952" s="106"/>
      <c r="ED952" s="106"/>
      <c r="EE952" s="106"/>
      <c r="EF952" s="106"/>
      <c r="EG952" s="106"/>
      <c r="EH952" s="106"/>
      <c r="EI952" s="106"/>
    </row>
    <row r="953" spans="3:139" ht="15.75" customHeight="1" x14ac:dyDescent="0.25"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  <c r="CR953" s="106"/>
      <c r="CS953" s="106"/>
      <c r="CT953" s="106"/>
      <c r="CU953" s="106"/>
      <c r="CV953" s="106"/>
      <c r="CW953" s="106"/>
      <c r="CX953" s="106"/>
      <c r="CY953" s="106"/>
      <c r="CZ953" s="106"/>
      <c r="DA953" s="106"/>
      <c r="DB953" s="106"/>
      <c r="DC953" s="106"/>
      <c r="DD953" s="106"/>
      <c r="DE953" s="106"/>
      <c r="DF953" s="106"/>
      <c r="DG953" s="106"/>
      <c r="DH953" s="106"/>
      <c r="DI953" s="106"/>
      <c r="DJ953" s="106"/>
      <c r="DK953" s="106"/>
      <c r="DL953" s="106"/>
      <c r="DM953" s="106"/>
      <c r="DN953" s="106"/>
      <c r="DO953" s="106"/>
      <c r="DP953" s="106"/>
      <c r="DQ953" s="106"/>
      <c r="DR953" s="106"/>
      <c r="DS953" s="106"/>
      <c r="DT953" s="106"/>
      <c r="DU953" s="106"/>
      <c r="DV953" s="106"/>
      <c r="DW953" s="106"/>
      <c r="DX953" s="106"/>
      <c r="DY953" s="106"/>
      <c r="DZ953" s="106"/>
      <c r="EA953" s="106"/>
      <c r="EB953" s="106"/>
      <c r="EC953" s="106"/>
      <c r="ED953" s="106"/>
      <c r="EE953" s="106"/>
      <c r="EF953" s="106"/>
      <c r="EG953" s="106"/>
      <c r="EH953" s="106"/>
      <c r="EI953" s="106"/>
    </row>
    <row r="954" spans="3:139" ht="15.75" customHeight="1" x14ac:dyDescent="0.25"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  <c r="CR954" s="106"/>
      <c r="CS954" s="106"/>
      <c r="CT954" s="106"/>
      <c r="CU954" s="106"/>
      <c r="CV954" s="106"/>
      <c r="CW954" s="106"/>
      <c r="CX954" s="106"/>
      <c r="CY954" s="106"/>
      <c r="CZ954" s="106"/>
      <c r="DA954" s="106"/>
      <c r="DB954" s="106"/>
      <c r="DC954" s="106"/>
      <c r="DD954" s="106"/>
      <c r="DE954" s="106"/>
      <c r="DF954" s="106"/>
      <c r="DG954" s="106"/>
      <c r="DH954" s="106"/>
      <c r="DI954" s="106"/>
      <c r="DJ954" s="106"/>
      <c r="DK954" s="106"/>
      <c r="DL954" s="106"/>
      <c r="DM954" s="106"/>
      <c r="DN954" s="106"/>
      <c r="DO954" s="106"/>
      <c r="DP954" s="106"/>
      <c r="DQ954" s="106"/>
      <c r="DR954" s="106"/>
      <c r="DS954" s="106"/>
      <c r="DT954" s="106"/>
      <c r="DU954" s="106"/>
      <c r="DV954" s="106"/>
      <c r="DW954" s="106"/>
      <c r="DX954" s="106"/>
      <c r="DY954" s="106"/>
      <c r="DZ954" s="106"/>
      <c r="EA954" s="106"/>
      <c r="EB954" s="106"/>
      <c r="EC954" s="106"/>
      <c r="ED954" s="106"/>
      <c r="EE954" s="106"/>
      <c r="EF954" s="106"/>
      <c r="EG954" s="106"/>
      <c r="EH954" s="106"/>
      <c r="EI954" s="106"/>
    </row>
    <row r="955" spans="3:139" ht="15.75" customHeight="1" x14ac:dyDescent="0.25"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  <c r="CR955" s="106"/>
      <c r="CS955" s="106"/>
      <c r="CT955" s="106"/>
      <c r="CU955" s="106"/>
      <c r="CV955" s="106"/>
      <c r="CW955" s="106"/>
      <c r="CX955" s="106"/>
      <c r="CY955" s="106"/>
      <c r="CZ955" s="106"/>
      <c r="DA955" s="106"/>
      <c r="DB955" s="106"/>
      <c r="DC955" s="106"/>
      <c r="DD955" s="106"/>
      <c r="DE955" s="106"/>
      <c r="DF955" s="106"/>
      <c r="DG955" s="106"/>
      <c r="DH955" s="106"/>
      <c r="DI955" s="106"/>
      <c r="DJ955" s="106"/>
      <c r="DK955" s="106"/>
      <c r="DL955" s="106"/>
      <c r="DM955" s="106"/>
      <c r="DN955" s="106"/>
      <c r="DO955" s="106"/>
      <c r="DP955" s="106"/>
      <c r="DQ955" s="106"/>
      <c r="DR955" s="106"/>
      <c r="DS955" s="106"/>
      <c r="DT955" s="106"/>
      <c r="DU955" s="106"/>
      <c r="DV955" s="106"/>
      <c r="DW955" s="106"/>
      <c r="DX955" s="106"/>
      <c r="DY955" s="106"/>
      <c r="DZ955" s="106"/>
      <c r="EA955" s="106"/>
      <c r="EB955" s="106"/>
      <c r="EC955" s="106"/>
      <c r="ED955" s="106"/>
      <c r="EE955" s="106"/>
      <c r="EF955" s="106"/>
      <c r="EG955" s="106"/>
      <c r="EH955" s="106"/>
      <c r="EI955" s="106"/>
    </row>
    <row r="956" spans="3:139" ht="15.75" customHeight="1" x14ac:dyDescent="0.25"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  <c r="CR956" s="106"/>
      <c r="CS956" s="106"/>
      <c r="CT956" s="106"/>
      <c r="CU956" s="106"/>
      <c r="CV956" s="106"/>
      <c r="CW956" s="106"/>
      <c r="CX956" s="106"/>
      <c r="CY956" s="106"/>
      <c r="CZ956" s="106"/>
      <c r="DA956" s="106"/>
      <c r="DB956" s="106"/>
      <c r="DC956" s="106"/>
      <c r="DD956" s="106"/>
      <c r="DE956" s="106"/>
      <c r="DF956" s="106"/>
      <c r="DG956" s="106"/>
      <c r="DH956" s="106"/>
      <c r="DI956" s="106"/>
      <c r="DJ956" s="106"/>
      <c r="DK956" s="106"/>
      <c r="DL956" s="106"/>
      <c r="DM956" s="106"/>
      <c r="DN956" s="106"/>
      <c r="DO956" s="106"/>
      <c r="DP956" s="106"/>
      <c r="DQ956" s="106"/>
      <c r="DR956" s="106"/>
      <c r="DS956" s="106"/>
      <c r="DT956" s="106"/>
      <c r="DU956" s="106"/>
      <c r="DV956" s="106"/>
      <c r="DW956" s="106"/>
      <c r="DX956" s="106"/>
      <c r="DY956" s="106"/>
      <c r="DZ956" s="106"/>
      <c r="EA956" s="106"/>
      <c r="EB956" s="106"/>
      <c r="EC956" s="106"/>
      <c r="ED956" s="106"/>
      <c r="EE956" s="106"/>
      <c r="EF956" s="106"/>
      <c r="EG956" s="106"/>
      <c r="EH956" s="106"/>
      <c r="EI956" s="106"/>
    </row>
    <row r="957" spans="3:139" ht="15.75" customHeight="1" x14ac:dyDescent="0.25"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  <c r="CR957" s="106"/>
      <c r="CS957" s="106"/>
      <c r="CT957" s="106"/>
      <c r="CU957" s="106"/>
      <c r="CV957" s="106"/>
      <c r="CW957" s="106"/>
      <c r="CX957" s="106"/>
      <c r="CY957" s="106"/>
      <c r="CZ957" s="106"/>
      <c r="DA957" s="106"/>
      <c r="DB957" s="106"/>
      <c r="DC957" s="106"/>
      <c r="DD957" s="106"/>
      <c r="DE957" s="106"/>
      <c r="DF957" s="106"/>
      <c r="DG957" s="106"/>
      <c r="DH957" s="106"/>
      <c r="DI957" s="106"/>
      <c r="DJ957" s="106"/>
      <c r="DK957" s="106"/>
      <c r="DL957" s="106"/>
      <c r="DM957" s="106"/>
      <c r="DN957" s="106"/>
      <c r="DO957" s="106"/>
      <c r="DP957" s="106"/>
      <c r="DQ957" s="106"/>
      <c r="DR957" s="106"/>
      <c r="DS957" s="106"/>
      <c r="DT957" s="106"/>
      <c r="DU957" s="106"/>
      <c r="DV957" s="106"/>
      <c r="DW957" s="106"/>
      <c r="DX957" s="106"/>
      <c r="DY957" s="106"/>
      <c r="DZ957" s="106"/>
      <c r="EA957" s="106"/>
      <c r="EB957" s="106"/>
      <c r="EC957" s="106"/>
      <c r="ED957" s="106"/>
      <c r="EE957" s="106"/>
      <c r="EF957" s="106"/>
      <c r="EG957" s="106"/>
      <c r="EH957" s="106"/>
      <c r="EI957" s="106"/>
    </row>
    <row r="958" spans="3:139" ht="15.75" customHeight="1" x14ac:dyDescent="0.25"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  <c r="CR958" s="106"/>
      <c r="CS958" s="106"/>
      <c r="CT958" s="106"/>
      <c r="CU958" s="106"/>
      <c r="CV958" s="106"/>
      <c r="CW958" s="106"/>
      <c r="CX958" s="106"/>
      <c r="CY958" s="106"/>
      <c r="CZ958" s="106"/>
      <c r="DA958" s="106"/>
      <c r="DB958" s="106"/>
      <c r="DC958" s="106"/>
      <c r="DD958" s="106"/>
      <c r="DE958" s="106"/>
      <c r="DF958" s="106"/>
      <c r="DG958" s="106"/>
      <c r="DH958" s="106"/>
      <c r="DI958" s="106"/>
      <c r="DJ958" s="106"/>
      <c r="DK958" s="106"/>
      <c r="DL958" s="106"/>
      <c r="DM958" s="106"/>
      <c r="DN958" s="106"/>
      <c r="DO958" s="106"/>
      <c r="DP958" s="106"/>
      <c r="DQ958" s="106"/>
      <c r="DR958" s="106"/>
      <c r="DS958" s="106"/>
      <c r="DT958" s="106"/>
      <c r="DU958" s="106"/>
      <c r="DV958" s="106"/>
      <c r="DW958" s="106"/>
      <c r="DX958" s="106"/>
      <c r="DY958" s="106"/>
      <c r="DZ958" s="106"/>
      <c r="EA958" s="106"/>
      <c r="EB958" s="106"/>
      <c r="EC958" s="106"/>
      <c r="ED958" s="106"/>
      <c r="EE958" s="106"/>
      <c r="EF958" s="106"/>
      <c r="EG958" s="106"/>
      <c r="EH958" s="106"/>
      <c r="EI958" s="106"/>
    </row>
    <row r="959" spans="3:139" ht="15.75" customHeight="1" x14ac:dyDescent="0.25"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  <c r="CZ959" s="106"/>
      <c r="DA959" s="106"/>
      <c r="DB959" s="106"/>
      <c r="DC959" s="106"/>
      <c r="DD959" s="106"/>
      <c r="DE959" s="106"/>
      <c r="DF959" s="106"/>
      <c r="DG959" s="106"/>
      <c r="DH959" s="106"/>
      <c r="DI959" s="106"/>
      <c r="DJ959" s="106"/>
      <c r="DK959" s="106"/>
      <c r="DL959" s="106"/>
      <c r="DM959" s="106"/>
      <c r="DN959" s="106"/>
      <c r="DO959" s="106"/>
      <c r="DP959" s="106"/>
      <c r="DQ959" s="106"/>
      <c r="DR959" s="106"/>
      <c r="DS959" s="106"/>
      <c r="DT959" s="106"/>
      <c r="DU959" s="106"/>
      <c r="DV959" s="106"/>
      <c r="DW959" s="106"/>
      <c r="DX959" s="106"/>
      <c r="DY959" s="106"/>
      <c r="DZ959" s="106"/>
      <c r="EA959" s="106"/>
      <c r="EB959" s="106"/>
      <c r="EC959" s="106"/>
      <c r="ED959" s="106"/>
      <c r="EE959" s="106"/>
      <c r="EF959" s="106"/>
      <c r="EG959" s="106"/>
      <c r="EH959" s="106"/>
      <c r="EI959" s="106"/>
    </row>
    <row r="960" spans="3:139" ht="15.75" customHeight="1" x14ac:dyDescent="0.25"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  <c r="CR960" s="106"/>
      <c r="CS960" s="106"/>
      <c r="CT960" s="106"/>
      <c r="CU960" s="106"/>
      <c r="CV960" s="106"/>
      <c r="CW960" s="106"/>
      <c r="CX960" s="106"/>
      <c r="CY960" s="106"/>
      <c r="CZ960" s="106"/>
      <c r="DA960" s="106"/>
      <c r="DB960" s="106"/>
      <c r="DC960" s="106"/>
      <c r="DD960" s="106"/>
      <c r="DE960" s="106"/>
      <c r="DF960" s="106"/>
      <c r="DG960" s="106"/>
      <c r="DH960" s="106"/>
      <c r="DI960" s="106"/>
      <c r="DJ960" s="106"/>
      <c r="DK960" s="106"/>
      <c r="DL960" s="106"/>
      <c r="DM960" s="106"/>
      <c r="DN960" s="106"/>
      <c r="DO960" s="106"/>
      <c r="DP960" s="106"/>
      <c r="DQ960" s="106"/>
      <c r="DR960" s="106"/>
      <c r="DS960" s="106"/>
      <c r="DT960" s="106"/>
      <c r="DU960" s="106"/>
      <c r="DV960" s="106"/>
      <c r="DW960" s="106"/>
      <c r="DX960" s="106"/>
      <c r="DY960" s="106"/>
      <c r="DZ960" s="106"/>
      <c r="EA960" s="106"/>
      <c r="EB960" s="106"/>
      <c r="EC960" s="106"/>
      <c r="ED960" s="106"/>
      <c r="EE960" s="106"/>
      <c r="EF960" s="106"/>
      <c r="EG960" s="106"/>
      <c r="EH960" s="106"/>
      <c r="EI960" s="106"/>
    </row>
    <row r="961" spans="3:139" ht="15.75" customHeight="1" x14ac:dyDescent="0.25"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  <c r="CR961" s="106"/>
      <c r="CS961" s="106"/>
      <c r="CT961" s="106"/>
      <c r="CU961" s="106"/>
      <c r="CV961" s="106"/>
      <c r="CW961" s="106"/>
      <c r="CX961" s="106"/>
      <c r="CY961" s="106"/>
      <c r="CZ961" s="106"/>
      <c r="DA961" s="106"/>
      <c r="DB961" s="106"/>
      <c r="DC961" s="106"/>
      <c r="DD961" s="106"/>
      <c r="DE961" s="106"/>
      <c r="DF961" s="106"/>
      <c r="DG961" s="106"/>
      <c r="DH961" s="106"/>
      <c r="DI961" s="106"/>
      <c r="DJ961" s="106"/>
      <c r="DK961" s="106"/>
      <c r="DL961" s="106"/>
      <c r="DM961" s="106"/>
      <c r="DN961" s="106"/>
      <c r="DO961" s="106"/>
      <c r="DP961" s="106"/>
      <c r="DQ961" s="106"/>
      <c r="DR961" s="106"/>
      <c r="DS961" s="106"/>
      <c r="DT961" s="106"/>
      <c r="DU961" s="106"/>
      <c r="DV961" s="106"/>
      <c r="DW961" s="106"/>
      <c r="DX961" s="106"/>
      <c r="DY961" s="106"/>
      <c r="DZ961" s="106"/>
      <c r="EA961" s="106"/>
      <c r="EB961" s="106"/>
      <c r="EC961" s="106"/>
      <c r="ED961" s="106"/>
      <c r="EE961" s="106"/>
      <c r="EF961" s="106"/>
      <c r="EG961" s="106"/>
      <c r="EH961" s="106"/>
      <c r="EI961" s="106"/>
    </row>
    <row r="962" spans="3:139" ht="15.75" customHeight="1" x14ac:dyDescent="0.25"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  <c r="CR962" s="106"/>
      <c r="CS962" s="106"/>
      <c r="CT962" s="106"/>
      <c r="CU962" s="106"/>
      <c r="CV962" s="106"/>
      <c r="CW962" s="106"/>
      <c r="CX962" s="106"/>
      <c r="CY962" s="106"/>
      <c r="CZ962" s="106"/>
      <c r="DA962" s="106"/>
      <c r="DB962" s="106"/>
      <c r="DC962" s="106"/>
      <c r="DD962" s="106"/>
      <c r="DE962" s="106"/>
      <c r="DF962" s="106"/>
      <c r="DG962" s="106"/>
      <c r="DH962" s="106"/>
      <c r="DI962" s="106"/>
      <c r="DJ962" s="106"/>
      <c r="DK962" s="106"/>
      <c r="DL962" s="106"/>
      <c r="DM962" s="106"/>
      <c r="DN962" s="106"/>
      <c r="DO962" s="106"/>
      <c r="DP962" s="106"/>
      <c r="DQ962" s="106"/>
      <c r="DR962" s="106"/>
      <c r="DS962" s="106"/>
      <c r="DT962" s="106"/>
      <c r="DU962" s="106"/>
      <c r="DV962" s="106"/>
      <c r="DW962" s="106"/>
      <c r="DX962" s="106"/>
      <c r="DY962" s="106"/>
      <c r="DZ962" s="106"/>
      <c r="EA962" s="106"/>
      <c r="EB962" s="106"/>
      <c r="EC962" s="106"/>
      <c r="ED962" s="106"/>
      <c r="EE962" s="106"/>
      <c r="EF962" s="106"/>
      <c r="EG962" s="106"/>
      <c r="EH962" s="106"/>
      <c r="EI962" s="106"/>
    </row>
    <row r="963" spans="3:139" ht="15.75" customHeight="1" x14ac:dyDescent="0.25"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  <c r="CR963" s="106"/>
      <c r="CS963" s="106"/>
      <c r="CT963" s="106"/>
      <c r="CU963" s="106"/>
      <c r="CV963" s="106"/>
      <c r="CW963" s="106"/>
      <c r="CX963" s="106"/>
      <c r="CY963" s="106"/>
      <c r="CZ963" s="106"/>
      <c r="DA963" s="106"/>
      <c r="DB963" s="106"/>
      <c r="DC963" s="106"/>
      <c r="DD963" s="106"/>
      <c r="DE963" s="106"/>
      <c r="DF963" s="106"/>
      <c r="DG963" s="106"/>
      <c r="DH963" s="106"/>
      <c r="DI963" s="106"/>
      <c r="DJ963" s="106"/>
      <c r="DK963" s="106"/>
      <c r="DL963" s="106"/>
      <c r="DM963" s="106"/>
      <c r="DN963" s="106"/>
      <c r="DO963" s="106"/>
      <c r="DP963" s="106"/>
      <c r="DQ963" s="106"/>
      <c r="DR963" s="106"/>
      <c r="DS963" s="106"/>
      <c r="DT963" s="106"/>
      <c r="DU963" s="106"/>
      <c r="DV963" s="106"/>
      <c r="DW963" s="106"/>
      <c r="DX963" s="106"/>
      <c r="DY963" s="106"/>
      <c r="DZ963" s="106"/>
      <c r="EA963" s="106"/>
      <c r="EB963" s="106"/>
      <c r="EC963" s="106"/>
      <c r="ED963" s="106"/>
      <c r="EE963" s="106"/>
      <c r="EF963" s="106"/>
      <c r="EG963" s="106"/>
      <c r="EH963" s="106"/>
      <c r="EI963" s="106"/>
    </row>
    <row r="964" spans="3:139" ht="15.75" customHeight="1" x14ac:dyDescent="0.25"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  <c r="CR964" s="106"/>
      <c r="CS964" s="106"/>
      <c r="CT964" s="106"/>
      <c r="CU964" s="106"/>
      <c r="CV964" s="106"/>
      <c r="CW964" s="106"/>
      <c r="CX964" s="106"/>
      <c r="CY964" s="106"/>
      <c r="CZ964" s="106"/>
      <c r="DA964" s="106"/>
      <c r="DB964" s="106"/>
      <c r="DC964" s="106"/>
      <c r="DD964" s="106"/>
      <c r="DE964" s="106"/>
      <c r="DF964" s="106"/>
      <c r="DG964" s="106"/>
      <c r="DH964" s="106"/>
      <c r="DI964" s="106"/>
      <c r="DJ964" s="106"/>
      <c r="DK964" s="106"/>
      <c r="DL964" s="106"/>
      <c r="DM964" s="106"/>
      <c r="DN964" s="106"/>
      <c r="DO964" s="106"/>
      <c r="DP964" s="106"/>
      <c r="DQ964" s="106"/>
      <c r="DR964" s="106"/>
      <c r="DS964" s="106"/>
      <c r="DT964" s="106"/>
      <c r="DU964" s="106"/>
      <c r="DV964" s="106"/>
      <c r="DW964" s="106"/>
      <c r="DX964" s="106"/>
      <c r="DY964" s="106"/>
      <c r="DZ964" s="106"/>
      <c r="EA964" s="106"/>
      <c r="EB964" s="106"/>
      <c r="EC964" s="106"/>
      <c r="ED964" s="106"/>
      <c r="EE964" s="106"/>
      <c r="EF964" s="106"/>
      <c r="EG964" s="106"/>
      <c r="EH964" s="106"/>
      <c r="EI964" s="106"/>
    </row>
    <row r="965" spans="3:139" ht="15.75" customHeight="1" x14ac:dyDescent="0.25"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  <c r="CR965" s="106"/>
      <c r="CS965" s="106"/>
      <c r="CT965" s="106"/>
      <c r="CU965" s="106"/>
      <c r="CV965" s="106"/>
      <c r="CW965" s="106"/>
      <c r="CX965" s="106"/>
      <c r="CY965" s="106"/>
      <c r="CZ965" s="106"/>
      <c r="DA965" s="106"/>
      <c r="DB965" s="106"/>
      <c r="DC965" s="106"/>
      <c r="DD965" s="106"/>
      <c r="DE965" s="106"/>
      <c r="DF965" s="106"/>
      <c r="DG965" s="106"/>
      <c r="DH965" s="106"/>
      <c r="DI965" s="106"/>
      <c r="DJ965" s="106"/>
      <c r="DK965" s="106"/>
      <c r="DL965" s="106"/>
      <c r="DM965" s="106"/>
      <c r="DN965" s="106"/>
      <c r="DO965" s="106"/>
      <c r="DP965" s="106"/>
      <c r="DQ965" s="106"/>
      <c r="DR965" s="106"/>
      <c r="DS965" s="106"/>
      <c r="DT965" s="106"/>
      <c r="DU965" s="106"/>
      <c r="DV965" s="106"/>
      <c r="DW965" s="106"/>
      <c r="DX965" s="106"/>
      <c r="DY965" s="106"/>
      <c r="DZ965" s="106"/>
      <c r="EA965" s="106"/>
      <c r="EB965" s="106"/>
      <c r="EC965" s="106"/>
      <c r="ED965" s="106"/>
      <c r="EE965" s="106"/>
      <c r="EF965" s="106"/>
      <c r="EG965" s="106"/>
      <c r="EH965" s="106"/>
      <c r="EI965" s="106"/>
    </row>
    <row r="966" spans="3:139" ht="15.75" customHeight="1" x14ac:dyDescent="0.25"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  <c r="CR966" s="106"/>
      <c r="CS966" s="106"/>
      <c r="CT966" s="106"/>
      <c r="CU966" s="106"/>
      <c r="CV966" s="106"/>
      <c r="CW966" s="106"/>
      <c r="CX966" s="106"/>
      <c r="CY966" s="106"/>
      <c r="CZ966" s="106"/>
      <c r="DA966" s="106"/>
      <c r="DB966" s="106"/>
      <c r="DC966" s="106"/>
      <c r="DD966" s="106"/>
      <c r="DE966" s="106"/>
      <c r="DF966" s="106"/>
      <c r="DG966" s="106"/>
      <c r="DH966" s="106"/>
      <c r="DI966" s="106"/>
      <c r="DJ966" s="106"/>
      <c r="DK966" s="106"/>
      <c r="DL966" s="106"/>
      <c r="DM966" s="106"/>
      <c r="DN966" s="106"/>
      <c r="DO966" s="106"/>
      <c r="DP966" s="106"/>
      <c r="DQ966" s="106"/>
      <c r="DR966" s="106"/>
      <c r="DS966" s="106"/>
      <c r="DT966" s="106"/>
      <c r="DU966" s="106"/>
      <c r="DV966" s="106"/>
      <c r="DW966" s="106"/>
      <c r="DX966" s="106"/>
      <c r="DY966" s="106"/>
      <c r="DZ966" s="106"/>
      <c r="EA966" s="106"/>
      <c r="EB966" s="106"/>
      <c r="EC966" s="106"/>
      <c r="ED966" s="106"/>
      <c r="EE966" s="106"/>
      <c r="EF966" s="106"/>
      <c r="EG966" s="106"/>
      <c r="EH966" s="106"/>
      <c r="EI966" s="106"/>
    </row>
    <row r="967" spans="3:139" ht="15.75" customHeight="1" x14ac:dyDescent="0.25"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  <c r="CR967" s="106"/>
      <c r="CS967" s="106"/>
      <c r="CT967" s="106"/>
      <c r="CU967" s="106"/>
      <c r="CV967" s="106"/>
      <c r="CW967" s="106"/>
      <c r="CX967" s="106"/>
      <c r="CY967" s="106"/>
      <c r="CZ967" s="106"/>
      <c r="DA967" s="106"/>
      <c r="DB967" s="106"/>
      <c r="DC967" s="106"/>
      <c r="DD967" s="106"/>
      <c r="DE967" s="106"/>
      <c r="DF967" s="106"/>
      <c r="DG967" s="106"/>
      <c r="DH967" s="106"/>
      <c r="DI967" s="106"/>
      <c r="DJ967" s="106"/>
      <c r="DK967" s="106"/>
      <c r="DL967" s="106"/>
      <c r="DM967" s="106"/>
      <c r="DN967" s="106"/>
      <c r="DO967" s="106"/>
      <c r="DP967" s="106"/>
      <c r="DQ967" s="106"/>
      <c r="DR967" s="106"/>
      <c r="DS967" s="106"/>
      <c r="DT967" s="106"/>
      <c r="DU967" s="106"/>
      <c r="DV967" s="106"/>
      <c r="DW967" s="106"/>
      <c r="DX967" s="106"/>
      <c r="DY967" s="106"/>
      <c r="DZ967" s="106"/>
      <c r="EA967" s="106"/>
      <c r="EB967" s="106"/>
      <c r="EC967" s="106"/>
      <c r="ED967" s="106"/>
      <c r="EE967" s="106"/>
      <c r="EF967" s="106"/>
      <c r="EG967" s="106"/>
      <c r="EH967" s="106"/>
      <c r="EI967" s="106"/>
    </row>
    <row r="968" spans="3:139" ht="15.75" customHeight="1" x14ac:dyDescent="0.25"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  <c r="CZ968" s="106"/>
      <c r="DA968" s="106"/>
      <c r="DB968" s="106"/>
      <c r="DC968" s="106"/>
      <c r="DD968" s="106"/>
      <c r="DE968" s="106"/>
      <c r="DF968" s="106"/>
      <c r="DG968" s="106"/>
      <c r="DH968" s="106"/>
      <c r="DI968" s="106"/>
      <c r="DJ968" s="106"/>
      <c r="DK968" s="106"/>
      <c r="DL968" s="106"/>
      <c r="DM968" s="106"/>
      <c r="DN968" s="106"/>
      <c r="DO968" s="106"/>
      <c r="DP968" s="106"/>
      <c r="DQ968" s="106"/>
      <c r="DR968" s="106"/>
      <c r="DS968" s="106"/>
      <c r="DT968" s="106"/>
      <c r="DU968" s="106"/>
      <c r="DV968" s="106"/>
      <c r="DW968" s="106"/>
      <c r="DX968" s="106"/>
      <c r="DY968" s="106"/>
      <c r="DZ968" s="106"/>
      <c r="EA968" s="106"/>
      <c r="EB968" s="106"/>
      <c r="EC968" s="106"/>
      <c r="ED968" s="106"/>
      <c r="EE968" s="106"/>
      <c r="EF968" s="106"/>
      <c r="EG968" s="106"/>
      <c r="EH968" s="106"/>
      <c r="EI968" s="106"/>
    </row>
    <row r="969" spans="3:139" ht="15.75" customHeight="1" x14ac:dyDescent="0.25"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  <c r="CR969" s="106"/>
      <c r="CS969" s="106"/>
      <c r="CT969" s="106"/>
      <c r="CU969" s="106"/>
      <c r="CV969" s="106"/>
      <c r="CW969" s="106"/>
      <c r="CX969" s="106"/>
      <c r="CY969" s="106"/>
      <c r="CZ969" s="106"/>
      <c r="DA969" s="106"/>
      <c r="DB969" s="106"/>
      <c r="DC969" s="106"/>
      <c r="DD969" s="106"/>
      <c r="DE969" s="106"/>
      <c r="DF969" s="106"/>
      <c r="DG969" s="106"/>
      <c r="DH969" s="106"/>
      <c r="DI969" s="106"/>
      <c r="DJ969" s="106"/>
      <c r="DK969" s="106"/>
      <c r="DL969" s="106"/>
      <c r="DM969" s="106"/>
      <c r="DN969" s="106"/>
      <c r="DO969" s="106"/>
      <c r="DP969" s="106"/>
      <c r="DQ969" s="106"/>
      <c r="DR969" s="106"/>
      <c r="DS969" s="106"/>
      <c r="DT969" s="106"/>
      <c r="DU969" s="106"/>
      <c r="DV969" s="106"/>
      <c r="DW969" s="106"/>
      <c r="DX969" s="106"/>
      <c r="DY969" s="106"/>
      <c r="DZ969" s="106"/>
      <c r="EA969" s="106"/>
      <c r="EB969" s="106"/>
      <c r="EC969" s="106"/>
      <c r="ED969" s="106"/>
      <c r="EE969" s="106"/>
      <c r="EF969" s="106"/>
      <c r="EG969" s="106"/>
      <c r="EH969" s="106"/>
      <c r="EI969" s="106"/>
    </row>
    <row r="970" spans="3:139" ht="15.75" customHeight="1" x14ac:dyDescent="0.25"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  <c r="CR970" s="106"/>
      <c r="CS970" s="106"/>
      <c r="CT970" s="106"/>
      <c r="CU970" s="106"/>
      <c r="CV970" s="106"/>
      <c r="CW970" s="106"/>
      <c r="CX970" s="106"/>
      <c r="CY970" s="106"/>
      <c r="CZ970" s="106"/>
      <c r="DA970" s="106"/>
      <c r="DB970" s="106"/>
      <c r="DC970" s="106"/>
      <c r="DD970" s="106"/>
      <c r="DE970" s="106"/>
      <c r="DF970" s="106"/>
      <c r="DG970" s="106"/>
      <c r="DH970" s="106"/>
      <c r="DI970" s="106"/>
      <c r="DJ970" s="106"/>
      <c r="DK970" s="106"/>
      <c r="DL970" s="106"/>
      <c r="DM970" s="106"/>
      <c r="DN970" s="106"/>
      <c r="DO970" s="106"/>
      <c r="DP970" s="106"/>
      <c r="DQ970" s="106"/>
      <c r="DR970" s="106"/>
      <c r="DS970" s="106"/>
      <c r="DT970" s="106"/>
      <c r="DU970" s="106"/>
      <c r="DV970" s="106"/>
      <c r="DW970" s="106"/>
      <c r="DX970" s="106"/>
      <c r="DY970" s="106"/>
      <c r="DZ970" s="106"/>
      <c r="EA970" s="106"/>
      <c r="EB970" s="106"/>
      <c r="EC970" s="106"/>
      <c r="ED970" s="106"/>
      <c r="EE970" s="106"/>
      <c r="EF970" s="106"/>
      <c r="EG970" s="106"/>
      <c r="EH970" s="106"/>
      <c r="EI970" s="106"/>
    </row>
    <row r="971" spans="3:139" ht="15.75" customHeight="1" x14ac:dyDescent="0.25"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  <c r="CR971" s="106"/>
      <c r="CS971" s="106"/>
      <c r="CT971" s="106"/>
      <c r="CU971" s="106"/>
      <c r="CV971" s="106"/>
      <c r="CW971" s="106"/>
      <c r="CX971" s="106"/>
      <c r="CY971" s="106"/>
      <c r="CZ971" s="106"/>
      <c r="DA971" s="106"/>
      <c r="DB971" s="106"/>
      <c r="DC971" s="106"/>
      <c r="DD971" s="106"/>
      <c r="DE971" s="106"/>
      <c r="DF971" s="106"/>
      <c r="DG971" s="106"/>
      <c r="DH971" s="106"/>
      <c r="DI971" s="106"/>
      <c r="DJ971" s="106"/>
      <c r="DK971" s="106"/>
      <c r="DL971" s="106"/>
      <c r="DM971" s="106"/>
      <c r="DN971" s="106"/>
      <c r="DO971" s="106"/>
      <c r="DP971" s="106"/>
      <c r="DQ971" s="106"/>
      <c r="DR971" s="106"/>
      <c r="DS971" s="106"/>
      <c r="DT971" s="106"/>
      <c r="DU971" s="106"/>
      <c r="DV971" s="106"/>
      <c r="DW971" s="106"/>
      <c r="DX971" s="106"/>
      <c r="DY971" s="106"/>
      <c r="DZ971" s="106"/>
      <c r="EA971" s="106"/>
      <c r="EB971" s="106"/>
      <c r="EC971" s="106"/>
      <c r="ED971" s="106"/>
      <c r="EE971" s="106"/>
      <c r="EF971" s="106"/>
      <c r="EG971" s="106"/>
      <c r="EH971" s="106"/>
      <c r="EI971" s="106"/>
    </row>
    <row r="972" spans="3:139" ht="15.75" customHeight="1" x14ac:dyDescent="0.25"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  <c r="CR972" s="106"/>
      <c r="CS972" s="106"/>
      <c r="CT972" s="106"/>
      <c r="CU972" s="106"/>
      <c r="CV972" s="106"/>
      <c r="CW972" s="106"/>
      <c r="CX972" s="106"/>
      <c r="CY972" s="106"/>
      <c r="CZ972" s="106"/>
      <c r="DA972" s="106"/>
      <c r="DB972" s="106"/>
      <c r="DC972" s="106"/>
      <c r="DD972" s="106"/>
      <c r="DE972" s="106"/>
      <c r="DF972" s="106"/>
      <c r="DG972" s="106"/>
      <c r="DH972" s="106"/>
      <c r="DI972" s="106"/>
      <c r="DJ972" s="106"/>
      <c r="DK972" s="106"/>
      <c r="DL972" s="106"/>
      <c r="DM972" s="106"/>
      <c r="DN972" s="106"/>
      <c r="DO972" s="106"/>
      <c r="DP972" s="106"/>
      <c r="DQ972" s="106"/>
      <c r="DR972" s="106"/>
      <c r="DS972" s="106"/>
      <c r="DT972" s="106"/>
      <c r="DU972" s="106"/>
      <c r="DV972" s="106"/>
      <c r="DW972" s="106"/>
      <c r="DX972" s="106"/>
      <c r="DY972" s="106"/>
      <c r="DZ972" s="106"/>
      <c r="EA972" s="106"/>
      <c r="EB972" s="106"/>
      <c r="EC972" s="106"/>
      <c r="ED972" s="106"/>
      <c r="EE972" s="106"/>
      <c r="EF972" s="106"/>
      <c r="EG972" s="106"/>
      <c r="EH972" s="106"/>
      <c r="EI972" s="106"/>
    </row>
    <row r="973" spans="3:139" ht="15.75" customHeight="1" x14ac:dyDescent="0.25"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  <c r="CR973" s="106"/>
      <c r="CS973" s="106"/>
      <c r="CT973" s="106"/>
      <c r="CU973" s="106"/>
      <c r="CV973" s="106"/>
      <c r="CW973" s="106"/>
      <c r="CX973" s="106"/>
      <c r="CY973" s="106"/>
      <c r="CZ973" s="106"/>
      <c r="DA973" s="106"/>
      <c r="DB973" s="106"/>
      <c r="DC973" s="106"/>
      <c r="DD973" s="106"/>
      <c r="DE973" s="106"/>
      <c r="DF973" s="106"/>
      <c r="DG973" s="106"/>
      <c r="DH973" s="106"/>
      <c r="DI973" s="106"/>
      <c r="DJ973" s="106"/>
      <c r="DK973" s="106"/>
      <c r="DL973" s="106"/>
      <c r="DM973" s="106"/>
      <c r="DN973" s="106"/>
      <c r="DO973" s="106"/>
      <c r="DP973" s="106"/>
      <c r="DQ973" s="106"/>
      <c r="DR973" s="106"/>
      <c r="DS973" s="106"/>
      <c r="DT973" s="106"/>
      <c r="DU973" s="106"/>
      <c r="DV973" s="106"/>
      <c r="DW973" s="106"/>
      <c r="DX973" s="106"/>
      <c r="DY973" s="106"/>
      <c r="DZ973" s="106"/>
      <c r="EA973" s="106"/>
      <c r="EB973" s="106"/>
      <c r="EC973" s="106"/>
      <c r="ED973" s="106"/>
      <c r="EE973" s="106"/>
      <c r="EF973" s="106"/>
      <c r="EG973" s="106"/>
      <c r="EH973" s="106"/>
      <c r="EI973" s="106"/>
    </row>
    <row r="974" spans="3:139" ht="15.75" customHeight="1" x14ac:dyDescent="0.25"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  <c r="CR974" s="106"/>
      <c r="CS974" s="106"/>
      <c r="CT974" s="106"/>
      <c r="CU974" s="106"/>
      <c r="CV974" s="106"/>
      <c r="CW974" s="106"/>
      <c r="CX974" s="106"/>
      <c r="CY974" s="106"/>
      <c r="CZ974" s="106"/>
      <c r="DA974" s="106"/>
      <c r="DB974" s="106"/>
      <c r="DC974" s="106"/>
      <c r="DD974" s="106"/>
      <c r="DE974" s="106"/>
      <c r="DF974" s="106"/>
      <c r="DG974" s="106"/>
      <c r="DH974" s="106"/>
      <c r="DI974" s="106"/>
      <c r="DJ974" s="106"/>
      <c r="DK974" s="106"/>
      <c r="DL974" s="106"/>
      <c r="DM974" s="106"/>
      <c r="DN974" s="106"/>
      <c r="DO974" s="106"/>
      <c r="DP974" s="106"/>
      <c r="DQ974" s="106"/>
      <c r="DR974" s="106"/>
      <c r="DS974" s="106"/>
      <c r="DT974" s="106"/>
      <c r="DU974" s="106"/>
      <c r="DV974" s="106"/>
      <c r="DW974" s="106"/>
      <c r="DX974" s="106"/>
      <c r="DY974" s="106"/>
      <c r="DZ974" s="106"/>
      <c r="EA974" s="106"/>
      <c r="EB974" s="106"/>
      <c r="EC974" s="106"/>
      <c r="ED974" s="106"/>
      <c r="EE974" s="106"/>
      <c r="EF974" s="106"/>
      <c r="EG974" s="106"/>
      <c r="EH974" s="106"/>
      <c r="EI974" s="106"/>
    </row>
    <row r="975" spans="3:139" ht="15.75" customHeight="1" x14ac:dyDescent="0.25"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  <c r="CR975" s="106"/>
      <c r="CS975" s="106"/>
      <c r="CT975" s="106"/>
      <c r="CU975" s="106"/>
      <c r="CV975" s="106"/>
      <c r="CW975" s="106"/>
      <c r="CX975" s="106"/>
      <c r="CY975" s="106"/>
      <c r="CZ975" s="106"/>
      <c r="DA975" s="106"/>
      <c r="DB975" s="106"/>
      <c r="DC975" s="106"/>
      <c r="DD975" s="106"/>
      <c r="DE975" s="106"/>
      <c r="DF975" s="106"/>
      <c r="DG975" s="106"/>
      <c r="DH975" s="106"/>
      <c r="DI975" s="106"/>
      <c r="DJ975" s="106"/>
      <c r="DK975" s="106"/>
      <c r="DL975" s="106"/>
      <c r="DM975" s="106"/>
      <c r="DN975" s="106"/>
      <c r="DO975" s="106"/>
      <c r="DP975" s="106"/>
      <c r="DQ975" s="106"/>
      <c r="DR975" s="106"/>
      <c r="DS975" s="106"/>
      <c r="DT975" s="106"/>
      <c r="DU975" s="106"/>
      <c r="DV975" s="106"/>
      <c r="DW975" s="106"/>
      <c r="DX975" s="106"/>
      <c r="DY975" s="106"/>
      <c r="DZ975" s="106"/>
      <c r="EA975" s="106"/>
      <c r="EB975" s="106"/>
      <c r="EC975" s="106"/>
      <c r="ED975" s="106"/>
      <c r="EE975" s="106"/>
      <c r="EF975" s="106"/>
      <c r="EG975" s="106"/>
      <c r="EH975" s="106"/>
      <c r="EI975" s="106"/>
    </row>
    <row r="976" spans="3:139" ht="15.75" customHeight="1" x14ac:dyDescent="0.25"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  <c r="CR976" s="106"/>
      <c r="CS976" s="106"/>
      <c r="CT976" s="106"/>
      <c r="CU976" s="106"/>
      <c r="CV976" s="106"/>
      <c r="CW976" s="106"/>
      <c r="CX976" s="106"/>
      <c r="CY976" s="106"/>
      <c r="CZ976" s="106"/>
      <c r="DA976" s="106"/>
      <c r="DB976" s="106"/>
      <c r="DC976" s="106"/>
      <c r="DD976" s="106"/>
      <c r="DE976" s="106"/>
      <c r="DF976" s="106"/>
      <c r="DG976" s="106"/>
      <c r="DH976" s="106"/>
      <c r="DI976" s="106"/>
      <c r="DJ976" s="106"/>
      <c r="DK976" s="106"/>
      <c r="DL976" s="106"/>
      <c r="DM976" s="106"/>
      <c r="DN976" s="106"/>
      <c r="DO976" s="106"/>
      <c r="DP976" s="106"/>
      <c r="DQ976" s="106"/>
      <c r="DR976" s="106"/>
      <c r="DS976" s="106"/>
      <c r="DT976" s="106"/>
      <c r="DU976" s="106"/>
      <c r="DV976" s="106"/>
      <c r="DW976" s="106"/>
      <c r="DX976" s="106"/>
      <c r="DY976" s="106"/>
      <c r="DZ976" s="106"/>
      <c r="EA976" s="106"/>
      <c r="EB976" s="106"/>
      <c r="EC976" s="106"/>
      <c r="ED976" s="106"/>
      <c r="EE976" s="106"/>
      <c r="EF976" s="106"/>
      <c r="EG976" s="106"/>
      <c r="EH976" s="106"/>
      <c r="EI976" s="106"/>
    </row>
    <row r="977" spans="3:139" ht="15.75" customHeight="1" x14ac:dyDescent="0.25"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  <c r="CR977" s="106"/>
      <c r="CS977" s="106"/>
      <c r="CT977" s="106"/>
      <c r="CU977" s="106"/>
      <c r="CV977" s="106"/>
      <c r="CW977" s="106"/>
      <c r="CX977" s="106"/>
      <c r="CY977" s="106"/>
      <c r="CZ977" s="106"/>
      <c r="DA977" s="106"/>
      <c r="DB977" s="106"/>
      <c r="DC977" s="106"/>
      <c r="DD977" s="106"/>
      <c r="DE977" s="106"/>
      <c r="DF977" s="106"/>
      <c r="DG977" s="106"/>
      <c r="DH977" s="106"/>
      <c r="DI977" s="106"/>
      <c r="DJ977" s="106"/>
      <c r="DK977" s="106"/>
      <c r="DL977" s="106"/>
      <c r="DM977" s="106"/>
      <c r="DN977" s="106"/>
      <c r="DO977" s="106"/>
      <c r="DP977" s="106"/>
      <c r="DQ977" s="106"/>
      <c r="DR977" s="106"/>
      <c r="DS977" s="106"/>
      <c r="DT977" s="106"/>
      <c r="DU977" s="106"/>
      <c r="DV977" s="106"/>
      <c r="DW977" s="106"/>
      <c r="DX977" s="106"/>
      <c r="DY977" s="106"/>
      <c r="DZ977" s="106"/>
      <c r="EA977" s="106"/>
      <c r="EB977" s="106"/>
      <c r="EC977" s="106"/>
      <c r="ED977" s="106"/>
      <c r="EE977" s="106"/>
      <c r="EF977" s="106"/>
      <c r="EG977" s="106"/>
      <c r="EH977" s="106"/>
      <c r="EI977" s="106"/>
    </row>
    <row r="978" spans="3:139" ht="15.75" customHeight="1" x14ac:dyDescent="0.25"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  <c r="CR978" s="106"/>
      <c r="CS978" s="106"/>
      <c r="CT978" s="106"/>
      <c r="CU978" s="106"/>
      <c r="CV978" s="106"/>
      <c r="CW978" s="106"/>
      <c r="CX978" s="106"/>
      <c r="CY978" s="106"/>
      <c r="CZ978" s="106"/>
      <c r="DA978" s="106"/>
      <c r="DB978" s="106"/>
      <c r="DC978" s="106"/>
      <c r="DD978" s="106"/>
      <c r="DE978" s="106"/>
      <c r="DF978" s="106"/>
      <c r="DG978" s="106"/>
      <c r="DH978" s="106"/>
      <c r="DI978" s="106"/>
      <c r="DJ978" s="106"/>
      <c r="DK978" s="106"/>
      <c r="DL978" s="106"/>
      <c r="DM978" s="106"/>
      <c r="DN978" s="106"/>
      <c r="DO978" s="106"/>
      <c r="DP978" s="106"/>
      <c r="DQ978" s="106"/>
      <c r="DR978" s="106"/>
      <c r="DS978" s="106"/>
      <c r="DT978" s="106"/>
      <c r="DU978" s="106"/>
      <c r="DV978" s="106"/>
      <c r="DW978" s="106"/>
      <c r="DX978" s="106"/>
      <c r="DY978" s="106"/>
      <c r="DZ978" s="106"/>
      <c r="EA978" s="106"/>
      <c r="EB978" s="106"/>
      <c r="EC978" s="106"/>
      <c r="ED978" s="106"/>
      <c r="EE978" s="106"/>
      <c r="EF978" s="106"/>
      <c r="EG978" s="106"/>
      <c r="EH978" s="106"/>
      <c r="EI978" s="106"/>
    </row>
    <row r="979" spans="3:139" ht="15.75" customHeight="1" x14ac:dyDescent="0.25"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  <c r="CR979" s="106"/>
      <c r="CS979" s="106"/>
      <c r="CT979" s="106"/>
      <c r="CU979" s="106"/>
      <c r="CV979" s="106"/>
      <c r="CW979" s="106"/>
      <c r="CX979" s="106"/>
      <c r="CY979" s="106"/>
      <c r="CZ979" s="106"/>
      <c r="DA979" s="106"/>
      <c r="DB979" s="106"/>
      <c r="DC979" s="106"/>
      <c r="DD979" s="106"/>
      <c r="DE979" s="106"/>
      <c r="DF979" s="106"/>
      <c r="DG979" s="106"/>
      <c r="DH979" s="106"/>
      <c r="DI979" s="106"/>
      <c r="DJ979" s="106"/>
      <c r="DK979" s="106"/>
      <c r="DL979" s="106"/>
      <c r="DM979" s="106"/>
      <c r="DN979" s="106"/>
      <c r="DO979" s="106"/>
      <c r="DP979" s="106"/>
      <c r="DQ979" s="106"/>
      <c r="DR979" s="106"/>
      <c r="DS979" s="106"/>
      <c r="DT979" s="106"/>
      <c r="DU979" s="106"/>
      <c r="DV979" s="106"/>
      <c r="DW979" s="106"/>
      <c r="DX979" s="106"/>
      <c r="DY979" s="106"/>
      <c r="DZ979" s="106"/>
      <c r="EA979" s="106"/>
      <c r="EB979" s="106"/>
      <c r="EC979" s="106"/>
      <c r="ED979" s="106"/>
      <c r="EE979" s="106"/>
      <c r="EF979" s="106"/>
      <c r="EG979" s="106"/>
      <c r="EH979" s="106"/>
      <c r="EI979" s="106"/>
    </row>
    <row r="980" spans="3:139" ht="15.75" customHeight="1" x14ac:dyDescent="0.25"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  <c r="CR980" s="106"/>
      <c r="CS980" s="106"/>
      <c r="CT980" s="106"/>
      <c r="CU980" s="106"/>
      <c r="CV980" s="106"/>
      <c r="CW980" s="106"/>
      <c r="CX980" s="106"/>
      <c r="CY980" s="106"/>
      <c r="CZ980" s="106"/>
      <c r="DA980" s="106"/>
      <c r="DB980" s="106"/>
      <c r="DC980" s="106"/>
      <c r="DD980" s="106"/>
      <c r="DE980" s="106"/>
      <c r="DF980" s="106"/>
      <c r="DG980" s="106"/>
      <c r="DH980" s="106"/>
      <c r="DI980" s="106"/>
      <c r="DJ980" s="106"/>
      <c r="DK980" s="106"/>
      <c r="DL980" s="106"/>
      <c r="DM980" s="106"/>
      <c r="DN980" s="106"/>
      <c r="DO980" s="106"/>
      <c r="DP980" s="106"/>
      <c r="DQ980" s="106"/>
      <c r="DR980" s="106"/>
      <c r="DS980" s="106"/>
      <c r="DT980" s="106"/>
      <c r="DU980" s="106"/>
      <c r="DV980" s="106"/>
      <c r="DW980" s="106"/>
      <c r="DX980" s="106"/>
      <c r="DY980" s="106"/>
      <c r="DZ980" s="106"/>
      <c r="EA980" s="106"/>
      <c r="EB980" s="106"/>
      <c r="EC980" s="106"/>
      <c r="ED980" s="106"/>
      <c r="EE980" s="106"/>
      <c r="EF980" s="106"/>
      <c r="EG980" s="106"/>
      <c r="EH980" s="106"/>
      <c r="EI980" s="106"/>
    </row>
    <row r="981" spans="3:139" ht="15.75" customHeight="1" x14ac:dyDescent="0.25"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  <c r="CR981" s="106"/>
      <c r="CS981" s="106"/>
      <c r="CT981" s="106"/>
      <c r="CU981" s="106"/>
      <c r="CV981" s="106"/>
      <c r="CW981" s="106"/>
      <c r="CX981" s="106"/>
      <c r="CY981" s="106"/>
      <c r="CZ981" s="106"/>
      <c r="DA981" s="106"/>
      <c r="DB981" s="106"/>
      <c r="DC981" s="106"/>
      <c r="DD981" s="106"/>
      <c r="DE981" s="106"/>
      <c r="DF981" s="106"/>
      <c r="DG981" s="106"/>
      <c r="DH981" s="106"/>
      <c r="DI981" s="106"/>
      <c r="DJ981" s="106"/>
      <c r="DK981" s="106"/>
      <c r="DL981" s="106"/>
      <c r="DM981" s="106"/>
      <c r="DN981" s="106"/>
      <c r="DO981" s="106"/>
      <c r="DP981" s="106"/>
      <c r="DQ981" s="106"/>
      <c r="DR981" s="106"/>
      <c r="DS981" s="106"/>
      <c r="DT981" s="106"/>
      <c r="DU981" s="106"/>
      <c r="DV981" s="106"/>
      <c r="DW981" s="106"/>
      <c r="DX981" s="106"/>
      <c r="DY981" s="106"/>
      <c r="DZ981" s="106"/>
      <c r="EA981" s="106"/>
      <c r="EB981" s="106"/>
      <c r="EC981" s="106"/>
      <c r="ED981" s="106"/>
      <c r="EE981" s="106"/>
      <c r="EF981" s="106"/>
      <c r="EG981" s="106"/>
      <c r="EH981" s="106"/>
      <c r="EI981" s="106"/>
    </row>
    <row r="982" spans="3:139" ht="15.75" customHeight="1" x14ac:dyDescent="0.25"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  <c r="CR982" s="106"/>
      <c r="CS982" s="106"/>
      <c r="CT982" s="106"/>
      <c r="CU982" s="106"/>
      <c r="CV982" s="106"/>
      <c r="CW982" s="106"/>
      <c r="CX982" s="106"/>
      <c r="CY982" s="106"/>
      <c r="CZ982" s="106"/>
      <c r="DA982" s="106"/>
      <c r="DB982" s="106"/>
      <c r="DC982" s="106"/>
      <c r="DD982" s="106"/>
      <c r="DE982" s="106"/>
      <c r="DF982" s="106"/>
      <c r="DG982" s="106"/>
      <c r="DH982" s="106"/>
      <c r="DI982" s="106"/>
      <c r="DJ982" s="106"/>
      <c r="DK982" s="106"/>
      <c r="DL982" s="106"/>
      <c r="DM982" s="106"/>
      <c r="DN982" s="106"/>
      <c r="DO982" s="106"/>
      <c r="DP982" s="106"/>
      <c r="DQ982" s="106"/>
      <c r="DR982" s="106"/>
      <c r="DS982" s="106"/>
      <c r="DT982" s="106"/>
      <c r="DU982" s="106"/>
      <c r="DV982" s="106"/>
      <c r="DW982" s="106"/>
      <c r="DX982" s="106"/>
      <c r="DY982" s="106"/>
      <c r="DZ982" s="106"/>
      <c r="EA982" s="106"/>
      <c r="EB982" s="106"/>
      <c r="EC982" s="106"/>
      <c r="ED982" s="106"/>
      <c r="EE982" s="106"/>
      <c r="EF982" s="106"/>
      <c r="EG982" s="106"/>
      <c r="EH982" s="106"/>
      <c r="EI982" s="106"/>
    </row>
    <row r="983" spans="3:139" ht="15.75" customHeight="1" x14ac:dyDescent="0.25"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  <c r="CR983" s="106"/>
      <c r="CS983" s="106"/>
      <c r="CT983" s="106"/>
      <c r="CU983" s="106"/>
      <c r="CV983" s="106"/>
      <c r="CW983" s="106"/>
      <c r="CX983" s="106"/>
      <c r="CY983" s="106"/>
      <c r="CZ983" s="106"/>
      <c r="DA983" s="106"/>
      <c r="DB983" s="106"/>
      <c r="DC983" s="106"/>
      <c r="DD983" s="106"/>
      <c r="DE983" s="106"/>
      <c r="DF983" s="106"/>
      <c r="DG983" s="106"/>
      <c r="DH983" s="106"/>
      <c r="DI983" s="106"/>
      <c r="DJ983" s="106"/>
      <c r="DK983" s="106"/>
      <c r="DL983" s="106"/>
      <c r="DM983" s="106"/>
      <c r="DN983" s="106"/>
      <c r="DO983" s="106"/>
      <c r="DP983" s="106"/>
      <c r="DQ983" s="106"/>
      <c r="DR983" s="106"/>
      <c r="DS983" s="106"/>
      <c r="DT983" s="106"/>
      <c r="DU983" s="106"/>
      <c r="DV983" s="106"/>
      <c r="DW983" s="106"/>
      <c r="DX983" s="106"/>
      <c r="DY983" s="106"/>
      <c r="DZ983" s="106"/>
      <c r="EA983" s="106"/>
      <c r="EB983" s="106"/>
      <c r="EC983" s="106"/>
      <c r="ED983" s="106"/>
      <c r="EE983" s="106"/>
      <c r="EF983" s="106"/>
      <c r="EG983" s="106"/>
      <c r="EH983" s="106"/>
      <c r="EI983" s="106"/>
    </row>
    <row r="984" spans="3:139" ht="15.75" customHeight="1" x14ac:dyDescent="0.25"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  <c r="CR984" s="106"/>
      <c r="CS984" s="106"/>
      <c r="CT984" s="106"/>
      <c r="CU984" s="106"/>
      <c r="CV984" s="106"/>
      <c r="CW984" s="106"/>
      <c r="CX984" s="106"/>
      <c r="CY984" s="106"/>
      <c r="CZ984" s="106"/>
      <c r="DA984" s="106"/>
      <c r="DB984" s="106"/>
      <c r="DC984" s="106"/>
      <c r="DD984" s="106"/>
      <c r="DE984" s="106"/>
      <c r="DF984" s="106"/>
      <c r="DG984" s="106"/>
      <c r="DH984" s="106"/>
      <c r="DI984" s="106"/>
      <c r="DJ984" s="106"/>
      <c r="DK984" s="106"/>
      <c r="DL984" s="106"/>
      <c r="DM984" s="106"/>
      <c r="DN984" s="106"/>
      <c r="DO984" s="106"/>
      <c r="DP984" s="106"/>
      <c r="DQ984" s="106"/>
      <c r="DR984" s="106"/>
      <c r="DS984" s="106"/>
      <c r="DT984" s="106"/>
      <c r="DU984" s="106"/>
      <c r="DV984" s="106"/>
      <c r="DW984" s="106"/>
      <c r="DX984" s="106"/>
      <c r="DY984" s="106"/>
      <c r="DZ984" s="106"/>
      <c r="EA984" s="106"/>
      <c r="EB984" s="106"/>
      <c r="EC984" s="106"/>
      <c r="ED984" s="106"/>
      <c r="EE984" s="106"/>
      <c r="EF984" s="106"/>
      <c r="EG984" s="106"/>
      <c r="EH984" s="106"/>
      <c r="EI984" s="106"/>
    </row>
    <row r="985" spans="3:139" ht="15.75" customHeight="1" x14ac:dyDescent="0.25"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  <c r="CR985" s="106"/>
      <c r="CS985" s="106"/>
      <c r="CT985" s="106"/>
      <c r="CU985" s="106"/>
      <c r="CV985" s="106"/>
      <c r="CW985" s="106"/>
      <c r="CX985" s="106"/>
      <c r="CY985" s="106"/>
      <c r="CZ985" s="106"/>
      <c r="DA985" s="106"/>
      <c r="DB985" s="106"/>
      <c r="DC985" s="106"/>
      <c r="DD985" s="106"/>
      <c r="DE985" s="106"/>
      <c r="DF985" s="106"/>
      <c r="DG985" s="106"/>
      <c r="DH985" s="106"/>
      <c r="DI985" s="106"/>
      <c r="DJ985" s="106"/>
      <c r="DK985" s="106"/>
      <c r="DL985" s="106"/>
      <c r="DM985" s="106"/>
      <c r="DN985" s="106"/>
      <c r="DO985" s="106"/>
      <c r="DP985" s="106"/>
      <c r="DQ985" s="106"/>
      <c r="DR985" s="106"/>
      <c r="DS985" s="106"/>
      <c r="DT985" s="106"/>
      <c r="DU985" s="106"/>
      <c r="DV985" s="106"/>
      <c r="DW985" s="106"/>
      <c r="DX985" s="106"/>
      <c r="DY985" s="106"/>
      <c r="DZ985" s="106"/>
      <c r="EA985" s="106"/>
      <c r="EB985" s="106"/>
      <c r="EC985" s="106"/>
      <c r="ED985" s="106"/>
      <c r="EE985" s="106"/>
      <c r="EF985" s="106"/>
      <c r="EG985" s="106"/>
      <c r="EH985" s="106"/>
      <c r="EI985" s="106"/>
    </row>
    <row r="986" spans="3:139" ht="15.75" customHeight="1" x14ac:dyDescent="0.25"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  <c r="CR986" s="106"/>
      <c r="CS986" s="106"/>
      <c r="CT986" s="106"/>
      <c r="CU986" s="106"/>
      <c r="CV986" s="106"/>
      <c r="CW986" s="106"/>
      <c r="CX986" s="106"/>
      <c r="CY986" s="106"/>
      <c r="CZ986" s="106"/>
      <c r="DA986" s="106"/>
      <c r="DB986" s="106"/>
      <c r="DC986" s="106"/>
      <c r="DD986" s="106"/>
      <c r="DE986" s="106"/>
      <c r="DF986" s="106"/>
      <c r="DG986" s="106"/>
      <c r="DH986" s="106"/>
      <c r="DI986" s="106"/>
      <c r="DJ986" s="106"/>
      <c r="DK986" s="106"/>
      <c r="DL986" s="106"/>
      <c r="DM986" s="106"/>
      <c r="DN986" s="106"/>
      <c r="DO986" s="106"/>
      <c r="DP986" s="106"/>
      <c r="DQ986" s="106"/>
      <c r="DR986" s="106"/>
      <c r="DS986" s="106"/>
      <c r="DT986" s="106"/>
      <c r="DU986" s="106"/>
      <c r="DV986" s="106"/>
      <c r="DW986" s="106"/>
      <c r="DX986" s="106"/>
      <c r="DY986" s="106"/>
      <c r="DZ986" s="106"/>
      <c r="EA986" s="106"/>
      <c r="EB986" s="106"/>
      <c r="EC986" s="106"/>
      <c r="ED986" s="106"/>
      <c r="EE986" s="106"/>
      <c r="EF986" s="106"/>
      <c r="EG986" s="106"/>
      <c r="EH986" s="106"/>
      <c r="EI986" s="106"/>
    </row>
    <row r="987" spans="3:139" ht="15.75" customHeight="1" x14ac:dyDescent="0.25"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  <c r="CR987" s="106"/>
      <c r="CS987" s="106"/>
      <c r="CT987" s="106"/>
      <c r="CU987" s="106"/>
      <c r="CV987" s="106"/>
      <c r="CW987" s="106"/>
      <c r="CX987" s="106"/>
      <c r="CY987" s="106"/>
      <c r="CZ987" s="106"/>
      <c r="DA987" s="106"/>
      <c r="DB987" s="106"/>
      <c r="DC987" s="106"/>
      <c r="DD987" s="106"/>
      <c r="DE987" s="106"/>
      <c r="DF987" s="106"/>
      <c r="DG987" s="106"/>
      <c r="DH987" s="106"/>
      <c r="DI987" s="106"/>
      <c r="DJ987" s="106"/>
      <c r="DK987" s="106"/>
      <c r="DL987" s="106"/>
      <c r="DM987" s="106"/>
      <c r="DN987" s="106"/>
      <c r="DO987" s="106"/>
      <c r="DP987" s="106"/>
      <c r="DQ987" s="106"/>
      <c r="DR987" s="106"/>
      <c r="DS987" s="106"/>
      <c r="DT987" s="106"/>
      <c r="DU987" s="106"/>
      <c r="DV987" s="106"/>
      <c r="DW987" s="106"/>
      <c r="DX987" s="106"/>
      <c r="DY987" s="106"/>
      <c r="DZ987" s="106"/>
      <c r="EA987" s="106"/>
      <c r="EB987" s="106"/>
      <c r="EC987" s="106"/>
      <c r="ED987" s="106"/>
      <c r="EE987" s="106"/>
      <c r="EF987" s="106"/>
      <c r="EG987" s="106"/>
      <c r="EH987" s="106"/>
      <c r="EI987" s="106"/>
    </row>
    <row r="988" spans="3:139" ht="15.75" customHeight="1" x14ac:dyDescent="0.25"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  <c r="CR988" s="106"/>
      <c r="CS988" s="106"/>
      <c r="CT988" s="106"/>
      <c r="CU988" s="106"/>
      <c r="CV988" s="106"/>
      <c r="CW988" s="106"/>
      <c r="CX988" s="106"/>
      <c r="CY988" s="106"/>
      <c r="CZ988" s="106"/>
      <c r="DA988" s="106"/>
      <c r="DB988" s="106"/>
      <c r="DC988" s="106"/>
      <c r="DD988" s="106"/>
      <c r="DE988" s="106"/>
      <c r="DF988" s="106"/>
      <c r="DG988" s="106"/>
      <c r="DH988" s="106"/>
      <c r="DI988" s="106"/>
      <c r="DJ988" s="106"/>
      <c r="DK988" s="106"/>
      <c r="DL988" s="106"/>
      <c r="DM988" s="106"/>
      <c r="DN988" s="106"/>
      <c r="DO988" s="106"/>
      <c r="DP988" s="106"/>
      <c r="DQ988" s="106"/>
      <c r="DR988" s="106"/>
      <c r="DS988" s="106"/>
      <c r="DT988" s="106"/>
      <c r="DU988" s="106"/>
      <c r="DV988" s="106"/>
      <c r="DW988" s="106"/>
      <c r="DX988" s="106"/>
      <c r="DY988" s="106"/>
      <c r="DZ988" s="106"/>
      <c r="EA988" s="106"/>
      <c r="EB988" s="106"/>
      <c r="EC988" s="106"/>
      <c r="ED988" s="106"/>
      <c r="EE988" s="106"/>
      <c r="EF988" s="106"/>
      <c r="EG988" s="106"/>
      <c r="EH988" s="106"/>
      <c r="EI988" s="106"/>
    </row>
    <row r="989" spans="3:139" ht="15.75" customHeight="1" x14ac:dyDescent="0.25"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  <c r="CR989" s="106"/>
      <c r="CS989" s="106"/>
      <c r="CT989" s="106"/>
      <c r="CU989" s="106"/>
      <c r="CV989" s="106"/>
      <c r="CW989" s="106"/>
      <c r="CX989" s="106"/>
      <c r="CY989" s="106"/>
      <c r="CZ989" s="106"/>
      <c r="DA989" s="106"/>
      <c r="DB989" s="106"/>
      <c r="DC989" s="106"/>
      <c r="DD989" s="106"/>
      <c r="DE989" s="106"/>
      <c r="DF989" s="106"/>
      <c r="DG989" s="106"/>
      <c r="DH989" s="106"/>
      <c r="DI989" s="106"/>
      <c r="DJ989" s="106"/>
      <c r="DK989" s="106"/>
      <c r="DL989" s="106"/>
      <c r="DM989" s="106"/>
      <c r="DN989" s="106"/>
      <c r="DO989" s="106"/>
      <c r="DP989" s="106"/>
      <c r="DQ989" s="106"/>
      <c r="DR989" s="106"/>
      <c r="DS989" s="106"/>
      <c r="DT989" s="106"/>
      <c r="DU989" s="106"/>
      <c r="DV989" s="106"/>
      <c r="DW989" s="106"/>
      <c r="DX989" s="106"/>
      <c r="DY989" s="106"/>
      <c r="DZ989" s="106"/>
      <c r="EA989" s="106"/>
      <c r="EB989" s="106"/>
      <c r="EC989" s="106"/>
      <c r="ED989" s="106"/>
      <c r="EE989" s="106"/>
      <c r="EF989" s="106"/>
      <c r="EG989" s="106"/>
      <c r="EH989" s="106"/>
      <c r="EI989" s="106"/>
    </row>
    <row r="990" spans="3:139" ht="15.75" customHeight="1" x14ac:dyDescent="0.25"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  <c r="CR990" s="106"/>
      <c r="CS990" s="106"/>
      <c r="CT990" s="106"/>
      <c r="CU990" s="106"/>
      <c r="CV990" s="106"/>
      <c r="CW990" s="106"/>
      <c r="CX990" s="106"/>
      <c r="CY990" s="106"/>
      <c r="CZ990" s="106"/>
      <c r="DA990" s="106"/>
      <c r="DB990" s="106"/>
      <c r="DC990" s="106"/>
      <c r="DD990" s="106"/>
      <c r="DE990" s="106"/>
      <c r="DF990" s="106"/>
      <c r="DG990" s="106"/>
      <c r="DH990" s="106"/>
      <c r="DI990" s="106"/>
      <c r="DJ990" s="106"/>
      <c r="DK990" s="106"/>
      <c r="DL990" s="106"/>
      <c r="DM990" s="106"/>
      <c r="DN990" s="106"/>
      <c r="DO990" s="106"/>
      <c r="DP990" s="106"/>
      <c r="DQ990" s="106"/>
      <c r="DR990" s="106"/>
      <c r="DS990" s="106"/>
      <c r="DT990" s="106"/>
      <c r="DU990" s="106"/>
      <c r="DV990" s="106"/>
      <c r="DW990" s="106"/>
      <c r="DX990" s="106"/>
      <c r="DY990" s="106"/>
      <c r="DZ990" s="106"/>
      <c r="EA990" s="106"/>
      <c r="EB990" s="106"/>
      <c r="EC990" s="106"/>
      <c r="ED990" s="106"/>
      <c r="EE990" s="106"/>
      <c r="EF990" s="106"/>
      <c r="EG990" s="106"/>
      <c r="EH990" s="106"/>
      <c r="EI990" s="106"/>
    </row>
    <row r="991" spans="3:139" ht="15.75" customHeight="1" x14ac:dyDescent="0.25"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  <c r="CR991" s="106"/>
      <c r="CS991" s="106"/>
      <c r="CT991" s="106"/>
      <c r="CU991" s="106"/>
      <c r="CV991" s="106"/>
      <c r="CW991" s="106"/>
      <c r="CX991" s="106"/>
      <c r="CY991" s="106"/>
      <c r="CZ991" s="106"/>
      <c r="DA991" s="106"/>
      <c r="DB991" s="106"/>
      <c r="DC991" s="106"/>
      <c r="DD991" s="106"/>
      <c r="DE991" s="106"/>
      <c r="DF991" s="106"/>
      <c r="DG991" s="106"/>
      <c r="DH991" s="106"/>
      <c r="DI991" s="106"/>
      <c r="DJ991" s="106"/>
      <c r="DK991" s="106"/>
      <c r="DL991" s="106"/>
      <c r="DM991" s="106"/>
      <c r="DN991" s="106"/>
      <c r="DO991" s="106"/>
      <c r="DP991" s="106"/>
      <c r="DQ991" s="106"/>
      <c r="DR991" s="106"/>
      <c r="DS991" s="106"/>
      <c r="DT991" s="106"/>
      <c r="DU991" s="106"/>
      <c r="DV991" s="106"/>
      <c r="DW991" s="106"/>
      <c r="DX991" s="106"/>
      <c r="DY991" s="106"/>
      <c r="DZ991" s="106"/>
      <c r="EA991" s="106"/>
      <c r="EB991" s="106"/>
      <c r="EC991" s="106"/>
      <c r="ED991" s="106"/>
      <c r="EE991" s="106"/>
      <c r="EF991" s="106"/>
      <c r="EG991" s="106"/>
      <c r="EH991" s="106"/>
      <c r="EI991" s="106"/>
    </row>
    <row r="992" spans="3:139" ht="15.75" customHeight="1" x14ac:dyDescent="0.25"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  <c r="CR992" s="106"/>
      <c r="CS992" s="106"/>
      <c r="CT992" s="106"/>
      <c r="CU992" s="106"/>
      <c r="CV992" s="106"/>
      <c r="CW992" s="106"/>
      <c r="CX992" s="106"/>
      <c r="CY992" s="106"/>
      <c r="CZ992" s="106"/>
      <c r="DA992" s="106"/>
      <c r="DB992" s="106"/>
      <c r="DC992" s="106"/>
      <c r="DD992" s="106"/>
      <c r="DE992" s="106"/>
      <c r="DF992" s="106"/>
      <c r="DG992" s="106"/>
      <c r="DH992" s="106"/>
      <c r="DI992" s="106"/>
      <c r="DJ992" s="106"/>
      <c r="DK992" s="106"/>
      <c r="DL992" s="106"/>
      <c r="DM992" s="106"/>
      <c r="DN992" s="106"/>
      <c r="DO992" s="106"/>
      <c r="DP992" s="106"/>
      <c r="DQ992" s="106"/>
      <c r="DR992" s="106"/>
      <c r="DS992" s="106"/>
      <c r="DT992" s="106"/>
      <c r="DU992" s="106"/>
      <c r="DV992" s="106"/>
      <c r="DW992" s="106"/>
      <c r="DX992" s="106"/>
      <c r="DY992" s="106"/>
      <c r="DZ992" s="106"/>
      <c r="EA992" s="106"/>
      <c r="EB992" s="106"/>
      <c r="EC992" s="106"/>
      <c r="ED992" s="106"/>
      <c r="EE992" s="106"/>
      <c r="EF992" s="106"/>
      <c r="EG992" s="106"/>
      <c r="EH992" s="106"/>
      <c r="EI992" s="106"/>
    </row>
    <row r="993" spans="3:139" ht="15.75" customHeight="1" x14ac:dyDescent="0.25"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  <c r="CR993" s="106"/>
      <c r="CS993" s="106"/>
      <c r="CT993" s="106"/>
      <c r="CU993" s="106"/>
      <c r="CV993" s="106"/>
      <c r="CW993" s="106"/>
      <c r="CX993" s="106"/>
      <c r="CY993" s="106"/>
      <c r="CZ993" s="106"/>
      <c r="DA993" s="106"/>
      <c r="DB993" s="106"/>
      <c r="DC993" s="106"/>
      <c r="DD993" s="106"/>
      <c r="DE993" s="106"/>
      <c r="DF993" s="106"/>
      <c r="DG993" s="106"/>
      <c r="DH993" s="106"/>
      <c r="DI993" s="106"/>
      <c r="DJ993" s="106"/>
      <c r="DK993" s="106"/>
      <c r="DL993" s="106"/>
      <c r="DM993" s="106"/>
      <c r="DN993" s="106"/>
      <c r="DO993" s="106"/>
      <c r="DP993" s="106"/>
      <c r="DQ993" s="106"/>
      <c r="DR993" s="106"/>
      <c r="DS993" s="106"/>
      <c r="DT993" s="106"/>
      <c r="DU993" s="106"/>
      <c r="DV993" s="106"/>
      <c r="DW993" s="106"/>
      <c r="DX993" s="106"/>
      <c r="DY993" s="106"/>
      <c r="DZ993" s="106"/>
      <c r="EA993" s="106"/>
      <c r="EB993" s="106"/>
      <c r="EC993" s="106"/>
      <c r="ED993" s="106"/>
      <c r="EE993" s="106"/>
      <c r="EF993" s="106"/>
      <c r="EG993" s="106"/>
      <c r="EH993" s="106"/>
      <c r="EI993" s="106"/>
    </row>
    <row r="994" spans="3:139" ht="15.75" customHeight="1" x14ac:dyDescent="0.25"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106"/>
      <c r="CW994" s="106"/>
      <c r="CX994" s="106"/>
      <c r="CY994" s="106"/>
      <c r="CZ994" s="106"/>
      <c r="DA994" s="106"/>
      <c r="DB994" s="106"/>
      <c r="DC994" s="106"/>
      <c r="DD994" s="106"/>
      <c r="DE994" s="106"/>
      <c r="DF994" s="106"/>
      <c r="DG994" s="106"/>
      <c r="DH994" s="106"/>
      <c r="DI994" s="106"/>
      <c r="DJ994" s="106"/>
      <c r="DK994" s="106"/>
      <c r="DL994" s="106"/>
      <c r="DM994" s="106"/>
      <c r="DN994" s="106"/>
      <c r="DO994" s="106"/>
      <c r="DP994" s="106"/>
      <c r="DQ994" s="106"/>
      <c r="DR994" s="106"/>
      <c r="DS994" s="106"/>
      <c r="DT994" s="106"/>
      <c r="DU994" s="106"/>
      <c r="DV994" s="106"/>
      <c r="DW994" s="106"/>
      <c r="DX994" s="106"/>
      <c r="DY994" s="106"/>
      <c r="DZ994" s="106"/>
      <c r="EA994" s="106"/>
      <c r="EB994" s="106"/>
      <c r="EC994" s="106"/>
      <c r="ED994" s="106"/>
      <c r="EE994" s="106"/>
      <c r="EF994" s="106"/>
      <c r="EG994" s="106"/>
      <c r="EH994" s="106"/>
      <c r="EI994" s="106"/>
    </row>
    <row r="995" spans="3:139" ht="15.75" customHeight="1" x14ac:dyDescent="0.25"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  <c r="CR995" s="106"/>
      <c r="CS995" s="106"/>
      <c r="CT995" s="106"/>
      <c r="CU995" s="106"/>
      <c r="CV995" s="106"/>
      <c r="CW995" s="106"/>
      <c r="CX995" s="106"/>
      <c r="CY995" s="106"/>
      <c r="CZ995" s="106"/>
      <c r="DA995" s="106"/>
      <c r="DB995" s="106"/>
      <c r="DC995" s="106"/>
      <c r="DD995" s="106"/>
      <c r="DE995" s="106"/>
      <c r="DF995" s="106"/>
      <c r="DG995" s="106"/>
      <c r="DH995" s="106"/>
      <c r="DI995" s="106"/>
      <c r="DJ995" s="106"/>
      <c r="DK995" s="106"/>
      <c r="DL995" s="106"/>
      <c r="DM995" s="106"/>
      <c r="DN995" s="106"/>
      <c r="DO995" s="106"/>
      <c r="DP995" s="106"/>
      <c r="DQ995" s="106"/>
      <c r="DR995" s="106"/>
      <c r="DS995" s="106"/>
      <c r="DT995" s="106"/>
      <c r="DU995" s="106"/>
      <c r="DV995" s="106"/>
      <c r="DW995" s="106"/>
      <c r="DX995" s="106"/>
      <c r="DY995" s="106"/>
      <c r="DZ995" s="106"/>
      <c r="EA995" s="106"/>
      <c r="EB995" s="106"/>
      <c r="EC995" s="106"/>
      <c r="ED995" s="106"/>
      <c r="EE995" s="106"/>
      <c r="EF995" s="106"/>
      <c r="EG995" s="106"/>
      <c r="EH995" s="106"/>
      <c r="EI995" s="106"/>
    </row>
    <row r="996" spans="3:139" ht="15.75" customHeight="1" x14ac:dyDescent="0.25"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  <c r="CR996" s="106"/>
      <c r="CS996" s="106"/>
      <c r="CT996" s="106"/>
      <c r="CU996" s="106"/>
      <c r="CV996" s="106"/>
      <c r="CW996" s="106"/>
      <c r="CX996" s="106"/>
      <c r="CY996" s="106"/>
      <c r="CZ996" s="106"/>
      <c r="DA996" s="106"/>
      <c r="DB996" s="106"/>
      <c r="DC996" s="106"/>
      <c r="DD996" s="106"/>
      <c r="DE996" s="106"/>
      <c r="DF996" s="106"/>
      <c r="DG996" s="106"/>
      <c r="DH996" s="106"/>
      <c r="DI996" s="106"/>
      <c r="DJ996" s="106"/>
      <c r="DK996" s="106"/>
      <c r="DL996" s="106"/>
      <c r="DM996" s="106"/>
      <c r="DN996" s="106"/>
      <c r="DO996" s="106"/>
      <c r="DP996" s="106"/>
      <c r="DQ996" s="106"/>
      <c r="DR996" s="106"/>
      <c r="DS996" s="106"/>
      <c r="DT996" s="106"/>
      <c r="DU996" s="106"/>
      <c r="DV996" s="106"/>
      <c r="DW996" s="106"/>
      <c r="DX996" s="106"/>
      <c r="DY996" s="106"/>
      <c r="DZ996" s="106"/>
      <c r="EA996" s="106"/>
      <c r="EB996" s="106"/>
      <c r="EC996" s="106"/>
      <c r="ED996" s="106"/>
      <c r="EE996" s="106"/>
      <c r="EF996" s="106"/>
      <c r="EG996" s="106"/>
      <c r="EH996" s="106"/>
      <c r="EI996" s="106"/>
    </row>
    <row r="997" spans="3:139" ht="15.75" customHeight="1" x14ac:dyDescent="0.25"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  <c r="CR997" s="106"/>
      <c r="CS997" s="106"/>
      <c r="CT997" s="106"/>
      <c r="CU997" s="106"/>
      <c r="CV997" s="106"/>
      <c r="CW997" s="106"/>
      <c r="CX997" s="106"/>
      <c r="CY997" s="106"/>
      <c r="CZ997" s="106"/>
      <c r="DA997" s="106"/>
      <c r="DB997" s="106"/>
      <c r="DC997" s="106"/>
      <c r="DD997" s="106"/>
      <c r="DE997" s="106"/>
      <c r="DF997" s="106"/>
      <c r="DG997" s="106"/>
      <c r="DH997" s="106"/>
      <c r="DI997" s="106"/>
      <c r="DJ997" s="106"/>
      <c r="DK997" s="106"/>
      <c r="DL997" s="106"/>
      <c r="DM997" s="106"/>
      <c r="DN997" s="106"/>
      <c r="DO997" s="106"/>
      <c r="DP997" s="106"/>
      <c r="DQ997" s="106"/>
      <c r="DR997" s="106"/>
      <c r="DS997" s="106"/>
      <c r="DT997" s="106"/>
      <c r="DU997" s="106"/>
      <c r="DV997" s="106"/>
      <c r="DW997" s="106"/>
      <c r="DX997" s="106"/>
      <c r="DY997" s="106"/>
      <c r="DZ997" s="106"/>
      <c r="EA997" s="106"/>
      <c r="EB997" s="106"/>
      <c r="EC997" s="106"/>
      <c r="ED997" s="106"/>
      <c r="EE997" s="106"/>
      <c r="EF997" s="106"/>
      <c r="EG997" s="106"/>
      <c r="EH997" s="106"/>
      <c r="EI997" s="106"/>
    </row>
    <row r="998" spans="3:139" ht="15.75" customHeight="1" x14ac:dyDescent="0.25"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  <c r="CR998" s="106"/>
      <c r="CS998" s="106"/>
      <c r="CT998" s="106"/>
      <c r="CU998" s="106"/>
      <c r="CV998" s="106"/>
      <c r="CW998" s="106"/>
      <c r="CX998" s="106"/>
      <c r="CY998" s="106"/>
      <c r="CZ998" s="106"/>
      <c r="DA998" s="106"/>
      <c r="DB998" s="106"/>
      <c r="DC998" s="106"/>
      <c r="DD998" s="106"/>
      <c r="DE998" s="106"/>
      <c r="DF998" s="106"/>
      <c r="DG998" s="106"/>
      <c r="DH998" s="106"/>
      <c r="DI998" s="106"/>
      <c r="DJ998" s="106"/>
      <c r="DK998" s="106"/>
      <c r="DL998" s="106"/>
      <c r="DM998" s="106"/>
      <c r="DN998" s="106"/>
      <c r="DO998" s="106"/>
      <c r="DP998" s="106"/>
      <c r="DQ998" s="106"/>
      <c r="DR998" s="106"/>
      <c r="DS998" s="106"/>
      <c r="DT998" s="106"/>
      <c r="DU998" s="106"/>
      <c r="DV998" s="106"/>
      <c r="DW998" s="106"/>
      <c r="DX998" s="106"/>
      <c r="DY998" s="106"/>
      <c r="DZ998" s="106"/>
      <c r="EA998" s="106"/>
      <c r="EB998" s="106"/>
      <c r="EC998" s="106"/>
      <c r="ED998" s="106"/>
      <c r="EE998" s="106"/>
      <c r="EF998" s="106"/>
      <c r="EG998" s="106"/>
      <c r="EH998" s="106"/>
      <c r="EI998" s="106"/>
    </row>
    <row r="999" spans="3:139" ht="15.75" customHeight="1" x14ac:dyDescent="0.25"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  <c r="CR999" s="106"/>
      <c r="CS999" s="106"/>
      <c r="CT999" s="106"/>
      <c r="CU999" s="106"/>
      <c r="CV999" s="106"/>
      <c r="CW999" s="106"/>
      <c r="CX999" s="106"/>
      <c r="CY999" s="106"/>
      <c r="CZ999" s="106"/>
      <c r="DA999" s="106"/>
      <c r="DB999" s="106"/>
      <c r="DC999" s="106"/>
      <c r="DD999" s="106"/>
      <c r="DE999" s="106"/>
      <c r="DF999" s="106"/>
      <c r="DG999" s="106"/>
      <c r="DH999" s="106"/>
      <c r="DI999" s="106"/>
      <c r="DJ999" s="106"/>
      <c r="DK999" s="106"/>
      <c r="DL999" s="106"/>
      <c r="DM999" s="106"/>
      <c r="DN999" s="106"/>
      <c r="DO999" s="106"/>
      <c r="DP999" s="106"/>
      <c r="DQ999" s="106"/>
      <c r="DR999" s="106"/>
      <c r="DS999" s="106"/>
      <c r="DT999" s="106"/>
      <c r="DU999" s="106"/>
      <c r="DV999" s="106"/>
      <c r="DW999" s="106"/>
      <c r="DX999" s="106"/>
      <c r="DY999" s="106"/>
      <c r="DZ999" s="106"/>
      <c r="EA999" s="106"/>
      <c r="EB999" s="106"/>
      <c r="EC999" s="106"/>
      <c r="ED999" s="106"/>
      <c r="EE999" s="106"/>
      <c r="EF999" s="106"/>
      <c r="EG999" s="106"/>
      <c r="EH999" s="106"/>
      <c r="EI999" s="106"/>
    </row>
    <row r="1000" spans="3:139" ht="15.75" customHeight="1" x14ac:dyDescent="0.25"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  <c r="CR1000" s="106"/>
      <c r="CS1000" s="106"/>
      <c r="CT1000" s="106"/>
      <c r="CU1000" s="106"/>
      <c r="CV1000" s="106"/>
      <c r="CW1000" s="106"/>
      <c r="CX1000" s="106"/>
      <c r="CY1000" s="106"/>
      <c r="CZ1000" s="106"/>
      <c r="DA1000" s="106"/>
      <c r="DB1000" s="106"/>
      <c r="DC1000" s="106"/>
      <c r="DD1000" s="106"/>
      <c r="DE1000" s="106"/>
      <c r="DF1000" s="106"/>
      <c r="DG1000" s="106"/>
      <c r="DH1000" s="106"/>
      <c r="DI1000" s="106"/>
      <c r="DJ1000" s="106"/>
      <c r="DK1000" s="106"/>
      <c r="DL1000" s="106"/>
      <c r="DM1000" s="106"/>
      <c r="DN1000" s="106"/>
      <c r="DO1000" s="106"/>
      <c r="DP1000" s="106"/>
      <c r="DQ1000" s="106"/>
      <c r="DR1000" s="106"/>
      <c r="DS1000" s="106"/>
      <c r="DT1000" s="106"/>
      <c r="DU1000" s="106"/>
      <c r="DV1000" s="106"/>
      <c r="DW1000" s="106"/>
      <c r="DX1000" s="106"/>
      <c r="DY1000" s="106"/>
      <c r="DZ1000" s="106"/>
      <c r="EA1000" s="106"/>
      <c r="EB1000" s="106"/>
      <c r="EC1000" s="106"/>
      <c r="ED1000" s="106"/>
      <c r="EE1000" s="106"/>
      <c r="EF1000" s="106"/>
      <c r="EG1000" s="106"/>
      <c r="EH1000" s="106"/>
      <c r="EI1000" s="106"/>
    </row>
  </sheetData>
  <mergeCells count="120">
    <mergeCell ref="EG2:EH2"/>
    <mergeCell ref="C2:Q2"/>
    <mergeCell ref="R2:Z2"/>
    <mergeCell ref="AA2:AI2"/>
    <mergeCell ref="AJ2:AO2"/>
    <mergeCell ref="AP2:AX2"/>
    <mergeCell ref="AY2:BJ2"/>
    <mergeCell ref="BK2:BS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EG3:EG4"/>
    <mergeCell ref="EH3:EH4"/>
    <mergeCell ref="EF59:EF61"/>
    <mergeCell ref="EF62:EF64"/>
    <mergeCell ref="EF47:EF49"/>
    <mergeCell ref="EF50:EF52"/>
    <mergeCell ref="AD3:AF3"/>
    <mergeCell ref="AG3:AI3"/>
    <mergeCell ref="AJ3:AL3"/>
    <mergeCell ref="AM3:AO3"/>
    <mergeCell ref="EF80:EF82"/>
    <mergeCell ref="EF83:EF85"/>
    <mergeCell ref="EF86:EF88"/>
    <mergeCell ref="CI86:CI88"/>
    <mergeCell ref="CJ77:CJ79"/>
    <mergeCell ref="CJ80:CJ82"/>
    <mergeCell ref="CI77:CI79"/>
    <mergeCell ref="CI80:CI82"/>
    <mergeCell ref="CI83:CI85"/>
    <mergeCell ref="CJ83:CJ85"/>
    <mergeCell ref="CJ86:CJ88"/>
    <mergeCell ref="EF77:EF79"/>
    <mergeCell ref="CI65:CI67"/>
    <mergeCell ref="CI68:CI70"/>
    <mergeCell ref="CI71:CI73"/>
    <mergeCell ref="CI74:CI76"/>
    <mergeCell ref="CJ65:CJ67"/>
    <mergeCell ref="CJ68:CJ70"/>
    <mergeCell ref="CJ71:CJ73"/>
    <mergeCell ref="CJ74:CJ76"/>
    <mergeCell ref="EF74:EF76"/>
    <mergeCell ref="EF65:EF67"/>
    <mergeCell ref="EF68:EF70"/>
    <mergeCell ref="EF71:EF73"/>
    <mergeCell ref="CI56:CI58"/>
    <mergeCell ref="CI59:CI61"/>
    <mergeCell ref="CI62:CI64"/>
    <mergeCell ref="CI47:CI49"/>
    <mergeCell ref="CJ47:CJ49"/>
    <mergeCell ref="CI50:CI52"/>
    <mergeCell ref="CJ50:CJ52"/>
    <mergeCell ref="CJ53:CJ55"/>
    <mergeCell ref="CJ56:CJ58"/>
    <mergeCell ref="CJ59:CJ61"/>
    <mergeCell ref="CJ62:CJ64"/>
    <mergeCell ref="CN3:CP3"/>
    <mergeCell ref="CQ3:CS3"/>
    <mergeCell ref="CT3:CV3"/>
    <mergeCell ref="CW3:CY3"/>
    <mergeCell ref="CZ3:DB3"/>
    <mergeCell ref="CK2:DL2"/>
    <mergeCell ref="DM2:DY2"/>
    <mergeCell ref="DZ2:EE2"/>
    <mergeCell ref="CI53:CI55"/>
    <mergeCell ref="CI35:CI37"/>
    <mergeCell ref="CJ35:CJ37"/>
    <mergeCell ref="CI38:CI40"/>
    <mergeCell ref="CJ38:CJ40"/>
    <mergeCell ref="CI41:CI43"/>
    <mergeCell ref="CJ41:CJ43"/>
    <mergeCell ref="CI44:CI46"/>
    <mergeCell ref="CJ44:CJ46"/>
    <mergeCell ref="ED3:ED4"/>
    <mergeCell ref="EE3:EE4"/>
    <mergeCell ref="BT2:BY2"/>
    <mergeCell ref="BZ2:CB2"/>
    <mergeCell ref="CC2:CE2"/>
    <mergeCell ref="CF2:CH2"/>
    <mergeCell ref="CI2:CJ3"/>
    <mergeCell ref="BT3:BV3"/>
    <mergeCell ref="BW3:BY3"/>
    <mergeCell ref="CF3:CH3"/>
    <mergeCell ref="CK3:CM3"/>
    <mergeCell ref="BZ3:CB3"/>
    <mergeCell ref="CC3:CE3"/>
    <mergeCell ref="EF53:EF55"/>
    <mergeCell ref="EF56:EF58"/>
    <mergeCell ref="DC3:DE3"/>
    <mergeCell ref="DF3:DH3"/>
    <mergeCell ref="DI3:DK3"/>
    <mergeCell ref="DM3:DO3"/>
    <mergeCell ref="DP3:DR3"/>
    <mergeCell ref="DS3:DU3"/>
    <mergeCell ref="DV3:DX3"/>
    <mergeCell ref="DL3:DL4"/>
    <mergeCell ref="DZ3:DZ4"/>
    <mergeCell ref="EA3:EA4"/>
    <mergeCell ref="EB3:EB4"/>
    <mergeCell ref="EC3:EC4"/>
    <mergeCell ref="EF35:EF37"/>
    <mergeCell ref="EF38:EF40"/>
    <mergeCell ref="EF41:EF43"/>
    <mergeCell ref="EF44:EF46"/>
    <mergeCell ref="AP3:AR3"/>
    <mergeCell ref="BN3:BP3"/>
    <mergeCell ref="BQ3:BS3"/>
    <mergeCell ref="AS3:AU3"/>
    <mergeCell ref="AV3:AX3"/>
    <mergeCell ref="AY3:BA3"/>
    <mergeCell ref="BB3:BD3"/>
    <mergeCell ref="BE3:BG3"/>
    <mergeCell ref="BH3:BJ3"/>
    <mergeCell ref="BK3:BM3"/>
  </mergeCells>
  <phoneticPr fontId="2" type="noConversion"/>
  <conditionalFormatting sqref="A5 A8 A11 A14 A17 A20 A23 A26 A29 A32 A35 A38 A41 A44 A47 A50 A53 A56 A59 A62 A65 A68 A71 A74 A77 A80 A83 A86">
    <cfRule type="expression" dxfId="1" priority="1">
      <formula>$AG5="R"</formula>
    </cfRule>
  </conditionalFormatting>
  <conditionalFormatting sqref="B5:B31">
    <cfRule type="expression" dxfId="0" priority="2">
      <formula>$J5="R"</formula>
    </cfRule>
  </conditionalFormatting>
  <pageMargins left="0.7" right="0.7" top="0.75" bottom="0.75" header="0.3" footer="0.3"/>
  <pageSetup scale="29" orientation="portrait" horizontalDpi="360" verticalDpi="360" r:id="rId1"/>
  <colBreaks count="1" manualBreakCount="1">
    <brk id="9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Libreta</vt:lpstr>
      <vt:lpstr>PRIMARIA</vt:lpstr>
      <vt:lpstr>Libreta!Área_de_impresión</vt:lpstr>
      <vt:lpstr>PRIMARIA!Área_de_impresión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Jair</cp:lastModifiedBy>
  <cp:lastPrinted>2025-12-24T18:24:34Z</cp:lastPrinted>
  <dcterms:created xsi:type="dcterms:W3CDTF">2025-03-04T01:03:41Z</dcterms:created>
  <dcterms:modified xsi:type="dcterms:W3CDTF">2026-05-13T23:04:54Z</dcterms:modified>
</cp:coreProperties>
</file>